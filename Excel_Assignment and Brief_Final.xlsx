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USER\Downloads\"/>
    </mc:Choice>
  </mc:AlternateContent>
  <bookViews>
    <workbookView xWindow="0" yWindow="0" windowWidth="23040" windowHeight="8784" firstSheet="7" activeTab="7"/>
  </bookViews>
  <sheets>
    <sheet name="Brief" sheetId="2" r:id="rId1"/>
    <sheet name="Raw_Data" sheetId="1" r:id="rId2"/>
    <sheet name="Staging_Table_1" sheetId="16" r:id="rId3"/>
    <sheet name="Cohort Analysis" sheetId="17" r:id="rId4"/>
    <sheet name="ABC Analysis" sheetId="6" r:id="rId5"/>
    <sheet name="Salesperson_Productivity" sheetId="7" r:id="rId6"/>
    <sheet name="Channel Mix" sheetId="9" r:id="rId7"/>
    <sheet name="Service Level" sheetId="10" r:id="rId8"/>
    <sheet name="Price Compliance" sheetId="15" r:id="rId9"/>
    <sheet name="Scenario Modelling" sheetId="19" r:id="rId10"/>
    <sheet name="Visuals" sheetId="21" r:id="rId11"/>
    <sheet name="Visuals 2" sheetId="23" r:id="rId12"/>
    <sheet name="Dashboard" sheetId="20" r:id="rId13"/>
    <sheet name="Explanations" sheetId="4" r:id="rId14"/>
  </sheets>
  <definedNames>
    <definedName name="_xlnm._FilterDatabase" localSheetId="1" hidden="1">Raw_Data!$M$1:$M$633</definedName>
    <definedName name="_xlnm._FilterDatabase" localSheetId="2" hidden="1">Staging_Table_1!$M$1:$M$633</definedName>
    <definedName name="Slicer_Channel">#N/A</definedName>
    <definedName name="Slicer_Country">#N/A</definedName>
    <definedName name="Slicer_OrderDate">#N/A</definedName>
    <definedName name="Slicer_ProductCategory">#N/A</definedName>
    <definedName name="Slicer_Region">#N/A</definedName>
    <definedName name="Slicer_Salesperson">#N/A</definedName>
  </definedNames>
  <calcPr calcId="162913"/>
  <pivotCaches>
    <pivotCache cacheId="0" r:id="rId15"/>
    <pivotCache cacheId="1" r:id="rId16"/>
    <pivotCache cacheId="2" r:id="rId17"/>
    <pivotCache cacheId="10" r:id="rId18"/>
  </pivotCaches>
  <extLst>
    <ext xmlns:x14="http://schemas.microsoft.com/office/spreadsheetml/2009/9/main" uri="{BBE1A952-AA13-448e-AADC-164F8A28A991}">
      <x14:slicerCaches>
        <x14:slicerCache r:id="rId19"/>
        <x14:slicerCache r:id="rId20"/>
        <x14:slicerCache r:id="rId21"/>
        <x14:slicerCache r:id="rId22"/>
        <x14:slicerCache r:id="rId23"/>
        <x14:slicerCache r:id="rId24"/>
      </x14:slicerCaches>
    </ext>
    <ext xmlns:x14="http://schemas.microsoft.com/office/spreadsheetml/2009/9/main" uri="{79F54976-1DA5-4618-B147-4CDE4B953A38}">
      <x14:workbookPr/>
    </ext>
  </extLst>
</workbook>
</file>

<file path=xl/calcChain.xml><?xml version="1.0" encoding="utf-8"?>
<calcChain xmlns="http://schemas.openxmlformats.org/spreadsheetml/2006/main">
  <c r="R3" i="16" l="1"/>
  <c r="R4" i="16"/>
  <c r="R5" i="16"/>
  <c r="R6" i="16"/>
  <c r="R7" i="16"/>
  <c r="R8" i="16"/>
  <c r="R9" i="16"/>
  <c r="R10" i="16"/>
  <c r="R11" i="16"/>
  <c r="R12" i="16"/>
  <c r="R13" i="16"/>
  <c r="R14" i="16"/>
  <c r="R15" i="16"/>
  <c r="R16" i="16"/>
  <c r="R17" i="16"/>
  <c r="R18" i="16"/>
  <c r="R19" i="16"/>
  <c r="R20" i="16"/>
  <c r="R21" i="16"/>
  <c r="R22" i="16"/>
  <c r="R23" i="16"/>
  <c r="R24" i="16"/>
  <c r="R25" i="16"/>
  <c r="R26" i="16"/>
  <c r="R27" i="16"/>
  <c r="R28" i="16"/>
  <c r="R29" i="16"/>
  <c r="R30" i="16"/>
  <c r="R31" i="16"/>
  <c r="R32" i="16"/>
  <c r="R33" i="16"/>
  <c r="R34" i="16"/>
  <c r="R35" i="16"/>
  <c r="R36" i="16"/>
  <c r="R37" i="16"/>
  <c r="R38" i="16"/>
  <c r="R39" i="16"/>
  <c r="R40" i="16"/>
  <c r="R41" i="16"/>
  <c r="R42" i="16"/>
  <c r="R43" i="16"/>
  <c r="R44" i="16"/>
  <c r="R45" i="16"/>
  <c r="R46" i="16"/>
  <c r="R47" i="16"/>
  <c r="R48" i="16"/>
  <c r="R49" i="16"/>
  <c r="R50" i="16"/>
  <c r="R51" i="16"/>
  <c r="R52" i="16"/>
  <c r="R53" i="16"/>
  <c r="R54" i="16"/>
  <c r="R55" i="16"/>
  <c r="R56" i="16"/>
  <c r="R57" i="16"/>
  <c r="R58" i="16"/>
  <c r="R59" i="16"/>
  <c r="R60" i="16"/>
  <c r="R61" i="16"/>
  <c r="R62" i="16"/>
  <c r="R63" i="16"/>
  <c r="R64" i="16"/>
  <c r="R65" i="16"/>
  <c r="R66" i="16"/>
  <c r="R67" i="16"/>
  <c r="R68" i="16"/>
  <c r="R69" i="16"/>
  <c r="R70" i="16"/>
  <c r="R71" i="16"/>
  <c r="R72" i="16"/>
  <c r="R73" i="16"/>
  <c r="R74" i="16"/>
  <c r="R75" i="16"/>
  <c r="R76" i="16"/>
  <c r="R77" i="16"/>
  <c r="R78" i="16"/>
  <c r="R79" i="16"/>
  <c r="R80" i="16"/>
  <c r="R81" i="16"/>
  <c r="R82" i="16"/>
  <c r="R83" i="16"/>
  <c r="R84" i="16"/>
  <c r="R85" i="16"/>
  <c r="R86" i="16"/>
  <c r="R87" i="16"/>
  <c r="R88" i="16"/>
  <c r="R89" i="16"/>
  <c r="R90" i="16"/>
  <c r="R91" i="16"/>
  <c r="R92" i="16"/>
  <c r="R93" i="16"/>
  <c r="R94" i="16"/>
  <c r="R95" i="16"/>
  <c r="R96" i="16"/>
  <c r="R97" i="16"/>
  <c r="R98" i="16"/>
  <c r="R99" i="16"/>
  <c r="R100" i="16"/>
  <c r="R101" i="16"/>
  <c r="R102" i="16"/>
  <c r="R103" i="16"/>
  <c r="R104" i="16"/>
  <c r="R105" i="16"/>
  <c r="R106" i="16"/>
  <c r="R107" i="16"/>
  <c r="R108" i="16"/>
  <c r="R109" i="16"/>
  <c r="R110" i="16"/>
  <c r="R111" i="16"/>
  <c r="R112" i="16"/>
  <c r="R113" i="16"/>
  <c r="R114" i="16"/>
  <c r="R115" i="16"/>
  <c r="R116" i="16"/>
  <c r="R117" i="16"/>
  <c r="R118" i="16"/>
  <c r="R119" i="16"/>
  <c r="R120" i="16"/>
  <c r="R121" i="16"/>
  <c r="R122" i="16"/>
  <c r="R123" i="16"/>
  <c r="R124" i="16"/>
  <c r="R125" i="16"/>
  <c r="R126" i="16"/>
  <c r="R127" i="16"/>
  <c r="R128" i="16"/>
  <c r="R129" i="16"/>
  <c r="R130" i="16"/>
  <c r="R131" i="16"/>
  <c r="R132" i="16"/>
  <c r="R133" i="16"/>
  <c r="R134" i="16"/>
  <c r="R135" i="16"/>
  <c r="R136" i="16"/>
  <c r="R137" i="16"/>
  <c r="R138" i="16"/>
  <c r="R139" i="16"/>
  <c r="R140" i="16"/>
  <c r="R141" i="16"/>
  <c r="R142" i="16"/>
  <c r="R143" i="16"/>
  <c r="R144" i="16"/>
  <c r="R145" i="16"/>
  <c r="R146" i="16"/>
  <c r="R147" i="16"/>
  <c r="R148" i="16"/>
  <c r="R149" i="16"/>
  <c r="R150" i="16"/>
  <c r="R151" i="16"/>
  <c r="R152" i="16"/>
  <c r="R153" i="16"/>
  <c r="R154" i="16"/>
  <c r="R155" i="16"/>
  <c r="R156" i="16"/>
  <c r="R157" i="16"/>
  <c r="R158" i="16"/>
  <c r="R159" i="16"/>
  <c r="R160" i="16"/>
  <c r="R161" i="16"/>
  <c r="R162" i="16"/>
  <c r="R163" i="16"/>
  <c r="R164" i="16"/>
  <c r="R165" i="16"/>
  <c r="R166" i="16"/>
  <c r="R167" i="16"/>
  <c r="R168" i="16"/>
  <c r="R169" i="16"/>
  <c r="R170" i="16"/>
  <c r="R171" i="16"/>
  <c r="R172" i="16"/>
  <c r="R173" i="16"/>
  <c r="R174" i="16"/>
  <c r="R175" i="16"/>
  <c r="R176" i="16"/>
  <c r="R177" i="16"/>
  <c r="R178" i="16"/>
  <c r="R179" i="16"/>
  <c r="R180" i="16"/>
  <c r="R181" i="16"/>
  <c r="R182" i="16"/>
  <c r="R183" i="16"/>
  <c r="R184" i="16"/>
  <c r="R185" i="16"/>
  <c r="R186" i="16"/>
  <c r="R187" i="16"/>
  <c r="R188" i="16"/>
  <c r="R189" i="16"/>
  <c r="R190" i="16"/>
  <c r="R191" i="16"/>
  <c r="R192" i="16"/>
  <c r="R193" i="16"/>
  <c r="R194" i="16"/>
  <c r="R195" i="16"/>
  <c r="R196" i="16"/>
  <c r="R197" i="16"/>
  <c r="R198" i="16"/>
  <c r="R199" i="16"/>
  <c r="R200" i="16"/>
  <c r="R201" i="16"/>
  <c r="R202" i="16"/>
  <c r="R203" i="16"/>
  <c r="R204" i="16"/>
  <c r="R205" i="16"/>
  <c r="R206" i="16"/>
  <c r="R207" i="16"/>
  <c r="R208" i="16"/>
  <c r="R209" i="16"/>
  <c r="R210" i="16"/>
  <c r="R211" i="16"/>
  <c r="R212" i="16"/>
  <c r="R213" i="16"/>
  <c r="R214" i="16"/>
  <c r="R215" i="16"/>
  <c r="R216" i="16"/>
  <c r="R217" i="16"/>
  <c r="R218" i="16"/>
  <c r="R219" i="16"/>
  <c r="R220" i="16"/>
  <c r="R221" i="16"/>
  <c r="R222" i="16"/>
  <c r="R223" i="16"/>
  <c r="R224" i="16"/>
  <c r="R225" i="16"/>
  <c r="R226" i="16"/>
  <c r="R227" i="16"/>
  <c r="R228" i="16"/>
  <c r="R229" i="16"/>
  <c r="R230" i="16"/>
  <c r="R231" i="16"/>
  <c r="R232" i="16"/>
  <c r="R233" i="16"/>
  <c r="R234" i="16"/>
  <c r="R235" i="16"/>
  <c r="R236" i="16"/>
  <c r="R237" i="16"/>
  <c r="R238" i="16"/>
  <c r="R239" i="16"/>
  <c r="R240" i="16"/>
  <c r="R241" i="16"/>
  <c r="R242" i="16"/>
  <c r="R243" i="16"/>
  <c r="R244" i="16"/>
  <c r="R245" i="16"/>
  <c r="R246" i="16"/>
  <c r="R247" i="16"/>
  <c r="R248" i="16"/>
  <c r="R249" i="16"/>
  <c r="R250" i="16"/>
  <c r="R251" i="16"/>
  <c r="R252" i="16"/>
  <c r="R253" i="16"/>
  <c r="R254" i="16"/>
  <c r="R255" i="16"/>
  <c r="R256" i="16"/>
  <c r="R257" i="16"/>
  <c r="R258" i="16"/>
  <c r="R259" i="16"/>
  <c r="R260" i="16"/>
  <c r="R261" i="16"/>
  <c r="R262" i="16"/>
  <c r="R263" i="16"/>
  <c r="R264" i="16"/>
  <c r="R265" i="16"/>
  <c r="R266" i="16"/>
  <c r="R267" i="16"/>
  <c r="R268" i="16"/>
  <c r="R269" i="16"/>
  <c r="R270" i="16"/>
  <c r="R271" i="16"/>
  <c r="R272" i="16"/>
  <c r="R273" i="16"/>
  <c r="R274" i="16"/>
  <c r="R275" i="16"/>
  <c r="R276" i="16"/>
  <c r="R277" i="16"/>
  <c r="R278" i="16"/>
  <c r="R279" i="16"/>
  <c r="R280" i="16"/>
  <c r="R281" i="16"/>
  <c r="R282" i="16"/>
  <c r="R283" i="16"/>
  <c r="R284" i="16"/>
  <c r="R285" i="16"/>
  <c r="R286" i="16"/>
  <c r="R287" i="16"/>
  <c r="R288" i="16"/>
  <c r="R289" i="16"/>
  <c r="R290" i="16"/>
  <c r="R291" i="16"/>
  <c r="R292" i="16"/>
  <c r="R293" i="16"/>
  <c r="R294" i="16"/>
  <c r="R295" i="16"/>
  <c r="R296" i="16"/>
  <c r="R297" i="16"/>
  <c r="R298" i="16"/>
  <c r="R299" i="16"/>
  <c r="R300" i="16"/>
  <c r="R301" i="16"/>
  <c r="R302" i="16"/>
  <c r="R303" i="16"/>
  <c r="R304" i="16"/>
  <c r="R305" i="16"/>
  <c r="R306" i="16"/>
  <c r="R307" i="16"/>
  <c r="R308" i="16"/>
  <c r="R309" i="16"/>
  <c r="R310" i="16"/>
  <c r="R311" i="16"/>
  <c r="R312" i="16"/>
  <c r="R313" i="16"/>
  <c r="R314" i="16"/>
  <c r="R315" i="16"/>
  <c r="R316" i="16"/>
  <c r="R317" i="16"/>
  <c r="R318" i="16"/>
  <c r="R319" i="16"/>
  <c r="R320" i="16"/>
  <c r="R321" i="16"/>
  <c r="R322" i="16"/>
  <c r="R323" i="16"/>
  <c r="R324" i="16"/>
  <c r="R325" i="16"/>
  <c r="R326" i="16"/>
  <c r="R327" i="16"/>
  <c r="R328" i="16"/>
  <c r="R329" i="16"/>
  <c r="R330" i="16"/>
  <c r="R331" i="16"/>
  <c r="R332" i="16"/>
  <c r="R333" i="16"/>
  <c r="R334" i="16"/>
  <c r="R335" i="16"/>
  <c r="R336" i="16"/>
  <c r="R337" i="16"/>
  <c r="R338" i="16"/>
  <c r="R339" i="16"/>
  <c r="R340" i="16"/>
  <c r="R341" i="16"/>
  <c r="R342" i="16"/>
  <c r="R343" i="16"/>
  <c r="R344" i="16"/>
  <c r="R345" i="16"/>
  <c r="R346" i="16"/>
  <c r="R347" i="16"/>
  <c r="R348" i="16"/>
  <c r="R349" i="16"/>
  <c r="R350" i="16"/>
  <c r="R351" i="16"/>
  <c r="R352" i="16"/>
  <c r="R353" i="16"/>
  <c r="R354" i="16"/>
  <c r="R355" i="16"/>
  <c r="R356" i="16"/>
  <c r="R357" i="16"/>
  <c r="R358" i="16"/>
  <c r="R359" i="16"/>
  <c r="R360" i="16"/>
  <c r="R361" i="16"/>
  <c r="R362" i="16"/>
  <c r="R363" i="16"/>
  <c r="R364" i="16"/>
  <c r="R365" i="16"/>
  <c r="R366" i="16"/>
  <c r="R367" i="16"/>
  <c r="R368" i="16"/>
  <c r="R369" i="16"/>
  <c r="R370" i="16"/>
  <c r="R371" i="16"/>
  <c r="R372" i="16"/>
  <c r="R373" i="16"/>
  <c r="R374" i="16"/>
  <c r="R375" i="16"/>
  <c r="R376" i="16"/>
  <c r="R377" i="16"/>
  <c r="R378" i="16"/>
  <c r="R379" i="16"/>
  <c r="R380" i="16"/>
  <c r="R381" i="16"/>
  <c r="R382" i="16"/>
  <c r="R383" i="16"/>
  <c r="R384" i="16"/>
  <c r="R385" i="16"/>
  <c r="R386" i="16"/>
  <c r="R387" i="16"/>
  <c r="R388" i="16"/>
  <c r="R389" i="16"/>
  <c r="R390" i="16"/>
  <c r="R391" i="16"/>
  <c r="R392" i="16"/>
  <c r="R393" i="16"/>
  <c r="R394" i="16"/>
  <c r="R395" i="16"/>
  <c r="R396" i="16"/>
  <c r="R397" i="16"/>
  <c r="R398" i="16"/>
  <c r="R399" i="16"/>
  <c r="R400" i="16"/>
  <c r="R401" i="16"/>
  <c r="R402" i="16"/>
  <c r="R403" i="16"/>
  <c r="R404" i="16"/>
  <c r="R405" i="16"/>
  <c r="R406" i="16"/>
  <c r="R407" i="16"/>
  <c r="R408" i="16"/>
  <c r="R409" i="16"/>
  <c r="R410" i="16"/>
  <c r="R411" i="16"/>
  <c r="R412" i="16"/>
  <c r="R413" i="16"/>
  <c r="R414" i="16"/>
  <c r="R415" i="16"/>
  <c r="R416" i="16"/>
  <c r="R417" i="16"/>
  <c r="R418" i="16"/>
  <c r="R419" i="16"/>
  <c r="R420" i="16"/>
  <c r="R421" i="16"/>
  <c r="R422" i="16"/>
  <c r="R423" i="16"/>
  <c r="R424" i="16"/>
  <c r="R425" i="16"/>
  <c r="R426" i="16"/>
  <c r="R427" i="16"/>
  <c r="R428" i="16"/>
  <c r="R429" i="16"/>
  <c r="R430" i="16"/>
  <c r="R431" i="16"/>
  <c r="R432" i="16"/>
  <c r="R433" i="16"/>
  <c r="R434" i="16"/>
  <c r="R435" i="16"/>
  <c r="R436" i="16"/>
  <c r="R437" i="16"/>
  <c r="R438" i="16"/>
  <c r="R439" i="16"/>
  <c r="R440" i="16"/>
  <c r="R441" i="16"/>
  <c r="R442" i="16"/>
  <c r="R443" i="16"/>
  <c r="R444" i="16"/>
  <c r="R445" i="16"/>
  <c r="R446" i="16"/>
  <c r="R447" i="16"/>
  <c r="R448" i="16"/>
  <c r="R449" i="16"/>
  <c r="R450" i="16"/>
  <c r="R451" i="16"/>
  <c r="R452" i="16"/>
  <c r="R453" i="16"/>
  <c r="R454" i="16"/>
  <c r="R455" i="16"/>
  <c r="R456" i="16"/>
  <c r="R457" i="16"/>
  <c r="R458" i="16"/>
  <c r="R459" i="16"/>
  <c r="R460" i="16"/>
  <c r="R461" i="16"/>
  <c r="R462" i="16"/>
  <c r="R463" i="16"/>
  <c r="R464" i="16"/>
  <c r="R465" i="16"/>
  <c r="R466" i="16"/>
  <c r="R467" i="16"/>
  <c r="R468" i="16"/>
  <c r="R469" i="16"/>
  <c r="R470" i="16"/>
  <c r="R471" i="16"/>
  <c r="R472" i="16"/>
  <c r="R473" i="16"/>
  <c r="R474" i="16"/>
  <c r="R475" i="16"/>
  <c r="R476" i="16"/>
  <c r="R477" i="16"/>
  <c r="R478" i="16"/>
  <c r="R479" i="16"/>
  <c r="R480" i="16"/>
  <c r="R481" i="16"/>
  <c r="R482" i="16"/>
  <c r="R483" i="16"/>
  <c r="R484" i="16"/>
  <c r="R485" i="16"/>
  <c r="R486" i="16"/>
  <c r="R487" i="16"/>
  <c r="R488" i="16"/>
  <c r="R489" i="16"/>
  <c r="R490" i="16"/>
  <c r="R491" i="16"/>
  <c r="R492" i="16"/>
  <c r="R493" i="16"/>
  <c r="R494" i="16"/>
  <c r="R495" i="16"/>
  <c r="R496" i="16"/>
  <c r="R497" i="16"/>
  <c r="R498" i="16"/>
  <c r="R499" i="16"/>
  <c r="R500" i="16"/>
  <c r="R501" i="16"/>
  <c r="R502" i="16"/>
  <c r="R503" i="16"/>
  <c r="R504" i="16"/>
  <c r="R505" i="16"/>
  <c r="R506" i="16"/>
  <c r="R507" i="16"/>
  <c r="R508" i="16"/>
  <c r="R509" i="16"/>
  <c r="R510" i="16"/>
  <c r="R511" i="16"/>
  <c r="R512" i="16"/>
  <c r="R513" i="16"/>
  <c r="R514" i="16"/>
  <c r="R515" i="16"/>
  <c r="R516" i="16"/>
  <c r="R517" i="16"/>
  <c r="R518" i="16"/>
  <c r="R519" i="16"/>
  <c r="R520" i="16"/>
  <c r="R521" i="16"/>
  <c r="R522" i="16"/>
  <c r="R523" i="16"/>
  <c r="R524" i="16"/>
  <c r="R525" i="16"/>
  <c r="R526" i="16"/>
  <c r="R527" i="16"/>
  <c r="R528" i="16"/>
  <c r="R529" i="16"/>
  <c r="R530" i="16"/>
  <c r="R531" i="16"/>
  <c r="R532" i="16"/>
  <c r="R533" i="16"/>
  <c r="R534" i="16"/>
  <c r="R535" i="16"/>
  <c r="R536" i="16"/>
  <c r="R537" i="16"/>
  <c r="R538" i="16"/>
  <c r="R539" i="16"/>
  <c r="R540" i="16"/>
  <c r="R541" i="16"/>
  <c r="R542" i="16"/>
  <c r="R543" i="16"/>
  <c r="R544" i="16"/>
  <c r="R545" i="16"/>
  <c r="R546" i="16"/>
  <c r="R547" i="16"/>
  <c r="R548" i="16"/>
  <c r="R549" i="16"/>
  <c r="R550" i="16"/>
  <c r="R551" i="16"/>
  <c r="R552" i="16"/>
  <c r="R553" i="16"/>
  <c r="R554" i="16"/>
  <c r="R555" i="16"/>
  <c r="R556" i="16"/>
  <c r="R557" i="16"/>
  <c r="R558" i="16"/>
  <c r="R559" i="16"/>
  <c r="R560" i="16"/>
  <c r="R561" i="16"/>
  <c r="R562" i="16"/>
  <c r="R563" i="16"/>
  <c r="R564" i="16"/>
  <c r="R565" i="16"/>
  <c r="R566" i="16"/>
  <c r="R567" i="16"/>
  <c r="R568" i="16"/>
  <c r="R569" i="16"/>
  <c r="R570" i="16"/>
  <c r="R571" i="16"/>
  <c r="R572" i="16"/>
  <c r="R573" i="16"/>
  <c r="R574" i="16"/>
  <c r="R575" i="16"/>
  <c r="R576" i="16"/>
  <c r="R577" i="16"/>
  <c r="R578" i="16"/>
  <c r="R579" i="16"/>
  <c r="R580" i="16"/>
  <c r="R581" i="16"/>
  <c r="R582" i="16"/>
  <c r="R583" i="16"/>
  <c r="R584" i="16"/>
  <c r="R585" i="16"/>
  <c r="R586" i="16"/>
  <c r="R587" i="16"/>
  <c r="R588" i="16"/>
  <c r="R589" i="16"/>
  <c r="R590" i="16"/>
  <c r="R591" i="16"/>
  <c r="R592" i="16"/>
  <c r="R593" i="16"/>
  <c r="R594" i="16"/>
  <c r="R595" i="16"/>
  <c r="R596" i="16"/>
  <c r="R597" i="16"/>
  <c r="R598" i="16"/>
  <c r="R599" i="16"/>
  <c r="R600" i="16"/>
  <c r="R601" i="16"/>
  <c r="R602" i="16"/>
  <c r="R603" i="16"/>
  <c r="R604" i="16"/>
  <c r="R605" i="16"/>
  <c r="R606" i="16"/>
  <c r="R607" i="16"/>
  <c r="R608" i="16"/>
  <c r="R609" i="16"/>
  <c r="R610" i="16"/>
  <c r="R611" i="16"/>
  <c r="R612" i="16"/>
  <c r="R613" i="16"/>
  <c r="R614" i="16"/>
  <c r="R615" i="16"/>
  <c r="R616" i="16"/>
  <c r="R617" i="16"/>
  <c r="R618" i="16"/>
  <c r="R619" i="16"/>
  <c r="R620" i="16"/>
  <c r="R621" i="16"/>
  <c r="R622" i="16"/>
  <c r="R623" i="16"/>
  <c r="R624" i="16"/>
  <c r="R625" i="16"/>
  <c r="R626" i="16"/>
  <c r="R627" i="16"/>
  <c r="R628" i="16"/>
  <c r="R629" i="16"/>
  <c r="R630" i="16"/>
  <c r="R631" i="16"/>
  <c r="R632" i="16"/>
  <c r="R2" i="16"/>
  <c r="P3" i="16"/>
  <c r="P4" i="16"/>
  <c r="P5" i="16"/>
  <c r="P6" i="16"/>
  <c r="P7" i="16"/>
  <c r="P8" i="16"/>
  <c r="P9" i="16"/>
  <c r="P10" i="16"/>
  <c r="P11" i="16"/>
  <c r="P12" i="16"/>
  <c r="P13" i="16"/>
  <c r="P14" i="16"/>
  <c r="P15" i="16"/>
  <c r="P16" i="16"/>
  <c r="P17" i="16"/>
  <c r="P18" i="16"/>
  <c r="P19" i="16"/>
  <c r="P20" i="16"/>
  <c r="P21" i="16"/>
  <c r="P22" i="16"/>
  <c r="P23" i="16"/>
  <c r="P24" i="16"/>
  <c r="P25" i="16"/>
  <c r="P26" i="16"/>
  <c r="P27" i="16"/>
  <c r="P28" i="16"/>
  <c r="P29" i="16"/>
  <c r="P30" i="16"/>
  <c r="P31" i="16"/>
  <c r="P32" i="16"/>
  <c r="P33" i="16"/>
  <c r="P34" i="16"/>
  <c r="P35" i="16"/>
  <c r="P36" i="16"/>
  <c r="P37" i="16"/>
  <c r="P38" i="16"/>
  <c r="P39" i="16"/>
  <c r="P40" i="16"/>
  <c r="P41" i="16"/>
  <c r="P42" i="16"/>
  <c r="P43" i="16"/>
  <c r="P44" i="16"/>
  <c r="P45" i="16"/>
  <c r="P46" i="16"/>
  <c r="P47" i="16"/>
  <c r="P48" i="16"/>
  <c r="P49" i="16"/>
  <c r="P50" i="16"/>
  <c r="P51" i="16"/>
  <c r="P52" i="16"/>
  <c r="P53" i="16"/>
  <c r="P54" i="16"/>
  <c r="P55" i="16"/>
  <c r="P56" i="16"/>
  <c r="P57" i="16"/>
  <c r="P58" i="16"/>
  <c r="P59" i="16"/>
  <c r="P60" i="16"/>
  <c r="P61" i="16"/>
  <c r="P62" i="16"/>
  <c r="P63" i="16"/>
  <c r="P64" i="16"/>
  <c r="P65" i="16"/>
  <c r="P66" i="16"/>
  <c r="P67" i="16"/>
  <c r="P68" i="16"/>
  <c r="P69" i="16"/>
  <c r="P70" i="16"/>
  <c r="P71" i="16"/>
  <c r="P72" i="16"/>
  <c r="P73" i="16"/>
  <c r="P74" i="16"/>
  <c r="P75" i="16"/>
  <c r="P76" i="16"/>
  <c r="P77" i="16"/>
  <c r="P78" i="16"/>
  <c r="P79" i="16"/>
  <c r="P80" i="16"/>
  <c r="P81" i="16"/>
  <c r="P82" i="16"/>
  <c r="P83" i="16"/>
  <c r="P84" i="16"/>
  <c r="P85" i="16"/>
  <c r="P86" i="16"/>
  <c r="P87" i="16"/>
  <c r="P88" i="16"/>
  <c r="P89" i="16"/>
  <c r="P90" i="16"/>
  <c r="P91" i="16"/>
  <c r="P92" i="16"/>
  <c r="P93" i="16"/>
  <c r="P94" i="16"/>
  <c r="P95" i="16"/>
  <c r="P96" i="16"/>
  <c r="P97" i="16"/>
  <c r="P98" i="16"/>
  <c r="P99" i="16"/>
  <c r="P100" i="16"/>
  <c r="P101" i="16"/>
  <c r="P102" i="16"/>
  <c r="P103" i="16"/>
  <c r="P104" i="16"/>
  <c r="P105" i="16"/>
  <c r="P106" i="16"/>
  <c r="P107" i="16"/>
  <c r="P108" i="16"/>
  <c r="P109" i="16"/>
  <c r="P110" i="16"/>
  <c r="P111" i="16"/>
  <c r="P112" i="16"/>
  <c r="P113" i="16"/>
  <c r="P114" i="16"/>
  <c r="P115" i="16"/>
  <c r="P116" i="16"/>
  <c r="P117" i="16"/>
  <c r="P118" i="16"/>
  <c r="P119" i="16"/>
  <c r="P120" i="16"/>
  <c r="P121" i="16"/>
  <c r="P122" i="16"/>
  <c r="P123" i="16"/>
  <c r="P124" i="16"/>
  <c r="P125" i="16"/>
  <c r="P126" i="16"/>
  <c r="P127" i="16"/>
  <c r="P128" i="16"/>
  <c r="P129" i="16"/>
  <c r="P130" i="16"/>
  <c r="P131" i="16"/>
  <c r="P132" i="16"/>
  <c r="P133" i="16"/>
  <c r="P134" i="16"/>
  <c r="P135" i="16"/>
  <c r="P136" i="16"/>
  <c r="P137" i="16"/>
  <c r="P138" i="16"/>
  <c r="P139" i="16"/>
  <c r="P140" i="16"/>
  <c r="P141" i="16"/>
  <c r="P142" i="16"/>
  <c r="P143" i="16"/>
  <c r="P144" i="16"/>
  <c r="P145" i="16"/>
  <c r="P146" i="16"/>
  <c r="P147" i="16"/>
  <c r="P148" i="16"/>
  <c r="P149" i="16"/>
  <c r="P150" i="16"/>
  <c r="P151" i="16"/>
  <c r="P152" i="16"/>
  <c r="P153" i="16"/>
  <c r="P154" i="16"/>
  <c r="P155" i="16"/>
  <c r="P156" i="16"/>
  <c r="P157" i="16"/>
  <c r="P158" i="16"/>
  <c r="P159" i="16"/>
  <c r="P160" i="16"/>
  <c r="P161" i="16"/>
  <c r="P162" i="16"/>
  <c r="P163" i="16"/>
  <c r="P164" i="16"/>
  <c r="P165" i="16"/>
  <c r="P166" i="16"/>
  <c r="P167" i="16"/>
  <c r="P168" i="16"/>
  <c r="P169" i="16"/>
  <c r="P170" i="16"/>
  <c r="P171" i="16"/>
  <c r="P172" i="16"/>
  <c r="P173" i="16"/>
  <c r="P174" i="16"/>
  <c r="P175" i="16"/>
  <c r="P176" i="16"/>
  <c r="P177" i="16"/>
  <c r="P178" i="16"/>
  <c r="P179" i="16"/>
  <c r="P180" i="16"/>
  <c r="P181" i="16"/>
  <c r="P182" i="16"/>
  <c r="P183" i="16"/>
  <c r="P184" i="16"/>
  <c r="P185" i="16"/>
  <c r="P186" i="16"/>
  <c r="P187" i="16"/>
  <c r="P188" i="16"/>
  <c r="P189" i="16"/>
  <c r="P190" i="16"/>
  <c r="P191" i="16"/>
  <c r="P192" i="16"/>
  <c r="P193" i="16"/>
  <c r="P194" i="16"/>
  <c r="P195" i="16"/>
  <c r="P196" i="16"/>
  <c r="P197" i="16"/>
  <c r="P198" i="16"/>
  <c r="P199" i="16"/>
  <c r="P200" i="16"/>
  <c r="P201" i="16"/>
  <c r="P202" i="16"/>
  <c r="P203" i="16"/>
  <c r="P204" i="16"/>
  <c r="P205" i="16"/>
  <c r="P206" i="16"/>
  <c r="P207" i="16"/>
  <c r="P208" i="16"/>
  <c r="P209" i="16"/>
  <c r="P210" i="16"/>
  <c r="P211" i="16"/>
  <c r="P212" i="16"/>
  <c r="P213" i="16"/>
  <c r="P214" i="16"/>
  <c r="P215" i="16"/>
  <c r="P216" i="16"/>
  <c r="P217" i="16"/>
  <c r="P218" i="16"/>
  <c r="P219" i="16"/>
  <c r="P220" i="16"/>
  <c r="P221" i="16"/>
  <c r="P222" i="16"/>
  <c r="P223" i="16"/>
  <c r="P224" i="16"/>
  <c r="P225" i="16"/>
  <c r="P226" i="16"/>
  <c r="P227" i="16"/>
  <c r="P228" i="16"/>
  <c r="P229" i="16"/>
  <c r="P230" i="16"/>
  <c r="P231" i="16"/>
  <c r="P232" i="16"/>
  <c r="P233" i="16"/>
  <c r="P234" i="16"/>
  <c r="P235" i="16"/>
  <c r="P236" i="16"/>
  <c r="P237" i="16"/>
  <c r="P238" i="16"/>
  <c r="P239" i="16"/>
  <c r="P240" i="16"/>
  <c r="P241" i="16"/>
  <c r="P242" i="16"/>
  <c r="P243" i="16"/>
  <c r="P244" i="16"/>
  <c r="P245" i="16"/>
  <c r="P246" i="16"/>
  <c r="P247" i="16"/>
  <c r="P248" i="16"/>
  <c r="P249" i="16"/>
  <c r="P250" i="16"/>
  <c r="P251" i="16"/>
  <c r="P252" i="16"/>
  <c r="P253" i="16"/>
  <c r="P254" i="16"/>
  <c r="P255" i="16"/>
  <c r="P256" i="16"/>
  <c r="P257" i="16"/>
  <c r="P258" i="16"/>
  <c r="P259" i="16"/>
  <c r="P260" i="16"/>
  <c r="P261" i="16"/>
  <c r="P262" i="16"/>
  <c r="P263" i="16"/>
  <c r="P264" i="16"/>
  <c r="P265" i="16"/>
  <c r="P266" i="16"/>
  <c r="P267" i="16"/>
  <c r="P268" i="16"/>
  <c r="P269" i="16"/>
  <c r="P270" i="16"/>
  <c r="P271" i="16"/>
  <c r="P272" i="16"/>
  <c r="P273" i="16"/>
  <c r="P274" i="16"/>
  <c r="P275" i="16"/>
  <c r="P276" i="16"/>
  <c r="P277" i="16"/>
  <c r="P278" i="16"/>
  <c r="P279" i="16"/>
  <c r="P280" i="16"/>
  <c r="P281" i="16"/>
  <c r="P282" i="16"/>
  <c r="P283" i="16"/>
  <c r="P284" i="16"/>
  <c r="P285" i="16"/>
  <c r="P286" i="16"/>
  <c r="P287" i="16"/>
  <c r="P288" i="16"/>
  <c r="P289" i="16"/>
  <c r="P290" i="16"/>
  <c r="P291" i="16"/>
  <c r="P292" i="16"/>
  <c r="P293" i="16"/>
  <c r="P294" i="16"/>
  <c r="P295" i="16"/>
  <c r="P296" i="16"/>
  <c r="P297" i="16"/>
  <c r="P298" i="16"/>
  <c r="P299" i="16"/>
  <c r="P300" i="16"/>
  <c r="P301" i="16"/>
  <c r="P302" i="16"/>
  <c r="P303" i="16"/>
  <c r="P304" i="16"/>
  <c r="P305" i="16"/>
  <c r="P306" i="16"/>
  <c r="P307" i="16"/>
  <c r="P308" i="16"/>
  <c r="P309" i="16"/>
  <c r="P310" i="16"/>
  <c r="P311" i="16"/>
  <c r="P312" i="16"/>
  <c r="P313" i="16"/>
  <c r="P314" i="16"/>
  <c r="P315" i="16"/>
  <c r="P316" i="16"/>
  <c r="P317" i="16"/>
  <c r="P318" i="16"/>
  <c r="P319" i="16"/>
  <c r="P320" i="16"/>
  <c r="P321" i="16"/>
  <c r="P322" i="16"/>
  <c r="P323" i="16"/>
  <c r="P324" i="16"/>
  <c r="P325" i="16"/>
  <c r="P326" i="16"/>
  <c r="P327" i="16"/>
  <c r="P328" i="16"/>
  <c r="P329" i="16"/>
  <c r="P330" i="16"/>
  <c r="P331" i="16"/>
  <c r="P332" i="16"/>
  <c r="P333" i="16"/>
  <c r="P334" i="16"/>
  <c r="P335" i="16"/>
  <c r="P336" i="16"/>
  <c r="P337" i="16"/>
  <c r="P338" i="16"/>
  <c r="P339" i="16"/>
  <c r="P340" i="16"/>
  <c r="P341" i="16"/>
  <c r="P342" i="16"/>
  <c r="P343" i="16"/>
  <c r="P344" i="16"/>
  <c r="P345" i="16"/>
  <c r="P346" i="16"/>
  <c r="P347" i="16"/>
  <c r="P348" i="16"/>
  <c r="P349" i="16"/>
  <c r="P350" i="16"/>
  <c r="P351" i="16"/>
  <c r="P352" i="16"/>
  <c r="P353" i="16"/>
  <c r="P354" i="16"/>
  <c r="P355" i="16"/>
  <c r="P356" i="16"/>
  <c r="P357" i="16"/>
  <c r="P358" i="16"/>
  <c r="P359" i="16"/>
  <c r="P360" i="16"/>
  <c r="P361" i="16"/>
  <c r="P362" i="16"/>
  <c r="P363" i="16"/>
  <c r="P364" i="16"/>
  <c r="P365" i="16"/>
  <c r="P366" i="16"/>
  <c r="P367" i="16"/>
  <c r="P368" i="16"/>
  <c r="P369" i="16"/>
  <c r="P370" i="16"/>
  <c r="P371" i="16"/>
  <c r="P372" i="16"/>
  <c r="P373" i="16"/>
  <c r="P374" i="16"/>
  <c r="P375" i="16"/>
  <c r="P376" i="16"/>
  <c r="P377" i="16"/>
  <c r="P378" i="16"/>
  <c r="P379" i="16"/>
  <c r="P380" i="16"/>
  <c r="P381" i="16"/>
  <c r="P382" i="16"/>
  <c r="P383" i="16"/>
  <c r="P384" i="16"/>
  <c r="P385" i="16"/>
  <c r="P386" i="16"/>
  <c r="P387" i="16"/>
  <c r="P388" i="16"/>
  <c r="P389" i="16"/>
  <c r="P390" i="16"/>
  <c r="P391" i="16"/>
  <c r="P392" i="16"/>
  <c r="P393" i="16"/>
  <c r="P394" i="16"/>
  <c r="P395" i="16"/>
  <c r="P396" i="16"/>
  <c r="P397" i="16"/>
  <c r="P398" i="16"/>
  <c r="P399" i="16"/>
  <c r="P400" i="16"/>
  <c r="P401" i="16"/>
  <c r="P402" i="16"/>
  <c r="P403" i="16"/>
  <c r="P404" i="16"/>
  <c r="P405" i="16"/>
  <c r="P406" i="16"/>
  <c r="P407" i="16"/>
  <c r="P408" i="16"/>
  <c r="P409" i="16"/>
  <c r="P410" i="16"/>
  <c r="P411" i="16"/>
  <c r="P412" i="16"/>
  <c r="P413" i="16"/>
  <c r="P414" i="16"/>
  <c r="P415" i="16"/>
  <c r="P416" i="16"/>
  <c r="P417" i="16"/>
  <c r="P418" i="16"/>
  <c r="P419" i="16"/>
  <c r="P420" i="16"/>
  <c r="P421" i="16"/>
  <c r="P422" i="16"/>
  <c r="P423" i="16"/>
  <c r="P424" i="16"/>
  <c r="P425" i="16"/>
  <c r="P426" i="16"/>
  <c r="P427" i="16"/>
  <c r="P428" i="16"/>
  <c r="P429" i="16"/>
  <c r="P430" i="16"/>
  <c r="P431" i="16"/>
  <c r="P432" i="16"/>
  <c r="P433" i="16"/>
  <c r="P434" i="16"/>
  <c r="P435" i="16"/>
  <c r="P436" i="16"/>
  <c r="P437" i="16"/>
  <c r="P438" i="16"/>
  <c r="P439" i="16"/>
  <c r="P440" i="16"/>
  <c r="P441" i="16"/>
  <c r="P442" i="16"/>
  <c r="P443" i="16"/>
  <c r="P444" i="16"/>
  <c r="P445" i="16"/>
  <c r="P446" i="16"/>
  <c r="P447" i="16"/>
  <c r="P448" i="16"/>
  <c r="P449" i="16"/>
  <c r="P450" i="16"/>
  <c r="P451" i="16"/>
  <c r="P452" i="16"/>
  <c r="P453" i="16"/>
  <c r="P454" i="16"/>
  <c r="P455" i="16"/>
  <c r="P456" i="16"/>
  <c r="P457" i="16"/>
  <c r="P458" i="16"/>
  <c r="P459" i="16"/>
  <c r="P460" i="16"/>
  <c r="P461" i="16"/>
  <c r="P462" i="16"/>
  <c r="P463" i="16"/>
  <c r="P464" i="16"/>
  <c r="P465" i="16"/>
  <c r="P466" i="16"/>
  <c r="P467" i="16"/>
  <c r="P468" i="16"/>
  <c r="P469" i="16"/>
  <c r="P470" i="16"/>
  <c r="P471" i="16"/>
  <c r="P472" i="16"/>
  <c r="P473" i="16"/>
  <c r="P474" i="16"/>
  <c r="P475" i="16"/>
  <c r="P476" i="16"/>
  <c r="P477" i="16"/>
  <c r="P478" i="16"/>
  <c r="P479" i="16"/>
  <c r="P480" i="16"/>
  <c r="P481" i="16"/>
  <c r="P482" i="16"/>
  <c r="P483" i="16"/>
  <c r="P484" i="16"/>
  <c r="P485" i="16"/>
  <c r="P486" i="16"/>
  <c r="P487" i="16"/>
  <c r="P488" i="16"/>
  <c r="P489" i="16"/>
  <c r="P490" i="16"/>
  <c r="P491" i="16"/>
  <c r="P492" i="16"/>
  <c r="P493" i="16"/>
  <c r="P494" i="16"/>
  <c r="P495" i="16"/>
  <c r="P496" i="16"/>
  <c r="P497" i="16"/>
  <c r="P498" i="16"/>
  <c r="P499" i="16"/>
  <c r="P500" i="16"/>
  <c r="P501" i="16"/>
  <c r="P502" i="16"/>
  <c r="P503" i="16"/>
  <c r="P504" i="16"/>
  <c r="P505" i="16"/>
  <c r="P506" i="16"/>
  <c r="P507" i="16"/>
  <c r="P508" i="16"/>
  <c r="P509" i="16"/>
  <c r="P510" i="16"/>
  <c r="P511" i="16"/>
  <c r="P512" i="16"/>
  <c r="P513" i="16"/>
  <c r="P514" i="16"/>
  <c r="P515" i="16"/>
  <c r="P516" i="16"/>
  <c r="P517" i="16"/>
  <c r="P518" i="16"/>
  <c r="P519" i="16"/>
  <c r="P520" i="16"/>
  <c r="P521" i="16"/>
  <c r="P522" i="16"/>
  <c r="P523" i="16"/>
  <c r="P524" i="16"/>
  <c r="P525" i="16"/>
  <c r="P526" i="16"/>
  <c r="P527" i="16"/>
  <c r="P528" i="16"/>
  <c r="P529" i="16"/>
  <c r="P530" i="16"/>
  <c r="P531" i="16"/>
  <c r="P532" i="16"/>
  <c r="P533" i="16"/>
  <c r="P534" i="16"/>
  <c r="P535" i="16"/>
  <c r="P536" i="16"/>
  <c r="P537" i="16"/>
  <c r="P538" i="16"/>
  <c r="P539" i="16"/>
  <c r="P540" i="16"/>
  <c r="P541" i="16"/>
  <c r="P542" i="16"/>
  <c r="P543" i="16"/>
  <c r="P544" i="16"/>
  <c r="P545" i="16"/>
  <c r="P546" i="16"/>
  <c r="P547" i="16"/>
  <c r="P548" i="16"/>
  <c r="P549" i="16"/>
  <c r="P550" i="16"/>
  <c r="P551" i="16"/>
  <c r="P552" i="16"/>
  <c r="P553" i="16"/>
  <c r="P554" i="16"/>
  <c r="P555" i="16"/>
  <c r="P556" i="16"/>
  <c r="P557" i="16"/>
  <c r="P558" i="16"/>
  <c r="P559" i="16"/>
  <c r="P560" i="16"/>
  <c r="P561" i="16"/>
  <c r="P562" i="16"/>
  <c r="P563" i="16"/>
  <c r="P564" i="16"/>
  <c r="P565" i="16"/>
  <c r="P566" i="16"/>
  <c r="P567" i="16"/>
  <c r="P568" i="16"/>
  <c r="P569" i="16"/>
  <c r="P570" i="16"/>
  <c r="P571" i="16"/>
  <c r="P572" i="16"/>
  <c r="P573" i="16"/>
  <c r="P574" i="16"/>
  <c r="P575" i="16"/>
  <c r="P576" i="16"/>
  <c r="P577" i="16"/>
  <c r="P578" i="16"/>
  <c r="P579" i="16"/>
  <c r="P580" i="16"/>
  <c r="P581" i="16"/>
  <c r="P582" i="16"/>
  <c r="P583" i="16"/>
  <c r="P584" i="16"/>
  <c r="P585" i="16"/>
  <c r="P586" i="16"/>
  <c r="P587" i="16"/>
  <c r="P588" i="16"/>
  <c r="P589" i="16"/>
  <c r="P590" i="16"/>
  <c r="P591" i="16"/>
  <c r="P592" i="16"/>
  <c r="P593" i="16"/>
  <c r="P594" i="16"/>
  <c r="P595" i="16"/>
  <c r="P596" i="16"/>
  <c r="P597" i="16"/>
  <c r="P598" i="16"/>
  <c r="P599" i="16"/>
  <c r="P600" i="16"/>
  <c r="P601" i="16"/>
  <c r="P602" i="16"/>
  <c r="P603" i="16"/>
  <c r="P604" i="16"/>
  <c r="P605" i="16"/>
  <c r="P606" i="16"/>
  <c r="P607" i="16"/>
  <c r="P608" i="16"/>
  <c r="P609" i="16"/>
  <c r="P610" i="16"/>
  <c r="P611" i="16"/>
  <c r="P612" i="16"/>
  <c r="P613" i="16"/>
  <c r="P614" i="16"/>
  <c r="P615" i="16"/>
  <c r="P616" i="16"/>
  <c r="P617" i="16"/>
  <c r="P618" i="16"/>
  <c r="P619" i="16"/>
  <c r="P620" i="16"/>
  <c r="P621" i="16"/>
  <c r="P622" i="16"/>
  <c r="P623" i="16"/>
  <c r="P624" i="16"/>
  <c r="P625" i="16"/>
  <c r="P626" i="16"/>
  <c r="P627" i="16"/>
  <c r="P628" i="16"/>
  <c r="P629" i="16"/>
  <c r="P630" i="16"/>
  <c r="P631" i="16"/>
  <c r="P632" i="16"/>
  <c r="P2" i="16"/>
  <c r="AC3" i="16" l="1"/>
  <c r="AC4" i="16"/>
  <c r="AC5" i="16"/>
  <c r="AC6" i="16"/>
  <c r="AC7" i="16"/>
  <c r="AC8" i="16"/>
  <c r="AC9" i="16"/>
  <c r="AC10" i="16"/>
  <c r="AC11" i="16"/>
  <c r="AC12" i="16"/>
  <c r="AC13" i="16"/>
  <c r="AC14" i="16"/>
  <c r="AC15" i="16"/>
  <c r="AC16" i="16"/>
  <c r="AC17" i="16"/>
  <c r="AC18" i="16"/>
  <c r="AC19" i="16"/>
  <c r="AC20" i="16"/>
  <c r="AC21" i="16"/>
  <c r="AC22" i="16"/>
  <c r="AC23" i="16"/>
  <c r="AC24" i="16"/>
  <c r="AC25" i="16"/>
  <c r="AC26" i="16"/>
  <c r="AC27" i="16"/>
  <c r="AC28" i="16"/>
  <c r="AC29" i="16"/>
  <c r="AC30" i="16"/>
  <c r="AC31" i="16"/>
  <c r="AC32" i="16"/>
  <c r="AC33" i="16"/>
  <c r="AC34" i="16"/>
  <c r="AC35" i="16"/>
  <c r="AC36" i="16"/>
  <c r="AC37" i="16"/>
  <c r="AC38" i="16"/>
  <c r="AC39" i="16"/>
  <c r="AC40" i="16"/>
  <c r="AC41" i="16"/>
  <c r="AC42" i="16"/>
  <c r="AC43" i="16"/>
  <c r="AC44" i="16"/>
  <c r="AC45" i="16"/>
  <c r="AC46" i="16"/>
  <c r="AC47" i="16"/>
  <c r="AC48" i="16"/>
  <c r="AC49" i="16"/>
  <c r="AC50" i="16"/>
  <c r="AC51" i="16"/>
  <c r="AC52" i="16"/>
  <c r="AC53" i="16"/>
  <c r="AC54" i="16"/>
  <c r="AC55" i="16"/>
  <c r="AC56" i="16"/>
  <c r="AC57" i="16"/>
  <c r="AC58" i="16"/>
  <c r="AC59" i="16"/>
  <c r="AC60" i="16"/>
  <c r="AC61" i="16"/>
  <c r="AC62" i="16"/>
  <c r="AC63" i="16"/>
  <c r="AC64" i="16"/>
  <c r="AC65" i="16"/>
  <c r="AC66" i="16"/>
  <c r="AC67" i="16"/>
  <c r="AC68" i="16"/>
  <c r="AC69" i="16"/>
  <c r="AC70" i="16"/>
  <c r="AC71" i="16"/>
  <c r="AC72" i="16"/>
  <c r="AC73" i="16"/>
  <c r="AC74" i="16"/>
  <c r="AC75" i="16"/>
  <c r="AC76" i="16"/>
  <c r="AC77" i="16"/>
  <c r="AC78" i="16"/>
  <c r="AC79" i="16"/>
  <c r="AC80" i="16"/>
  <c r="AC81" i="16"/>
  <c r="AC82" i="16"/>
  <c r="AC83" i="16"/>
  <c r="AC84" i="16"/>
  <c r="AC85" i="16"/>
  <c r="AC86" i="16"/>
  <c r="AC87" i="16"/>
  <c r="AC88" i="16"/>
  <c r="AC89" i="16"/>
  <c r="AC90" i="16"/>
  <c r="AC91" i="16"/>
  <c r="AC92" i="16"/>
  <c r="AC93" i="16"/>
  <c r="AC94" i="16"/>
  <c r="AC95" i="16"/>
  <c r="AC96" i="16"/>
  <c r="AC97" i="16"/>
  <c r="AC98" i="16"/>
  <c r="AC99" i="16"/>
  <c r="AC100" i="16"/>
  <c r="AC101" i="16"/>
  <c r="AC102" i="16"/>
  <c r="AC103" i="16"/>
  <c r="AC104" i="16"/>
  <c r="AC105" i="16"/>
  <c r="AC106" i="16"/>
  <c r="AC107" i="16"/>
  <c r="AC108" i="16"/>
  <c r="AC109" i="16"/>
  <c r="AC110" i="16"/>
  <c r="AC111" i="16"/>
  <c r="AC112" i="16"/>
  <c r="AC113" i="16"/>
  <c r="AC114" i="16"/>
  <c r="AC115" i="16"/>
  <c r="AC116" i="16"/>
  <c r="AC117" i="16"/>
  <c r="AC118" i="16"/>
  <c r="AC119" i="16"/>
  <c r="AC120" i="16"/>
  <c r="AC121" i="16"/>
  <c r="AC122" i="16"/>
  <c r="AC123" i="16"/>
  <c r="AC124" i="16"/>
  <c r="AC125" i="16"/>
  <c r="AC126" i="16"/>
  <c r="AC127" i="16"/>
  <c r="AC128" i="16"/>
  <c r="AC129" i="16"/>
  <c r="AC130" i="16"/>
  <c r="AC131" i="16"/>
  <c r="AC132" i="16"/>
  <c r="AC133" i="16"/>
  <c r="AC134" i="16"/>
  <c r="AC135" i="16"/>
  <c r="AC136" i="16"/>
  <c r="AC137" i="16"/>
  <c r="AC138" i="16"/>
  <c r="AC139" i="16"/>
  <c r="AC140" i="16"/>
  <c r="AC141" i="16"/>
  <c r="AC142" i="16"/>
  <c r="AC143" i="16"/>
  <c r="AC144" i="16"/>
  <c r="AC145" i="16"/>
  <c r="AC146" i="16"/>
  <c r="AC147" i="16"/>
  <c r="AC148" i="16"/>
  <c r="AC149" i="16"/>
  <c r="AC150" i="16"/>
  <c r="AC151" i="16"/>
  <c r="AC152" i="16"/>
  <c r="AC153" i="16"/>
  <c r="AC154" i="16"/>
  <c r="AC155" i="16"/>
  <c r="AC156" i="16"/>
  <c r="AC157" i="16"/>
  <c r="AC158" i="16"/>
  <c r="AC159" i="16"/>
  <c r="AC160" i="16"/>
  <c r="AC161" i="16"/>
  <c r="AC162" i="16"/>
  <c r="AC163" i="16"/>
  <c r="AC164" i="16"/>
  <c r="AC165" i="16"/>
  <c r="AC166" i="16"/>
  <c r="AC167" i="16"/>
  <c r="AC168" i="16"/>
  <c r="AC169" i="16"/>
  <c r="AC170" i="16"/>
  <c r="AC171" i="16"/>
  <c r="AC172" i="16"/>
  <c r="AC173" i="16"/>
  <c r="AC174" i="16"/>
  <c r="AC175" i="16"/>
  <c r="AC176" i="16"/>
  <c r="AC177" i="16"/>
  <c r="AC178" i="16"/>
  <c r="AC179" i="16"/>
  <c r="AC180" i="16"/>
  <c r="AC181" i="16"/>
  <c r="AC182" i="16"/>
  <c r="AC183" i="16"/>
  <c r="AC184" i="16"/>
  <c r="AC185" i="16"/>
  <c r="AC186" i="16"/>
  <c r="AC187" i="16"/>
  <c r="AC188" i="16"/>
  <c r="AC189" i="16"/>
  <c r="AC190" i="16"/>
  <c r="AC191" i="16"/>
  <c r="AC192" i="16"/>
  <c r="AC193" i="16"/>
  <c r="AC194" i="16"/>
  <c r="AC195" i="16"/>
  <c r="AC196" i="16"/>
  <c r="AC197" i="16"/>
  <c r="AC198" i="16"/>
  <c r="AC199" i="16"/>
  <c r="AC200" i="16"/>
  <c r="AC201" i="16"/>
  <c r="AC202" i="16"/>
  <c r="AC203" i="16"/>
  <c r="AC204" i="16"/>
  <c r="AC205" i="16"/>
  <c r="AC206" i="16"/>
  <c r="AC207" i="16"/>
  <c r="AC208" i="16"/>
  <c r="AC209" i="16"/>
  <c r="AC210" i="16"/>
  <c r="AC211" i="16"/>
  <c r="AC212" i="16"/>
  <c r="AC213" i="16"/>
  <c r="AC214" i="16"/>
  <c r="AC215" i="16"/>
  <c r="AC216" i="16"/>
  <c r="AC217" i="16"/>
  <c r="AC218" i="16"/>
  <c r="AC219" i="16"/>
  <c r="AC220" i="16"/>
  <c r="AC221" i="16"/>
  <c r="AC222" i="16"/>
  <c r="AC223" i="16"/>
  <c r="AC224" i="16"/>
  <c r="AC225" i="16"/>
  <c r="AC226" i="16"/>
  <c r="AC227" i="16"/>
  <c r="AC228" i="16"/>
  <c r="AC229" i="16"/>
  <c r="AC230" i="16"/>
  <c r="AC231" i="16"/>
  <c r="AC232" i="16"/>
  <c r="AC233" i="16"/>
  <c r="AC234" i="16"/>
  <c r="AC235" i="16"/>
  <c r="AC236" i="16"/>
  <c r="AC237" i="16"/>
  <c r="AC238" i="16"/>
  <c r="AC239" i="16"/>
  <c r="AC240" i="16"/>
  <c r="AC241" i="16"/>
  <c r="AC242" i="16"/>
  <c r="AC243" i="16"/>
  <c r="AC244" i="16"/>
  <c r="AC245" i="16"/>
  <c r="AC246" i="16"/>
  <c r="AC247" i="16"/>
  <c r="AC248" i="16"/>
  <c r="AC249" i="16"/>
  <c r="AC250" i="16"/>
  <c r="AC251" i="16"/>
  <c r="AC252" i="16"/>
  <c r="AC253" i="16"/>
  <c r="AC254" i="16"/>
  <c r="AC255" i="16"/>
  <c r="AC256" i="16"/>
  <c r="AC257" i="16"/>
  <c r="AC258" i="16"/>
  <c r="AC259" i="16"/>
  <c r="AC260" i="16"/>
  <c r="AC261" i="16"/>
  <c r="AC262" i="16"/>
  <c r="AC263" i="16"/>
  <c r="AC264" i="16"/>
  <c r="AC265" i="16"/>
  <c r="AC266" i="16"/>
  <c r="AC267" i="16"/>
  <c r="AC268" i="16"/>
  <c r="AC269" i="16"/>
  <c r="AC270" i="16"/>
  <c r="AC271" i="16"/>
  <c r="AC272" i="16"/>
  <c r="AC273" i="16"/>
  <c r="AC274" i="16"/>
  <c r="AC275" i="16"/>
  <c r="AC276" i="16"/>
  <c r="AC277" i="16"/>
  <c r="AC278" i="16"/>
  <c r="AC279" i="16"/>
  <c r="AC280" i="16"/>
  <c r="AC281" i="16"/>
  <c r="AC282" i="16"/>
  <c r="AC283" i="16"/>
  <c r="AC284" i="16"/>
  <c r="AC285" i="16"/>
  <c r="AC286" i="16"/>
  <c r="AC287" i="16"/>
  <c r="AC288" i="16"/>
  <c r="AC289" i="16"/>
  <c r="AC290" i="16"/>
  <c r="AC291" i="16"/>
  <c r="AC292" i="16"/>
  <c r="AC293" i="16"/>
  <c r="AC294" i="16"/>
  <c r="AC295" i="16"/>
  <c r="AC296" i="16"/>
  <c r="AC297" i="16"/>
  <c r="AC298" i="16"/>
  <c r="AC299" i="16"/>
  <c r="AC300" i="16"/>
  <c r="AC301" i="16"/>
  <c r="AC302" i="16"/>
  <c r="AC303" i="16"/>
  <c r="AC304" i="16"/>
  <c r="AC305" i="16"/>
  <c r="AC306" i="16"/>
  <c r="AC307" i="16"/>
  <c r="AC308" i="16"/>
  <c r="AC309" i="16"/>
  <c r="AC310" i="16"/>
  <c r="AC311" i="16"/>
  <c r="AC312" i="16"/>
  <c r="AC313" i="16"/>
  <c r="AC314" i="16"/>
  <c r="AC315" i="16"/>
  <c r="AC316" i="16"/>
  <c r="AC317" i="16"/>
  <c r="AC318" i="16"/>
  <c r="AC319" i="16"/>
  <c r="AC320" i="16"/>
  <c r="AC321" i="16"/>
  <c r="AC322" i="16"/>
  <c r="AC323" i="16"/>
  <c r="AC324" i="16"/>
  <c r="AC325" i="16"/>
  <c r="AC326" i="16"/>
  <c r="AC327" i="16"/>
  <c r="AC328" i="16"/>
  <c r="AC329" i="16"/>
  <c r="AC330" i="16"/>
  <c r="AC331" i="16"/>
  <c r="AC332" i="16"/>
  <c r="AC333" i="16"/>
  <c r="AC334" i="16"/>
  <c r="AC335" i="16"/>
  <c r="AC336" i="16"/>
  <c r="AC337" i="16"/>
  <c r="AC338" i="16"/>
  <c r="AC339" i="16"/>
  <c r="AC340" i="16"/>
  <c r="AC341" i="16"/>
  <c r="AC342" i="16"/>
  <c r="AC343" i="16"/>
  <c r="AC344" i="16"/>
  <c r="AC345" i="16"/>
  <c r="AC346" i="16"/>
  <c r="AC347" i="16"/>
  <c r="AC348" i="16"/>
  <c r="AC349" i="16"/>
  <c r="AC350" i="16"/>
  <c r="AC351" i="16"/>
  <c r="AC352" i="16"/>
  <c r="AC353" i="16"/>
  <c r="AC354" i="16"/>
  <c r="AC355" i="16"/>
  <c r="AC356" i="16"/>
  <c r="AC357" i="16"/>
  <c r="AC358" i="16"/>
  <c r="AC359" i="16"/>
  <c r="AC360" i="16"/>
  <c r="AC361" i="16"/>
  <c r="AC362" i="16"/>
  <c r="AC363" i="16"/>
  <c r="AC364" i="16"/>
  <c r="AC365" i="16"/>
  <c r="AC366" i="16"/>
  <c r="AC367" i="16"/>
  <c r="AC368" i="16"/>
  <c r="AC369" i="16"/>
  <c r="AC370" i="16"/>
  <c r="AC371" i="16"/>
  <c r="AC372" i="16"/>
  <c r="AC373" i="16"/>
  <c r="AC374" i="16"/>
  <c r="AC375" i="16"/>
  <c r="AC376" i="16"/>
  <c r="AC377" i="16"/>
  <c r="AC378" i="16"/>
  <c r="AC379" i="16"/>
  <c r="AC380" i="16"/>
  <c r="AC381" i="16"/>
  <c r="AC382" i="16"/>
  <c r="AC383" i="16"/>
  <c r="AC384" i="16"/>
  <c r="AC385" i="16"/>
  <c r="AC386" i="16"/>
  <c r="AC387" i="16"/>
  <c r="AC388" i="16"/>
  <c r="AC389" i="16"/>
  <c r="AC390" i="16"/>
  <c r="AC391" i="16"/>
  <c r="AC392" i="16"/>
  <c r="AC393" i="16"/>
  <c r="AC394" i="16"/>
  <c r="AC395" i="16"/>
  <c r="AC396" i="16"/>
  <c r="AC397" i="16"/>
  <c r="AC398" i="16"/>
  <c r="AC399" i="16"/>
  <c r="AC400" i="16"/>
  <c r="AC401" i="16"/>
  <c r="AC402" i="16"/>
  <c r="AC403" i="16"/>
  <c r="AC404" i="16"/>
  <c r="AC405" i="16"/>
  <c r="AC406" i="16"/>
  <c r="AC407" i="16"/>
  <c r="AC408" i="16"/>
  <c r="AC409" i="16"/>
  <c r="AC410" i="16"/>
  <c r="AC411" i="16"/>
  <c r="AC412" i="16"/>
  <c r="AC413" i="16"/>
  <c r="AC414" i="16"/>
  <c r="AC415" i="16"/>
  <c r="AC416" i="16"/>
  <c r="AC417" i="16"/>
  <c r="AC418" i="16"/>
  <c r="AC419" i="16"/>
  <c r="AC420" i="16"/>
  <c r="AC421" i="16"/>
  <c r="AC422" i="16"/>
  <c r="AC423" i="16"/>
  <c r="AC424" i="16"/>
  <c r="AC425" i="16"/>
  <c r="AC426" i="16"/>
  <c r="AC427" i="16"/>
  <c r="AC428" i="16"/>
  <c r="AC429" i="16"/>
  <c r="AC430" i="16"/>
  <c r="AC431" i="16"/>
  <c r="AC432" i="16"/>
  <c r="AC433" i="16"/>
  <c r="AC434" i="16"/>
  <c r="AC435" i="16"/>
  <c r="AC436" i="16"/>
  <c r="AC437" i="16"/>
  <c r="AC438" i="16"/>
  <c r="AC439" i="16"/>
  <c r="AC440" i="16"/>
  <c r="AC441" i="16"/>
  <c r="AC442" i="16"/>
  <c r="AC443" i="16"/>
  <c r="AC444" i="16"/>
  <c r="AC445" i="16"/>
  <c r="AC446" i="16"/>
  <c r="AC447" i="16"/>
  <c r="AC448" i="16"/>
  <c r="AC449" i="16"/>
  <c r="AC450" i="16"/>
  <c r="AC451" i="16"/>
  <c r="AC452" i="16"/>
  <c r="AC453" i="16"/>
  <c r="AC454" i="16"/>
  <c r="AC455" i="16"/>
  <c r="AC456" i="16"/>
  <c r="AC457" i="16"/>
  <c r="AC458" i="16"/>
  <c r="AC459" i="16"/>
  <c r="AC460" i="16"/>
  <c r="AC461" i="16"/>
  <c r="AC462" i="16"/>
  <c r="AC463" i="16"/>
  <c r="AC464" i="16"/>
  <c r="AC465" i="16"/>
  <c r="AC466" i="16"/>
  <c r="AC467" i="16"/>
  <c r="AC468" i="16"/>
  <c r="AC469" i="16"/>
  <c r="AC470" i="16"/>
  <c r="AC471" i="16"/>
  <c r="AC472" i="16"/>
  <c r="AC473" i="16"/>
  <c r="AC474" i="16"/>
  <c r="AC475" i="16"/>
  <c r="AC476" i="16"/>
  <c r="AC477" i="16"/>
  <c r="AC478" i="16"/>
  <c r="AC479" i="16"/>
  <c r="AC480" i="16"/>
  <c r="AC481" i="16"/>
  <c r="AC482" i="16"/>
  <c r="AC483" i="16"/>
  <c r="AC484" i="16"/>
  <c r="AC485" i="16"/>
  <c r="AC486" i="16"/>
  <c r="AC487" i="16"/>
  <c r="AC488" i="16"/>
  <c r="AC489" i="16"/>
  <c r="AC490" i="16"/>
  <c r="AC491" i="16"/>
  <c r="AC492" i="16"/>
  <c r="AC493" i="16"/>
  <c r="AC494" i="16"/>
  <c r="AC495" i="16"/>
  <c r="AC496" i="16"/>
  <c r="AC497" i="16"/>
  <c r="AC498" i="16"/>
  <c r="AC499" i="16"/>
  <c r="AC500" i="16"/>
  <c r="AC501" i="16"/>
  <c r="AC502" i="16"/>
  <c r="AC503" i="16"/>
  <c r="AC504" i="16"/>
  <c r="AC505" i="16"/>
  <c r="AC506" i="16"/>
  <c r="AC507" i="16"/>
  <c r="AC508" i="16"/>
  <c r="AC509" i="16"/>
  <c r="AC510" i="16"/>
  <c r="AC511" i="16"/>
  <c r="AC512" i="16"/>
  <c r="AC513" i="16"/>
  <c r="AC514" i="16"/>
  <c r="AC515" i="16"/>
  <c r="AC516" i="16"/>
  <c r="AC517" i="16"/>
  <c r="AC518" i="16"/>
  <c r="AC519" i="16"/>
  <c r="AC520" i="16"/>
  <c r="AC521" i="16"/>
  <c r="AC522" i="16"/>
  <c r="AC523" i="16"/>
  <c r="AC524" i="16"/>
  <c r="AC525" i="16"/>
  <c r="AC526" i="16"/>
  <c r="AC527" i="16"/>
  <c r="AC528" i="16"/>
  <c r="AC529" i="16"/>
  <c r="AC530" i="16"/>
  <c r="AC531" i="16"/>
  <c r="AC532" i="16"/>
  <c r="AC533" i="16"/>
  <c r="AC534" i="16"/>
  <c r="AC535" i="16"/>
  <c r="AC536" i="16"/>
  <c r="AC537" i="16"/>
  <c r="AC538" i="16"/>
  <c r="AC539" i="16"/>
  <c r="AC540" i="16"/>
  <c r="AC541" i="16"/>
  <c r="AC542" i="16"/>
  <c r="AC543" i="16"/>
  <c r="AC544" i="16"/>
  <c r="AC545" i="16"/>
  <c r="AC546" i="16"/>
  <c r="AC547" i="16"/>
  <c r="AC548" i="16"/>
  <c r="AC549" i="16"/>
  <c r="AC550" i="16"/>
  <c r="AC551" i="16"/>
  <c r="AC552" i="16"/>
  <c r="AC553" i="16"/>
  <c r="AC554" i="16"/>
  <c r="AC555" i="16"/>
  <c r="AC556" i="16"/>
  <c r="AC557" i="16"/>
  <c r="AC558" i="16"/>
  <c r="AC559" i="16"/>
  <c r="AC560" i="16"/>
  <c r="AC561" i="16"/>
  <c r="AC562" i="16"/>
  <c r="AC563" i="16"/>
  <c r="AC564" i="16"/>
  <c r="AC565" i="16"/>
  <c r="AC566" i="16"/>
  <c r="AC567" i="16"/>
  <c r="AC568" i="16"/>
  <c r="AC569" i="16"/>
  <c r="AC570" i="16"/>
  <c r="AC571" i="16"/>
  <c r="AC572" i="16"/>
  <c r="AC573" i="16"/>
  <c r="AC574" i="16"/>
  <c r="AC575" i="16"/>
  <c r="AC576" i="16"/>
  <c r="AC577" i="16"/>
  <c r="AC578" i="16"/>
  <c r="AC579" i="16"/>
  <c r="AC580" i="16"/>
  <c r="AC581" i="16"/>
  <c r="AC582" i="16"/>
  <c r="AC583" i="16"/>
  <c r="AC584" i="16"/>
  <c r="AC585" i="16"/>
  <c r="AC586" i="16"/>
  <c r="AC587" i="16"/>
  <c r="AC588" i="16"/>
  <c r="AC589" i="16"/>
  <c r="AC590" i="16"/>
  <c r="AC591" i="16"/>
  <c r="AC592" i="16"/>
  <c r="AC593" i="16"/>
  <c r="AC594" i="16"/>
  <c r="AC595" i="16"/>
  <c r="AC596" i="16"/>
  <c r="AC597" i="16"/>
  <c r="AC598" i="16"/>
  <c r="AC599" i="16"/>
  <c r="AC600" i="16"/>
  <c r="AC601" i="16"/>
  <c r="AC602" i="16"/>
  <c r="AC603" i="16"/>
  <c r="AC604" i="16"/>
  <c r="AC605" i="16"/>
  <c r="AC606" i="16"/>
  <c r="AC607" i="16"/>
  <c r="AC608" i="16"/>
  <c r="AC609" i="16"/>
  <c r="AC610" i="16"/>
  <c r="AC611" i="16"/>
  <c r="AC612" i="16"/>
  <c r="AC613" i="16"/>
  <c r="AC614" i="16"/>
  <c r="AC615" i="16"/>
  <c r="AC616" i="16"/>
  <c r="AC617" i="16"/>
  <c r="AC618" i="16"/>
  <c r="AC619" i="16"/>
  <c r="AC620" i="16"/>
  <c r="AC621" i="16"/>
  <c r="AC622" i="16"/>
  <c r="AC623" i="16"/>
  <c r="AC624" i="16"/>
  <c r="AC625" i="16"/>
  <c r="AC626" i="16"/>
  <c r="AC627" i="16"/>
  <c r="AC628" i="16"/>
  <c r="AC629" i="16"/>
  <c r="AC630" i="16"/>
  <c r="AC631" i="16"/>
  <c r="AC632" i="16"/>
  <c r="AC2" i="16"/>
  <c r="AB3" i="16"/>
  <c r="AB4" i="16"/>
  <c r="AB5" i="16"/>
  <c r="AB6" i="16"/>
  <c r="AB7" i="16"/>
  <c r="AB8" i="16"/>
  <c r="AB9" i="16"/>
  <c r="AB10" i="16"/>
  <c r="AB11" i="16"/>
  <c r="AB12" i="16"/>
  <c r="AB13" i="16"/>
  <c r="AB14" i="16"/>
  <c r="AB15" i="16"/>
  <c r="AB16" i="16"/>
  <c r="AB17" i="16"/>
  <c r="AB18" i="16"/>
  <c r="AB19" i="16"/>
  <c r="AB20" i="16"/>
  <c r="AB21" i="16"/>
  <c r="AB22" i="16"/>
  <c r="AB23" i="16"/>
  <c r="AB24" i="16"/>
  <c r="AB25" i="16"/>
  <c r="AB26" i="16"/>
  <c r="AB27" i="16"/>
  <c r="AB28" i="16"/>
  <c r="AB29" i="16"/>
  <c r="AB30" i="16"/>
  <c r="AB31" i="16"/>
  <c r="AB32" i="16"/>
  <c r="AB33" i="16"/>
  <c r="AB34" i="16"/>
  <c r="AB35" i="16"/>
  <c r="AB36" i="16"/>
  <c r="AB37" i="16"/>
  <c r="AB38" i="16"/>
  <c r="AB39" i="16"/>
  <c r="AB40" i="16"/>
  <c r="AB41" i="16"/>
  <c r="AB42" i="16"/>
  <c r="AB43" i="16"/>
  <c r="AB44" i="16"/>
  <c r="AB45" i="16"/>
  <c r="AB46" i="16"/>
  <c r="AB47" i="16"/>
  <c r="AB48" i="16"/>
  <c r="AB49" i="16"/>
  <c r="AB50" i="16"/>
  <c r="AB51" i="16"/>
  <c r="AB52" i="16"/>
  <c r="AB53" i="16"/>
  <c r="AB54" i="16"/>
  <c r="AB55" i="16"/>
  <c r="AB56" i="16"/>
  <c r="AB57" i="16"/>
  <c r="AB58" i="16"/>
  <c r="AB59" i="16"/>
  <c r="AB60" i="16"/>
  <c r="AB61" i="16"/>
  <c r="AB62" i="16"/>
  <c r="AB63" i="16"/>
  <c r="AB64" i="16"/>
  <c r="AB65" i="16"/>
  <c r="AB66" i="16"/>
  <c r="AB67" i="16"/>
  <c r="AB68" i="16"/>
  <c r="AB69" i="16"/>
  <c r="AB70" i="16"/>
  <c r="AB71" i="16"/>
  <c r="AB72" i="16"/>
  <c r="AB73" i="16"/>
  <c r="AB74" i="16"/>
  <c r="AB75" i="16"/>
  <c r="AB76" i="16"/>
  <c r="AB77" i="16"/>
  <c r="AB78" i="16"/>
  <c r="AB79" i="16"/>
  <c r="AB80" i="16"/>
  <c r="AB81" i="16"/>
  <c r="AB82" i="16"/>
  <c r="AB83" i="16"/>
  <c r="AB84" i="16"/>
  <c r="AB85" i="16"/>
  <c r="AB86" i="16"/>
  <c r="AB87" i="16"/>
  <c r="AB88" i="16"/>
  <c r="AB89" i="16"/>
  <c r="AB90" i="16"/>
  <c r="AB91" i="16"/>
  <c r="AB92" i="16"/>
  <c r="AB93" i="16"/>
  <c r="AB94" i="16"/>
  <c r="AB95" i="16"/>
  <c r="AB96" i="16"/>
  <c r="AB97" i="16"/>
  <c r="AB98" i="16"/>
  <c r="AB99" i="16"/>
  <c r="AB100" i="16"/>
  <c r="AB101" i="16"/>
  <c r="AB102" i="16"/>
  <c r="AB103" i="16"/>
  <c r="AB104" i="16"/>
  <c r="AB105" i="16"/>
  <c r="AB106" i="16"/>
  <c r="AB107" i="16"/>
  <c r="AB108" i="16"/>
  <c r="AB109" i="16"/>
  <c r="AB110" i="16"/>
  <c r="AB111" i="16"/>
  <c r="AB112" i="16"/>
  <c r="AB113" i="16"/>
  <c r="AB114" i="16"/>
  <c r="AB115" i="16"/>
  <c r="AB116" i="16"/>
  <c r="AB117" i="16"/>
  <c r="AB118" i="16"/>
  <c r="AB119" i="16"/>
  <c r="AB120" i="16"/>
  <c r="AB121" i="16"/>
  <c r="AB122" i="16"/>
  <c r="AB123" i="16"/>
  <c r="AB124" i="16"/>
  <c r="AB125" i="16"/>
  <c r="AB126" i="16"/>
  <c r="AB127" i="16"/>
  <c r="AB128" i="16"/>
  <c r="AB129" i="16"/>
  <c r="AB130" i="16"/>
  <c r="AB131" i="16"/>
  <c r="AB132" i="16"/>
  <c r="AB133" i="16"/>
  <c r="AB134" i="16"/>
  <c r="AB135" i="16"/>
  <c r="AB136" i="16"/>
  <c r="AB137" i="16"/>
  <c r="AB138" i="16"/>
  <c r="AB139" i="16"/>
  <c r="AB140" i="16"/>
  <c r="AB141" i="16"/>
  <c r="AB142" i="16"/>
  <c r="AB143" i="16"/>
  <c r="AB144" i="16"/>
  <c r="AB145" i="16"/>
  <c r="AB146" i="16"/>
  <c r="AB147" i="16"/>
  <c r="AB148" i="16"/>
  <c r="AB149" i="16"/>
  <c r="AB150" i="16"/>
  <c r="AB151" i="16"/>
  <c r="AB152" i="16"/>
  <c r="AB153" i="16"/>
  <c r="AB154" i="16"/>
  <c r="AB155" i="16"/>
  <c r="AB156" i="16"/>
  <c r="AB157" i="16"/>
  <c r="AB158" i="16"/>
  <c r="AB159" i="16"/>
  <c r="AB160" i="16"/>
  <c r="AB161" i="16"/>
  <c r="AB162" i="16"/>
  <c r="AB163" i="16"/>
  <c r="AB164" i="16"/>
  <c r="AB165" i="16"/>
  <c r="AB166" i="16"/>
  <c r="AB167" i="16"/>
  <c r="AB168" i="16"/>
  <c r="AB169" i="16"/>
  <c r="AB170" i="16"/>
  <c r="AB171" i="16"/>
  <c r="AB172" i="16"/>
  <c r="AB173" i="16"/>
  <c r="AB174" i="16"/>
  <c r="AB175" i="16"/>
  <c r="AB176" i="16"/>
  <c r="AB177" i="16"/>
  <c r="AB178" i="16"/>
  <c r="AB179" i="16"/>
  <c r="AB180" i="16"/>
  <c r="AB181" i="16"/>
  <c r="AB182" i="16"/>
  <c r="AB183" i="16"/>
  <c r="AB184" i="16"/>
  <c r="AB185" i="16"/>
  <c r="AB186" i="16"/>
  <c r="AB187" i="16"/>
  <c r="AB188" i="16"/>
  <c r="AB189" i="16"/>
  <c r="AB190" i="16"/>
  <c r="AB191" i="16"/>
  <c r="AB192" i="16"/>
  <c r="AB193" i="16"/>
  <c r="AB194" i="16"/>
  <c r="AB195" i="16"/>
  <c r="AB196" i="16"/>
  <c r="AB197" i="16"/>
  <c r="AB198" i="16"/>
  <c r="AB199" i="16"/>
  <c r="AB200" i="16"/>
  <c r="AB201" i="16"/>
  <c r="AB202" i="16"/>
  <c r="AB203" i="16"/>
  <c r="AB204" i="16"/>
  <c r="AB205" i="16"/>
  <c r="AB206" i="16"/>
  <c r="AB207" i="16"/>
  <c r="AB208" i="16"/>
  <c r="AB209" i="16"/>
  <c r="AB210" i="16"/>
  <c r="AB211" i="16"/>
  <c r="AB212" i="16"/>
  <c r="AB213" i="16"/>
  <c r="AB214" i="16"/>
  <c r="AB215" i="16"/>
  <c r="AB216" i="16"/>
  <c r="AB217" i="16"/>
  <c r="AB218" i="16"/>
  <c r="AB219" i="16"/>
  <c r="AB220" i="16"/>
  <c r="AB221" i="16"/>
  <c r="AB222" i="16"/>
  <c r="AB223" i="16"/>
  <c r="AB224" i="16"/>
  <c r="AB225" i="16"/>
  <c r="AB226" i="16"/>
  <c r="AB227" i="16"/>
  <c r="AB228" i="16"/>
  <c r="AB229" i="16"/>
  <c r="AB230" i="16"/>
  <c r="AB231" i="16"/>
  <c r="AB232" i="16"/>
  <c r="AB233" i="16"/>
  <c r="AB234" i="16"/>
  <c r="AB235" i="16"/>
  <c r="AB236" i="16"/>
  <c r="AB237" i="16"/>
  <c r="AB238" i="16"/>
  <c r="AB239" i="16"/>
  <c r="AB240" i="16"/>
  <c r="AB241" i="16"/>
  <c r="AB242" i="16"/>
  <c r="AB243" i="16"/>
  <c r="AB244" i="16"/>
  <c r="AB245" i="16"/>
  <c r="AB246" i="16"/>
  <c r="AB247" i="16"/>
  <c r="AB248" i="16"/>
  <c r="AB249" i="16"/>
  <c r="AB250" i="16"/>
  <c r="AB251" i="16"/>
  <c r="AB252" i="16"/>
  <c r="AB253" i="16"/>
  <c r="AB254" i="16"/>
  <c r="AB255" i="16"/>
  <c r="AB256" i="16"/>
  <c r="AB257" i="16"/>
  <c r="AB258" i="16"/>
  <c r="AB259" i="16"/>
  <c r="AB260" i="16"/>
  <c r="AB261" i="16"/>
  <c r="AB262" i="16"/>
  <c r="AB263" i="16"/>
  <c r="AB264" i="16"/>
  <c r="AB265" i="16"/>
  <c r="AB266" i="16"/>
  <c r="AB267" i="16"/>
  <c r="AB268" i="16"/>
  <c r="AB269" i="16"/>
  <c r="AB270" i="16"/>
  <c r="AB271" i="16"/>
  <c r="AB272" i="16"/>
  <c r="AB273" i="16"/>
  <c r="AB274" i="16"/>
  <c r="AB275" i="16"/>
  <c r="AB276" i="16"/>
  <c r="AB277" i="16"/>
  <c r="AB278" i="16"/>
  <c r="AB279" i="16"/>
  <c r="AB280" i="16"/>
  <c r="AB281" i="16"/>
  <c r="AB282" i="16"/>
  <c r="AB283" i="16"/>
  <c r="AB284" i="16"/>
  <c r="AB285" i="16"/>
  <c r="AB286" i="16"/>
  <c r="AB287" i="16"/>
  <c r="AB288" i="16"/>
  <c r="AB289" i="16"/>
  <c r="AB290" i="16"/>
  <c r="AB291" i="16"/>
  <c r="AB292" i="16"/>
  <c r="AB293" i="16"/>
  <c r="AB294" i="16"/>
  <c r="AB295" i="16"/>
  <c r="AB296" i="16"/>
  <c r="AB297" i="16"/>
  <c r="AB298" i="16"/>
  <c r="AB299" i="16"/>
  <c r="AB300" i="16"/>
  <c r="AB301" i="16"/>
  <c r="AB302" i="16"/>
  <c r="AB303" i="16"/>
  <c r="AB304" i="16"/>
  <c r="AB305" i="16"/>
  <c r="AB306" i="16"/>
  <c r="AB307" i="16"/>
  <c r="AB308" i="16"/>
  <c r="AB309" i="16"/>
  <c r="AB310" i="16"/>
  <c r="AB311" i="16"/>
  <c r="AB312" i="16"/>
  <c r="AB313" i="16"/>
  <c r="AB314" i="16"/>
  <c r="AB315" i="16"/>
  <c r="AB316" i="16"/>
  <c r="AB317" i="16"/>
  <c r="AB318" i="16"/>
  <c r="AB319" i="16"/>
  <c r="AB320" i="16"/>
  <c r="AB321" i="16"/>
  <c r="AB322" i="16"/>
  <c r="AB323" i="16"/>
  <c r="AB324" i="16"/>
  <c r="AB325" i="16"/>
  <c r="AB326" i="16"/>
  <c r="AB327" i="16"/>
  <c r="AB328" i="16"/>
  <c r="AB329" i="16"/>
  <c r="AB330" i="16"/>
  <c r="AB331" i="16"/>
  <c r="AB332" i="16"/>
  <c r="AB333" i="16"/>
  <c r="AB334" i="16"/>
  <c r="AB335" i="16"/>
  <c r="AB336" i="16"/>
  <c r="AB337" i="16"/>
  <c r="AB338" i="16"/>
  <c r="AB339" i="16"/>
  <c r="AB340" i="16"/>
  <c r="AB341" i="16"/>
  <c r="AB342" i="16"/>
  <c r="AB343" i="16"/>
  <c r="AB344" i="16"/>
  <c r="AB345" i="16"/>
  <c r="AB346" i="16"/>
  <c r="AB347" i="16"/>
  <c r="AB348" i="16"/>
  <c r="AB349" i="16"/>
  <c r="AB350" i="16"/>
  <c r="AB351" i="16"/>
  <c r="AB352" i="16"/>
  <c r="AB353" i="16"/>
  <c r="AB354" i="16"/>
  <c r="AB355" i="16"/>
  <c r="AB356" i="16"/>
  <c r="AB357" i="16"/>
  <c r="AB358" i="16"/>
  <c r="AB359" i="16"/>
  <c r="AB360" i="16"/>
  <c r="AB361" i="16"/>
  <c r="AB362" i="16"/>
  <c r="AB363" i="16"/>
  <c r="AB364" i="16"/>
  <c r="AB365" i="16"/>
  <c r="AB366" i="16"/>
  <c r="AB367" i="16"/>
  <c r="AB368" i="16"/>
  <c r="AB369" i="16"/>
  <c r="AB370" i="16"/>
  <c r="AB371" i="16"/>
  <c r="AB372" i="16"/>
  <c r="AB373" i="16"/>
  <c r="AB374" i="16"/>
  <c r="AB375" i="16"/>
  <c r="AB376" i="16"/>
  <c r="AB377" i="16"/>
  <c r="AB378" i="16"/>
  <c r="AB379" i="16"/>
  <c r="AB380" i="16"/>
  <c r="AB381" i="16"/>
  <c r="AB382" i="16"/>
  <c r="AB383" i="16"/>
  <c r="AB384" i="16"/>
  <c r="AB385" i="16"/>
  <c r="AB386" i="16"/>
  <c r="AB387" i="16"/>
  <c r="AB388" i="16"/>
  <c r="AB389" i="16"/>
  <c r="AB390" i="16"/>
  <c r="AB391" i="16"/>
  <c r="AB392" i="16"/>
  <c r="AB393" i="16"/>
  <c r="AB394" i="16"/>
  <c r="AB395" i="16"/>
  <c r="AB396" i="16"/>
  <c r="AB397" i="16"/>
  <c r="AB398" i="16"/>
  <c r="AB399" i="16"/>
  <c r="AB400" i="16"/>
  <c r="AB401" i="16"/>
  <c r="AB402" i="16"/>
  <c r="AB403" i="16"/>
  <c r="AB404" i="16"/>
  <c r="AB405" i="16"/>
  <c r="AB406" i="16"/>
  <c r="AB407" i="16"/>
  <c r="AB408" i="16"/>
  <c r="AB409" i="16"/>
  <c r="AB410" i="16"/>
  <c r="AB411" i="16"/>
  <c r="AB412" i="16"/>
  <c r="AB413" i="16"/>
  <c r="AB414" i="16"/>
  <c r="AB415" i="16"/>
  <c r="AB416" i="16"/>
  <c r="AB417" i="16"/>
  <c r="AB418" i="16"/>
  <c r="AB419" i="16"/>
  <c r="AB420" i="16"/>
  <c r="AB421" i="16"/>
  <c r="AB422" i="16"/>
  <c r="AB423" i="16"/>
  <c r="AB424" i="16"/>
  <c r="AB425" i="16"/>
  <c r="AB426" i="16"/>
  <c r="AB427" i="16"/>
  <c r="AB428" i="16"/>
  <c r="AB429" i="16"/>
  <c r="AB430" i="16"/>
  <c r="AB431" i="16"/>
  <c r="AB432" i="16"/>
  <c r="AB433" i="16"/>
  <c r="AB434" i="16"/>
  <c r="AB435" i="16"/>
  <c r="AB436" i="16"/>
  <c r="AB437" i="16"/>
  <c r="AB438" i="16"/>
  <c r="AB439" i="16"/>
  <c r="AB440" i="16"/>
  <c r="AB441" i="16"/>
  <c r="AB442" i="16"/>
  <c r="AB443" i="16"/>
  <c r="AB444" i="16"/>
  <c r="AB445" i="16"/>
  <c r="AB446" i="16"/>
  <c r="AB447" i="16"/>
  <c r="AB448" i="16"/>
  <c r="AB449" i="16"/>
  <c r="AB450" i="16"/>
  <c r="AB451" i="16"/>
  <c r="AB452" i="16"/>
  <c r="AB453" i="16"/>
  <c r="AB454" i="16"/>
  <c r="AB455" i="16"/>
  <c r="AB456" i="16"/>
  <c r="AB457" i="16"/>
  <c r="AB458" i="16"/>
  <c r="AB459" i="16"/>
  <c r="AB460" i="16"/>
  <c r="AB461" i="16"/>
  <c r="AB462" i="16"/>
  <c r="AB463" i="16"/>
  <c r="AB464" i="16"/>
  <c r="AB465" i="16"/>
  <c r="AB466" i="16"/>
  <c r="AB467" i="16"/>
  <c r="AB468" i="16"/>
  <c r="AB469" i="16"/>
  <c r="AB470" i="16"/>
  <c r="AB471" i="16"/>
  <c r="AB472" i="16"/>
  <c r="AB473" i="16"/>
  <c r="AB474" i="16"/>
  <c r="AB475" i="16"/>
  <c r="AB476" i="16"/>
  <c r="AB477" i="16"/>
  <c r="AB478" i="16"/>
  <c r="AB479" i="16"/>
  <c r="AB480" i="16"/>
  <c r="AB481" i="16"/>
  <c r="AB482" i="16"/>
  <c r="AB483" i="16"/>
  <c r="AB484" i="16"/>
  <c r="AB485" i="16"/>
  <c r="AB486" i="16"/>
  <c r="AB487" i="16"/>
  <c r="AB488" i="16"/>
  <c r="AB489" i="16"/>
  <c r="AB490" i="16"/>
  <c r="AB491" i="16"/>
  <c r="AB492" i="16"/>
  <c r="AB493" i="16"/>
  <c r="AB494" i="16"/>
  <c r="AB495" i="16"/>
  <c r="AB496" i="16"/>
  <c r="AB497" i="16"/>
  <c r="AB498" i="16"/>
  <c r="AB499" i="16"/>
  <c r="AB500" i="16"/>
  <c r="AB501" i="16"/>
  <c r="AB502" i="16"/>
  <c r="AB503" i="16"/>
  <c r="AB504" i="16"/>
  <c r="AB505" i="16"/>
  <c r="AB506" i="16"/>
  <c r="AB507" i="16"/>
  <c r="AB508" i="16"/>
  <c r="AB509" i="16"/>
  <c r="AB510" i="16"/>
  <c r="AB511" i="16"/>
  <c r="AB512" i="16"/>
  <c r="AB513" i="16"/>
  <c r="AB514" i="16"/>
  <c r="AB515" i="16"/>
  <c r="AB516" i="16"/>
  <c r="AB517" i="16"/>
  <c r="AB518" i="16"/>
  <c r="AB519" i="16"/>
  <c r="AB520" i="16"/>
  <c r="AB521" i="16"/>
  <c r="AB522" i="16"/>
  <c r="AB523" i="16"/>
  <c r="AB524" i="16"/>
  <c r="AB525" i="16"/>
  <c r="AB526" i="16"/>
  <c r="AB527" i="16"/>
  <c r="AB528" i="16"/>
  <c r="AB529" i="16"/>
  <c r="AB530" i="16"/>
  <c r="AB531" i="16"/>
  <c r="AB532" i="16"/>
  <c r="AB533" i="16"/>
  <c r="AB534" i="16"/>
  <c r="AB535" i="16"/>
  <c r="AB536" i="16"/>
  <c r="AB537" i="16"/>
  <c r="AB538" i="16"/>
  <c r="AB539" i="16"/>
  <c r="AB540" i="16"/>
  <c r="AB541" i="16"/>
  <c r="AB542" i="16"/>
  <c r="AB543" i="16"/>
  <c r="AB544" i="16"/>
  <c r="AB545" i="16"/>
  <c r="AB546" i="16"/>
  <c r="AB547" i="16"/>
  <c r="AB548" i="16"/>
  <c r="AB549" i="16"/>
  <c r="AB550" i="16"/>
  <c r="AB551" i="16"/>
  <c r="AB552" i="16"/>
  <c r="AB553" i="16"/>
  <c r="AB554" i="16"/>
  <c r="AB555" i="16"/>
  <c r="AB556" i="16"/>
  <c r="AB557" i="16"/>
  <c r="AB558" i="16"/>
  <c r="AB559" i="16"/>
  <c r="AB560" i="16"/>
  <c r="AB561" i="16"/>
  <c r="AB562" i="16"/>
  <c r="AB563" i="16"/>
  <c r="AB564" i="16"/>
  <c r="AB565" i="16"/>
  <c r="AB566" i="16"/>
  <c r="AB567" i="16"/>
  <c r="AB568" i="16"/>
  <c r="AB569" i="16"/>
  <c r="AB570" i="16"/>
  <c r="AB571" i="16"/>
  <c r="AB572" i="16"/>
  <c r="AB573" i="16"/>
  <c r="AB574" i="16"/>
  <c r="AB575" i="16"/>
  <c r="AB576" i="16"/>
  <c r="AB577" i="16"/>
  <c r="AB578" i="16"/>
  <c r="AB579" i="16"/>
  <c r="AB580" i="16"/>
  <c r="AB581" i="16"/>
  <c r="AB582" i="16"/>
  <c r="AB583" i="16"/>
  <c r="AB584" i="16"/>
  <c r="AB585" i="16"/>
  <c r="AB586" i="16"/>
  <c r="AB587" i="16"/>
  <c r="AB588" i="16"/>
  <c r="AB589" i="16"/>
  <c r="AB590" i="16"/>
  <c r="AB591" i="16"/>
  <c r="AB592" i="16"/>
  <c r="AB593" i="16"/>
  <c r="AB594" i="16"/>
  <c r="AB595" i="16"/>
  <c r="AB596" i="16"/>
  <c r="AB597" i="16"/>
  <c r="AB598" i="16"/>
  <c r="AB599" i="16"/>
  <c r="AB600" i="16"/>
  <c r="AB601" i="16"/>
  <c r="AB602" i="16"/>
  <c r="AB603" i="16"/>
  <c r="AB604" i="16"/>
  <c r="AB605" i="16"/>
  <c r="AB606" i="16"/>
  <c r="AB607" i="16"/>
  <c r="AB608" i="16"/>
  <c r="AB609" i="16"/>
  <c r="AB610" i="16"/>
  <c r="AB611" i="16"/>
  <c r="AB612" i="16"/>
  <c r="AB613" i="16"/>
  <c r="AB614" i="16"/>
  <c r="AB615" i="16"/>
  <c r="AB616" i="16"/>
  <c r="AB617" i="16"/>
  <c r="AB618" i="16"/>
  <c r="AB619" i="16"/>
  <c r="AB620" i="16"/>
  <c r="AB621" i="16"/>
  <c r="AB622" i="16"/>
  <c r="AB623" i="16"/>
  <c r="AB624" i="16"/>
  <c r="AB625" i="16"/>
  <c r="AB626" i="16"/>
  <c r="AB627" i="16"/>
  <c r="AB628" i="16"/>
  <c r="AB629" i="16"/>
  <c r="AB630" i="16"/>
  <c r="AB631" i="16"/>
  <c r="AB632" i="16"/>
  <c r="AB2" i="16"/>
  <c r="AA9" i="16"/>
  <c r="AA137" i="16"/>
  <c r="AA509" i="16"/>
  <c r="AA541" i="16"/>
  <c r="AA573" i="16"/>
  <c r="AA605" i="16"/>
  <c r="Z3" i="16"/>
  <c r="AA3" i="16" s="1"/>
  <c r="Z4" i="16"/>
  <c r="AA4" i="16" s="1"/>
  <c r="Z5" i="16"/>
  <c r="AA5" i="16" s="1"/>
  <c r="Z6" i="16"/>
  <c r="AA6" i="16" s="1"/>
  <c r="Z7" i="16"/>
  <c r="AA7" i="16" s="1"/>
  <c r="Z8" i="16"/>
  <c r="AA8" i="16" s="1"/>
  <c r="Z9" i="16"/>
  <c r="Z10" i="16"/>
  <c r="AA10" i="16" s="1"/>
  <c r="Z11" i="16"/>
  <c r="AA11" i="16" s="1"/>
  <c r="Z12" i="16"/>
  <c r="AA12" i="16" s="1"/>
  <c r="Z13" i="16"/>
  <c r="AA13" i="16" s="1"/>
  <c r="Z14" i="16"/>
  <c r="AA14" i="16" s="1"/>
  <c r="Z15" i="16"/>
  <c r="AA15" i="16" s="1"/>
  <c r="Z16" i="16"/>
  <c r="AA16" i="16" s="1"/>
  <c r="Z17" i="16"/>
  <c r="AA17" i="16" s="1"/>
  <c r="Z18" i="16"/>
  <c r="AA18" i="16" s="1"/>
  <c r="Z19" i="16"/>
  <c r="AA19" i="16" s="1"/>
  <c r="Z20" i="16"/>
  <c r="AA20" i="16" s="1"/>
  <c r="Z21" i="16"/>
  <c r="AA21" i="16" s="1"/>
  <c r="Z22" i="16"/>
  <c r="AA22" i="16" s="1"/>
  <c r="Z23" i="16"/>
  <c r="AA23" i="16" s="1"/>
  <c r="Z24" i="16"/>
  <c r="AA24" i="16" s="1"/>
  <c r="Z25" i="16"/>
  <c r="AA25" i="16" s="1"/>
  <c r="Z26" i="16"/>
  <c r="AA26" i="16" s="1"/>
  <c r="Z27" i="16"/>
  <c r="AA27" i="16" s="1"/>
  <c r="Z28" i="16"/>
  <c r="AA28" i="16" s="1"/>
  <c r="Z29" i="16"/>
  <c r="AA29" i="16" s="1"/>
  <c r="Z30" i="16"/>
  <c r="AA30" i="16" s="1"/>
  <c r="Z31" i="16"/>
  <c r="AA31" i="16" s="1"/>
  <c r="Z32" i="16"/>
  <c r="AA32" i="16" s="1"/>
  <c r="Z33" i="16"/>
  <c r="AA33" i="16" s="1"/>
  <c r="Z34" i="16"/>
  <c r="AA34" i="16" s="1"/>
  <c r="Z35" i="16"/>
  <c r="AA35" i="16" s="1"/>
  <c r="Z36" i="16"/>
  <c r="AA36" i="16" s="1"/>
  <c r="Z37" i="16"/>
  <c r="AA37" i="16" s="1"/>
  <c r="Z38" i="16"/>
  <c r="AA38" i="16" s="1"/>
  <c r="Z39" i="16"/>
  <c r="AA39" i="16" s="1"/>
  <c r="Z40" i="16"/>
  <c r="AA40" i="16" s="1"/>
  <c r="Z41" i="16"/>
  <c r="AA41" i="16" s="1"/>
  <c r="Z42" i="16"/>
  <c r="AA42" i="16" s="1"/>
  <c r="Z43" i="16"/>
  <c r="AA43" i="16" s="1"/>
  <c r="Z44" i="16"/>
  <c r="AA44" i="16" s="1"/>
  <c r="Z45" i="16"/>
  <c r="AA45" i="16" s="1"/>
  <c r="Z46" i="16"/>
  <c r="AA46" i="16" s="1"/>
  <c r="Z47" i="16"/>
  <c r="AA47" i="16" s="1"/>
  <c r="Z48" i="16"/>
  <c r="AA48" i="16" s="1"/>
  <c r="Z49" i="16"/>
  <c r="AA49" i="16" s="1"/>
  <c r="Z50" i="16"/>
  <c r="AA50" i="16" s="1"/>
  <c r="Z51" i="16"/>
  <c r="AA51" i="16" s="1"/>
  <c r="Z52" i="16"/>
  <c r="AA52" i="16" s="1"/>
  <c r="Z53" i="16"/>
  <c r="AA53" i="16" s="1"/>
  <c r="Z54" i="16"/>
  <c r="AA54" i="16" s="1"/>
  <c r="Z55" i="16"/>
  <c r="AA55" i="16" s="1"/>
  <c r="Z56" i="16"/>
  <c r="AA56" i="16" s="1"/>
  <c r="Z57" i="16"/>
  <c r="AA57" i="16" s="1"/>
  <c r="Z58" i="16"/>
  <c r="AA58" i="16" s="1"/>
  <c r="Z59" i="16"/>
  <c r="AA59" i="16" s="1"/>
  <c r="Z60" i="16"/>
  <c r="AA60" i="16" s="1"/>
  <c r="Z61" i="16"/>
  <c r="AA61" i="16" s="1"/>
  <c r="Z62" i="16"/>
  <c r="AA62" i="16" s="1"/>
  <c r="Z63" i="16"/>
  <c r="AA63" i="16" s="1"/>
  <c r="Z64" i="16"/>
  <c r="AA64" i="16" s="1"/>
  <c r="Z65" i="16"/>
  <c r="AA65" i="16" s="1"/>
  <c r="Z66" i="16"/>
  <c r="AA66" i="16" s="1"/>
  <c r="Z67" i="16"/>
  <c r="AA67" i="16" s="1"/>
  <c r="Z68" i="16"/>
  <c r="AA68" i="16" s="1"/>
  <c r="Z69" i="16"/>
  <c r="AA69" i="16" s="1"/>
  <c r="Z70" i="16"/>
  <c r="AA70" i="16" s="1"/>
  <c r="Z71" i="16"/>
  <c r="AA71" i="16" s="1"/>
  <c r="Z72" i="16"/>
  <c r="AA72" i="16" s="1"/>
  <c r="AD72" i="16" s="1"/>
  <c r="Z73" i="16"/>
  <c r="AA73" i="16" s="1"/>
  <c r="Z74" i="16"/>
  <c r="AA74" i="16" s="1"/>
  <c r="Z75" i="16"/>
  <c r="AA75" i="16" s="1"/>
  <c r="Z76" i="16"/>
  <c r="AA76" i="16" s="1"/>
  <c r="Z77" i="16"/>
  <c r="AA77" i="16" s="1"/>
  <c r="Z78" i="16"/>
  <c r="AA78" i="16" s="1"/>
  <c r="Z79" i="16"/>
  <c r="AA79" i="16" s="1"/>
  <c r="Z80" i="16"/>
  <c r="AA80" i="16" s="1"/>
  <c r="Z81" i="16"/>
  <c r="AA81" i="16" s="1"/>
  <c r="Z82" i="16"/>
  <c r="AA82" i="16" s="1"/>
  <c r="Z83" i="16"/>
  <c r="AA83" i="16" s="1"/>
  <c r="Z84" i="16"/>
  <c r="AA84" i="16" s="1"/>
  <c r="Z85" i="16"/>
  <c r="AA85" i="16" s="1"/>
  <c r="Z86" i="16"/>
  <c r="AA86" i="16" s="1"/>
  <c r="Z87" i="16"/>
  <c r="AA87" i="16" s="1"/>
  <c r="Z88" i="16"/>
  <c r="AA88" i="16" s="1"/>
  <c r="Z89" i="16"/>
  <c r="AA89" i="16" s="1"/>
  <c r="Z90" i="16"/>
  <c r="AA90" i="16" s="1"/>
  <c r="Z91" i="16"/>
  <c r="AA91" i="16" s="1"/>
  <c r="Z92" i="16"/>
  <c r="AA92" i="16" s="1"/>
  <c r="Z93" i="16"/>
  <c r="AA93" i="16" s="1"/>
  <c r="Z94" i="16"/>
  <c r="AA94" i="16" s="1"/>
  <c r="Z95" i="16"/>
  <c r="AA95" i="16" s="1"/>
  <c r="Z96" i="16"/>
  <c r="AA96" i="16" s="1"/>
  <c r="Z97" i="16"/>
  <c r="AA97" i="16" s="1"/>
  <c r="Z98" i="16"/>
  <c r="AA98" i="16" s="1"/>
  <c r="Z99" i="16"/>
  <c r="AA99" i="16" s="1"/>
  <c r="Z100" i="16"/>
  <c r="AA100" i="16" s="1"/>
  <c r="Z101" i="16"/>
  <c r="AA101" i="16" s="1"/>
  <c r="Z102" i="16"/>
  <c r="AA102" i="16" s="1"/>
  <c r="Z103" i="16"/>
  <c r="AA103" i="16" s="1"/>
  <c r="Z104" i="16"/>
  <c r="AA104" i="16" s="1"/>
  <c r="Z105" i="16"/>
  <c r="AA105" i="16" s="1"/>
  <c r="Z106" i="16"/>
  <c r="AA106" i="16" s="1"/>
  <c r="Z107" i="16"/>
  <c r="AA107" i="16" s="1"/>
  <c r="Z108" i="16"/>
  <c r="AA108" i="16" s="1"/>
  <c r="Z109" i="16"/>
  <c r="AA109" i="16" s="1"/>
  <c r="Z110" i="16"/>
  <c r="AA110" i="16" s="1"/>
  <c r="Z111" i="16"/>
  <c r="AA111" i="16" s="1"/>
  <c r="Z112" i="16"/>
  <c r="AA112" i="16" s="1"/>
  <c r="Z113" i="16"/>
  <c r="AA113" i="16" s="1"/>
  <c r="Z114" i="16"/>
  <c r="AA114" i="16" s="1"/>
  <c r="Z115" i="16"/>
  <c r="AA115" i="16" s="1"/>
  <c r="Z116" i="16"/>
  <c r="AA116" i="16" s="1"/>
  <c r="Z117" i="16"/>
  <c r="AA117" i="16" s="1"/>
  <c r="Z118" i="16"/>
  <c r="AA118" i="16" s="1"/>
  <c r="Z119" i="16"/>
  <c r="AA119" i="16" s="1"/>
  <c r="Z120" i="16"/>
  <c r="AA120" i="16" s="1"/>
  <c r="Z121" i="16"/>
  <c r="AA121" i="16" s="1"/>
  <c r="Z122" i="16"/>
  <c r="AA122" i="16" s="1"/>
  <c r="Z123" i="16"/>
  <c r="AA123" i="16" s="1"/>
  <c r="Z124" i="16"/>
  <c r="AA124" i="16" s="1"/>
  <c r="Z125" i="16"/>
  <c r="AA125" i="16" s="1"/>
  <c r="Z126" i="16"/>
  <c r="AA126" i="16" s="1"/>
  <c r="Z127" i="16"/>
  <c r="AA127" i="16" s="1"/>
  <c r="Z128" i="16"/>
  <c r="AA128" i="16" s="1"/>
  <c r="Z129" i="16"/>
  <c r="AA129" i="16" s="1"/>
  <c r="Z130" i="16"/>
  <c r="AA130" i="16" s="1"/>
  <c r="Z131" i="16"/>
  <c r="AA131" i="16" s="1"/>
  <c r="Z132" i="16"/>
  <c r="AA132" i="16" s="1"/>
  <c r="Z133" i="16"/>
  <c r="AA133" i="16" s="1"/>
  <c r="Z134" i="16"/>
  <c r="AA134" i="16" s="1"/>
  <c r="Z135" i="16"/>
  <c r="AA135" i="16" s="1"/>
  <c r="Z136" i="16"/>
  <c r="AA136" i="16" s="1"/>
  <c r="AD136" i="16" s="1"/>
  <c r="Z137" i="16"/>
  <c r="Z138" i="16"/>
  <c r="AA138" i="16" s="1"/>
  <c r="Z139" i="16"/>
  <c r="AA139" i="16" s="1"/>
  <c r="Z140" i="16"/>
  <c r="AA140" i="16" s="1"/>
  <c r="Z141" i="16"/>
  <c r="AA141" i="16" s="1"/>
  <c r="Z142" i="16"/>
  <c r="AA142" i="16" s="1"/>
  <c r="Z143" i="16"/>
  <c r="AA143" i="16" s="1"/>
  <c r="Z144" i="16"/>
  <c r="AA144" i="16" s="1"/>
  <c r="Z145" i="16"/>
  <c r="AA145" i="16" s="1"/>
  <c r="Z146" i="16"/>
  <c r="AA146" i="16" s="1"/>
  <c r="Z147" i="16"/>
  <c r="AA147" i="16" s="1"/>
  <c r="Z148" i="16"/>
  <c r="AA148" i="16" s="1"/>
  <c r="Z149" i="16"/>
  <c r="AA149" i="16" s="1"/>
  <c r="Z150" i="16"/>
  <c r="AA150" i="16" s="1"/>
  <c r="Z151" i="16"/>
  <c r="AA151" i="16" s="1"/>
  <c r="Z152" i="16"/>
  <c r="AA152" i="16" s="1"/>
  <c r="Z153" i="16"/>
  <c r="AA153" i="16" s="1"/>
  <c r="Z154" i="16"/>
  <c r="AA154" i="16" s="1"/>
  <c r="Z155" i="16"/>
  <c r="AA155" i="16" s="1"/>
  <c r="Z156" i="16"/>
  <c r="AA156" i="16" s="1"/>
  <c r="Z157" i="16"/>
  <c r="AA157" i="16" s="1"/>
  <c r="Z158" i="16"/>
  <c r="AA158" i="16" s="1"/>
  <c r="Z159" i="16"/>
  <c r="AA159" i="16" s="1"/>
  <c r="Z160" i="16"/>
  <c r="AA160" i="16" s="1"/>
  <c r="Z161" i="16"/>
  <c r="AA161" i="16" s="1"/>
  <c r="Z162" i="16"/>
  <c r="AA162" i="16" s="1"/>
  <c r="Z163" i="16"/>
  <c r="AA163" i="16" s="1"/>
  <c r="Z164" i="16"/>
  <c r="AA164" i="16" s="1"/>
  <c r="Z165" i="16"/>
  <c r="AA165" i="16" s="1"/>
  <c r="Z166" i="16"/>
  <c r="AA166" i="16" s="1"/>
  <c r="Z167" i="16"/>
  <c r="AA167" i="16" s="1"/>
  <c r="Z168" i="16"/>
  <c r="AA168" i="16" s="1"/>
  <c r="Z169" i="16"/>
  <c r="AA169" i="16" s="1"/>
  <c r="Z170" i="16"/>
  <c r="AA170" i="16" s="1"/>
  <c r="Z171" i="16"/>
  <c r="AA171" i="16" s="1"/>
  <c r="Z172" i="16"/>
  <c r="AA172" i="16" s="1"/>
  <c r="Z173" i="16"/>
  <c r="AA173" i="16" s="1"/>
  <c r="Z174" i="16"/>
  <c r="AA174" i="16" s="1"/>
  <c r="Z175" i="16"/>
  <c r="AA175" i="16" s="1"/>
  <c r="Z176" i="16"/>
  <c r="AA176" i="16" s="1"/>
  <c r="Z177" i="16"/>
  <c r="AA177" i="16" s="1"/>
  <c r="Z178" i="16"/>
  <c r="AA178" i="16" s="1"/>
  <c r="Z179" i="16"/>
  <c r="AA179" i="16" s="1"/>
  <c r="Z180" i="16"/>
  <c r="AA180" i="16" s="1"/>
  <c r="Z181" i="16"/>
  <c r="AA181" i="16" s="1"/>
  <c r="Z182" i="16"/>
  <c r="AA182" i="16" s="1"/>
  <c r="Z183" i="16"/>
  <c r="AA183" i="16" s="1"/>
  <c r="Z184" i="16"/>
  <c r="AA184" i="16" s="1"/>
  <c r="Z185" i="16"/>
  <c r="AA185" i="16" s="1"/>
  <c r="Z186" i="16"/>
  <c r="AA186" i="16" s="1"/>
  <c r="Z187" i="16"/>
  <c r="AA187" i="16" s="1"/>
  <c r="Z188" i="16"/>
  <c r="AA188" i="16" s="1"/>
  <c r="Z189" i="16"/>
  <c r="AA189" i="16" s="1"/>
  <c r="Z190" i="16"/>
  <c r="AA190" i="16" s="1"/>
  <c r="Z191" i="16"/>
  <c r="AA191" i="16" s="1"/>
  <c r="Z192" i="16"/>
  <c r="AA192" i="16" s="1"/>
  <c r="Z193" i="16"/>
  <c r="AA193" i="16" s="1"/>
  <c r="Z194" i="16"/>
  <c r="AA194" i="16" s="1"/>
  <c r="Z195" i="16"/>
  <c r="AA195" i="16" s="1"/>
  <c r="Z196" i="16"/>
  <c r="AA196" i="16" s="1"/>
  <c r="Z197" i="16"/>
  <c r="AA197" i="16" s="1"/>
  <c r="Z198" i="16"/>
  <c r="AA198" i="16" s="1"/>
  <c r="Z199" i="16"/>
  <c r="AA199" i="16" s="1"/>
  <c r="Z200" i="16"/>
  <c r="AA200" i="16" s="1"/>
  <c r="AD200" i="16" s="1"/>
  <c r="Z201" i="16"/>
  <c r="AA201" i="16" s="1"/>
  <c r="Z202" i="16"/>
  <c r="AA202" i="16" s="1"/>
  <c r="Z203" i="16"/>
  <c r="AA203" i="16" s="1"/>
  <c r="Z204" i="16"/>
  <c r="AA204" i="16" s="1"/>
  <c r="Z205" i="16"/>
  <c r="AA205" i="16" s="1"/>
  <c r="Z206" i="16"/>
  <c r="AA206" i="16" s="1"/>
  <c r="Z207" i="16"/>
  <c r="AA207" i="16" s="1"/>
  <c r="Z208" i="16"/>
  <c r="AA208" i="16" s="1"/>
  <c r="Z209" i="16"/>
  <c r="AA209" i="16" s="1"/>
  <c r="Z210" i="16"/>
  <c r="AA210" i="16" s="1"/>
  <c r="Z211" i="16"/>
  <c r="AA211" i="16" s="1"/>
  <c r="Z212" i="16"/>
  <c r="AA212" i="16" s="1"/>
  <c r="Z213" i="16"/>
  <c r="AA213" i="16" s="1"/>
  <c r="Z214" i="16"/>
  <c r="AA214" i="16" s="1"/>
  <c r="Z215" i="16"/>
  <c r="AA215" i="16" s="1"/>
  <c r="Z216" i="16"/>
  <c r="AA216" i="16" s="1"/>
  <c r="Z217" i="16"/>
  <c r="AA217" i="16" s="1"/>
  <c r="Z218" i="16"/>
  <c r="AA218" i="16" s="1"/>
  <c r="Z219" i="16"/>
  <c r="AA219" i="16" s="1"/>
  <c r="Z220" i="16"/>
  <c r="AA220" i="16" s="1"/>
  <c r="Z221" i="16"/>
  <c r="AA221" i="16" s="1"/>
  <c r="Z222" i="16"/>
  <c r="AA222" i="16" s="1"/>
  <c r="Z223" i="16"/>
  <c r="AA223" i="16" s="1"/>
  <c r="Z224" i="16"/>
  <c r="AA224" i="16" s="1"/>
  <c r="Z225" i="16"/>
  <c r="AA225" i="16" s="1"/>
  <c r="Z226" i="16"/>
  <c r="AA226" i="16" s="1"/>
  <c r="Z227" i="16"/>
  <c r="AA227" i="16" s="1"/>
  <c r="Z228" i="16"/>
  <c r="AA228" i="16" s="1"/>
  <c r="Z229" i="16"/>
  <c r="AA229" i="16" s="1"/>
  <c r="Z230" i="16"/>
  <c r="AA230" i="16" s="1"/>
  <c r="Z231" i="16"/>
  <c r="AA231" i="16" s="1"/>
  <c r="Z232" i="16"/>
  <c r="AA232" i="16" s="1"/>
  <c r="Z233" i="16"/>
  <c r="AA233" i="16" s="1"/>
  <c r="Z234" i="16"/>
  <c r="AA234" i="16" s="1"/>
  <c r="Z235" i="16"/>
  <c r="AA235" i="16" s="1"/>
  <c r="Z236" i="16"/>
  <c r="AA236" i="16" s="1"/>
  <c r="Z237" i="16"/>
  <c r="AA237" i="16" s="1"/>
  <c r="Z238" i="16"/>
  <c r="AA238" i="16" s="1"/>
  <c r="Z239" i="16"/>
  <c r="AA239" i="16" s="1"/>
  <c r="Z240" i="16"/>
  <c r="AA240" i="16" s="1"/>
  <c r="Z241" i="16"/>
  <c r="AA241" i="16" s="1"/>
  <c r="Z242" i="16"/>
  <c r="AA242" i="16" s="1"/>
  <c r="Z243" i="16"/>
  <c r="AA243" i="16" s="1"/>
  <c r="Z244" i="16"/>
  <c r="AA244" i="16" s="1"/>
  <c r="Z245" i="16"/>
  <c r="AA245" i="16" s="1"/>
  <c r="Z246" i="16"/>
  <c r="AA246" i="16" s="1"/>
  <c r="Z247" i="16"/>
  <c r="AA247" i="16" s="1"/>
  <c r="Z248" i="16"/>
  <c r="AA248" i="16" s="1"/>
  <c r="Z249" i="16"/>
  <c r="AA249" i="16" s="1"/>
  <c r="Z250" i="16"/>
  <c r="AA250" i="16" s="1"/>
  <c r="Z251" i="16"/>
  <c r="AA251" i="16" s="1"/>
  <c r="Z252" i="16"/>
  <c r="AA252" i="16" s="1"/>
  <c r="Z253" i="16"/>
  <c r="AA253" i="16" s="1"/>
  <c r="Z254" i="16"/>
  <c r="AA254" i="16" s="1"/>
  <c r="Z255" i="16"/>
  <c r="AA255" i="16" s="1"/>
  <c r="Z256" i="16"/>
  <c r="AA256" i="16" s="1"/>
  <c r="AD256" i="16" s="1"/>
  <c r="Z257" i="16"/>
  <c r="AA257" i="16" s="1"/>
  <c r="Z258" i="16"/>
  <c r="AA258" i="16" s="1"/>
  <c r="Z259" i="16"/>
  <c r="AA259" i="16" s="1"/>
  <c r="Z260" i="16"/>
  <c r="AA260" i="16" s="1"/>
  <c r="Z261" i="16"/>
  <c r="AA261" i="16" s="1"/>
  <c r="Z262" i="16"/>
  <c r="AA262" i="16" s="1"/>
  <c r="Z263" i="16"/>
  <c r="AA263" i="16" s="1"/>
  <c r="Z264" i="16"/>
  <c r="AA264" i="16" s="1"/>
  <c r="AD264" i="16" s="1"/>
  <c r="Z265" i="16"/>
  <c r="AA265" i="16" s="1"/>
  <c r="Z266" i="16"/>
  <c r="AA266" i="16" s="1"/>
  <c r="Z267" i="16"/>
  <c r="AA267" i="16" s="1"/>
  <c r="Z268" i="16"/>
  <c r="AA268" i="16" s="1"/>
  <c r="Z269" i="16"/>
  <c r="AA269" i="16" s="1"/>
  <c r="Z270" i="16"/>
  <c r="AA270" i="16" s="1"/>
  <c r="Z271" i="16"/>
  <c r="AA271" i="16" s="1"/>
  <c r="Z272" i="16"/>
  <c r="AA272" i="16" s="1"/>
  <c r="Z273" i="16"/>
  <c r="AA273" i="16" s="1"/>
  <c r="Z274" i="16"/>
  <c r="AA274" i="16" s="1"/>
  <c r="Z275" i="16"/>
  <c r="AA275" i="16" s="1"/>
  <c r="Z276" i="16"/>
  <c r="AA276" i="16" s="1"/>
  <c r="Z277" i="16"/>
  <c r="AA277" i="16" s="1"/>
  <c r="Z278" i="16"/>
  <c r="AA278" i="16" s="1"/>
  <c r="Z279" i="16"/>
  <c r="AA279" i="16" s="1"/>
  <c r="Z280" i="16"/>
  <c r="AA280" i="16" s="1"/>
  <c r="Z281" i="16"/>
  <c r="AA281" i="16" s="1"/>
  <c r="Z282" i="16"/>
  <c r="AA282" i="16" s="1"/>
  <c r="Z283" i="16"/>
  <c r="AA283" i="16" s="1"/>
  <c r="Z284" i="16"/>
  <c r="AA284" i="16" s="1"/>
  <c r="Z285" i="16"/>
  <c r="AA285" i="16" s="1"/>
  <c r="Z286" i="16"/>
  <c r="AA286" i="16" s="1"/>
  <c r="Z287" i="16"/>
  <c r="AA287" i="16" s="1"/>
  <c r="Z288" i="16"/>
  <c r="AA288" i="16" s="1"/>
  <c r="Z289" i="16"/>
  <c r="AA289" i="16" s="1"/>
  <c r="Z290" i="16"/>
  <c r="AA290" i="16" s="1"/>
  <c r="Z291" i="16"/>
  <c r="AA291" i="16" s="1"/>
  <c r="Z292" i="16"/>
  <c r="AA292" i="16" s="1"/>
  <c r="Z293" i="16"/>
  <c r="AA293" i="16" s="1"/>
  <c r="Z294" i="16"/>
  <c r="AA294" i="16" s="1"/>
  <c r="Z295" i="16"/>
  <c r="AA295" i="16" s="1"/>
  <c r="Z296" i="16"/>
  <c r="AA296" i="16" s="1"/>
  <c r="Z297" i="16"/>
  <c r="AA297" i="16" s="1"/>
  <c r="Z298" i="16"/>
  <c r="AA298" i="16" s="1"/>
  <c r="Z299" i="16"/>
  <c r="AA299" i="16" s="1"/>
  <c r="Z300" i="16"/>
  <c r="AA300" i="16" s="1"/>
  <c r="Z301" i="16"/>
  <c r="AA301" i="16" s="1"/>
  <c r="Z302" i="16"/>
  <c r="AA302" i="16" s="1"/>
  <c r="Z303" i="16"/>
  <c r="AA303" i="16" s="1"/>
  <c r="Z304" i="16"/>
  <c r="AA304" i="16" s="1"/>
  <c r="Z305" i="16"/>
  <c r="AA305" i="16" s="1"/>
  <c r="Z306" i="16"/>
  <c r="AA306" i="16" s="1"/>
  <c r="Z307" i="16"/>
  <c r="AA307" i="16" s="1"/>
  <c r="Z308" i="16"/>
  <c r="AA308" i="16" s="1"/>
  <c r="Z309" i="16"/>
  <c r="AA309" i="16" s="1"/>
  <c r="Z310" i="16"/>
  <c r="AA310" i="16" s="1"/>
  <c r="Z311" i="16"/>
  <c r="AA311" i="16" s="1"/>
  <c r="Z312" i="16"/>
  <c r="AA312" i="16" s="1"/>
  <c r="Z313" i="16"/>
  <c r="AA313" i="16" s="1"/>
  <c r="Z314" i="16"/>
  <c r="AA314" i="16" s="1"/>
  <c r="Z315" i="16"/>
  <c r="AA315" i="16" s="1"/>
  <c r="Z316" i="16"/>
  <c r="AA316" i="16" s="1"/>
  <c r="Z317" i="16"/>
  <c r="AA317" i="16" s="1"/>
  <c r="Z318" i="16"/>
  <c r="AA318" i="16" s="1"/>
  <c r="Z319" i="16"/>
  <c r="AA319" i="16" s="1"/>
  <c r="Z320" i="16"/>
  <c r="AA320" i="16" s="1"/>
  <c r="AD320" i="16" s="1"/>
  <c r="Z321" i="16"/>
  <c r="AA321" i="16" s="1"/>
  <c r="Z322" i="16"/>
  <c r="AA322" i="16" s="1"/>
  <c r="Z323" i="16"/>
  <c r="AA323" i="16" s="1"/>
  <c r="Z324" i="16"/>
  <c r="AA324" i="16" s="1"/>
  <c r="Z325" i="16"/>
  <c r="AA325" i="16" s="1"/>
  <c r="Z326" i="16"/>
  <c r="AA326" i="16" s="1"/>
  <c r="Z327" i="16"/>
  <c r="AA327" i="16" s="1"/>
  <c r="Z328" i="16"/>
  <c r="AA328" i="16" s="1"/>
  <c r="Z329" i="16"/>
  <c r="AA329" i="16" s="1"/>
  <c r="Z330" i="16"/>
  <c r="AA330" i="16" s="1"/>
  <c r="Z331" i="16"/>
  <c r="AA331" i="16" s="1"/>
  <c r="Z332" i="16"/>
  <c r="AA332" i="16" s="1"/>
  <c r="Z333" i="16"/>
  <c r="AA333" i="16" s="1"/>
  <c r="Z334" i="16"/>
  <c r="AA334" i="16" s="1"/>
  <c r="Z335" i="16"/>
  <c r="AA335" i="16" s="1"/>
  <c r="Z336" i="16"/>
  <c r="AA336" i="16" s="1"/>
  <c r="Z337" i="16"/>
  <c r="AA337" i="16" s="1"/>
  <c r="Z338" i="16"/>
  <c r="AA338" i="16" s="1"/>
  <c r="Z339" i="16"/>
  <c r="AA339" i="16" s="1"/>
  <c r="Z340" i="16"/>
  <c r="AA340" i="16" s="1"/>
  <c r="Z341" i="16"/>
  <c r="AA341" i="16" s="1"/>
  <c r="Z342" i="16"/>
  <c r="AA342" i="16" s="1"/>
  <c r="Z343" i="16"/>
  <c r="AA343" i="16" s="1"/>
  <c r="Z344" i="16"/>
  <c r="AA344" i="16" s="1"/>
  <c r="Z345" i="16"/>
  <c r="AA345" i="16" s="1"/>
  <c r="Z346" i="16"/>
  <c r="AA346" i="16" s="1"/>
  <c r="Z347" i="16"/>
  <c r="AA347" i="16" s="1"/>
  <c r="Z348" i="16"/>
  <c r="AA348" i="16" s="1"/>
  <c r="Z349" i="16"/>
  <c r="AA349" i="16" s="1"/>
  <c r="Z350" i="16"/>
  <c r="AA350" i="16" s="1"/>
  <c r="Z351" i="16"/>
  <c r="AA351" i="16" s="1"/>
  <c r="Z352" i="16"/>
  <c r="AA352" i="16" s="1"/>
  <c r="AD352" i="16" s="1"/>
  <c r="Z353" i="16"/>
  <c r="AA353" i="16" s="1"/>
  <c r="Z354" i="16"/>
  <c r="AA354" i="16" s="1"/>
  <c r="Z355" i="16"/>
  <c r="AA355" i="16" s="1"/>
  <c r="Z356" i="16"/>
  <c r="AA356" i="16" s="1"/>
  <c r="Z357" i="16"/>
  <c r="AA357" i="16" s="1"/>
  <c r="Z358" i="16"/>
  <c r="AA358" i="16" s="1"/>
  <c r="Z359" i="16"/>
  <c r="AA359" i="16" s="1"/>
  <c r="Z360" i="16"/>
  <c r="AA360" i="16" s="1"/>
  <c r="Z361" i="16"/>
  <c r="AA361" i="16" s="1"/>
  <c r="Z362" i="16"/>
  <c r="AA362" i="16" s="1"/>
  <c r="Z363" i="16"/>
  <c r="AA363" i="16" s="1"/>
  <c r="Z364" i="16"/>
  <c r="AA364" i="16" s="1"/>
  <c r="Z365" i="16"/>
  <c r="AA365" i="16" s="1"/>
  <c r="Z366" i="16"/>
  <c r="AA366" i="16" s="1"/>
  <c r="Z367" i="16"/>
  <c r="AA367" i="16" s="1"/>
  <c r="Z368" i="16"/>
  <c r="AA368" i="16" s="1"/>
  <c r="Z369" i="16"/>
  <c r="AA369" i="16" s="1"/>
  <c r="Z370" i="16"/>
  <c r="AA370" i="16" s="1"/>
  <c r="Z371" i="16"/>
  <c r="AA371" i="16" s="1"/>
  <c r="Z372" i="16"/>
  <c r="AA372" i="16" s="1"/>
  <c r="Z373" i="16"/>
  <c r="AA373" i="16" s="1"/>
  <c r="Z374" i="16"/>
  <c r="AA374" i="16" s="1"/>
  <c r="Z375" i="16"/>
  <c r="AA375" i="16" s="1"/>
  <c r="Z376" i="16"/>
  <c r="AA376" i="16" s="1"/>
  <c r="Z377" i="16"/>
  <c r="AA377" i="16" s="1"/>
  <c r="Z378" i="16"/>
  <c r="AA378" i="16" s="1"/>
  <c r="Z379" i="16"/>
  <c r="AA379" i="16" s="1"/>
  <c r="Z380" i="16"/>
  <c r="AA380" i="16" s="1"/>
  <c r="Z381" i="16"/>
  <c r="AA381" i="16" s="1"/>
  <c r="Z382" i="16"/>
  <c r="AA382" i="16" s="1"/>
  <c r="Z383" i="16"/>
  <c r="AA383" i="16" s="1"/>
  <c r="Z384" i="16"/>
  <c r="AA384" i="16" s="1"/>
  <c r="Z385" i="16"/>
  <c r="AA385" i="16" s="1"/>
  <c r="Z386" i="16"/>
  <c r="AA386" i="16" s="1"/>
  <c r="Z387" i="16"/>
  <c r="AA387" i="16" s="1"/>
  <c r="Z388" i="16"/>
  <c r="AA388" i="16" s="1"/>
  <c r="Z389" i="16"/>
  <c r="AA389" i="16" s="1"/>
  <c r="Z390" i="16"/>
  <c r="AA390" i="16" s="1"/>
  <c r="Z391" i="16"/>
  <c r="AA391" i="16" s="1"/>
  <c r="Z392" i="16"/>
  <c r="AA392" i="16" s="1"/>
  <c r="Z393" i="16"/>
  <c r="AA393" i="16" s="1"/>
  <c r="Z394" i="16"/>
  <c r="AA394" i="16" s="1"/>
  <c r="Z395" i="16"/>
  <c r="AA395" i="16" s="1"/>
  <c r="Z396" i="16"/>
  <c r="AA396" i="16" s="1"/>
  <c r="Z397" i="16"/>
  <c r="AA397" i="16" s="1"/>
  <c r="Z398" i="16"/>
  <c r="AA398" i="16" s="1"/>
  <c r="Z399" i="16"/>
  <c r="AA399" i="16" s="1"/>
  <c r="Z400" i="16"/>
  <c r="AA400" i="16" s="1"/>
  <c r="Z401" i="16"/>
  <c r="AA401" i="16" s="1"/>
  <c r="Z402" i="16"/>
  <c r="AA402" i="16" s="1"/>
  <c r="Z403" i="16"/>
  <c r="AA403" i="16" s="1"/>
  <c r="Z404" i="16"/>
  <c r="AA404" i="16" s="1"/>
  <c r="Z405" i="16"/>
  <c r="AA405" i="16" s="1"/>
  <c r="AE405" i="16" s="1"/>
  <c r="Z406" i="16"/>
  <c r="AA406" i="16" s="1"/>
  <c r="Z407" i="16"/>
  <c r="AA407" i="16" s="1"/>
  <c r="Z408" i="16"/>
  <c r="AA408" i="16" s="1"/>
  <c r="Z409" i="16"/>
  <c r="AA409" i="16" s="1"/>
  <c r="Z410" i="16"/>
  <c r="AA410" i="16" s="1"/>
  <c r="Z411" i="16"/>
  <c r="AA411" i="16" s="1"/>
  <c r="Z412" i="16"/>
  <c r="AA412" i="16" s="1"/>
  <c r="Z413" i="16"/>
  <c r="AA413" i="16" s="1"/>
  <c r="Z414" i="16"/>
  <c r="AA414" i="16" s="1"/>
  <c r="Z415" i="16"/>
  <c r="AA415" i="16" s="1"/>
  <c r="Z416" i="16"/>
  <c r="AA416" i="16" s="1"/>
  <c r="Z417" i="16"/>
  <c r="AA417" i="16" s="1"/>
  <c r="Z418" i="16"/>
  <c r="AA418" i="16" s="1"/>
  <c r="Z419" i="16"/>
  <c r="AA419" i="16" s="1"/>
  <c r="Z420" i="16"/>
  <c r="AA420" i="16" s="1"/>
  <c r="Z421" i="16"/>
  <c r="AA421" i="16" s="1"/>
  <c r="Z422" i="16"/>
  <c r="AA422" i="16" s="1"/>
  <c r="Z423" i="16"/>
  <c r="AA423" i="16" s="1"/>
  <c r="Z424" i="16"/>
  <c r="AA424" i="16" s="1"/>
  <c r="Z425" i="16"/>
  <c r="AA425" i="16" s="1"/>
  <c r="Z426" i="16"/>
  <c r="AA426" i="16" s="1"/>
  <c r="Z427" i="16"/>
  <c r="AA427" i="16" s="1"/>
  <c r="Z428" i="16"/>
  <c r="AA428" i="16" s="1"/>
  <c r="Z429" i="16"/>
  <c r="AA429" i="16" s="1"/>
  <c r="Z430" i="16"/>
  <c r="AA430" i="16" s="1"/>
  <c r="Z431" i="16"/>
  <c r="AA431" i="16" s="1"/>
  <c r="Z432" i="16"/>
  <c r="AA432" i="16" s="1"/>
  <c r="Z433" i="16"/>
  <c r="AA433" i="16" s="1"/>
  <c r="Z434" i="16"/>
  <c r="AA434" i="16" s="1"/>
  <c r="Z435" i="16"/>
  <c r="AA435" i="16" s="1"/>
  <c r="Z436" i="16"/>
  <c r="AA436" i="16" s="1"/>
  <c r="Z437" i="16"/>
  <c r="AA437" i="16" s="1"/>
  <c r="Z438" i="16"/>
  <c r="AA438" i="16" s="1"/>
  <c r="Z439" i="16"/>
  <c r="AA439" i="16" s="1"/>
  <c r="Z440" i="16"/>
  <c r="AA440" i="16" s="1"/>
  <c r="Z441" i="16"/>
  <c r="AA441" i="16" s="1"/>
  <c r="Z442" i="16"/>
  <c r="AA442" i="16" s="1"/>
  <c r="Z443" i="16"/>
  <c r="AA443" i="16" s="1"/>
  <c r="Z444" i="16"/>
  <c r="AA444" i="16" s="1"/>
  <c r="Z445" i="16"/>
  <c r="AA445" i="16" s="1"/>
  <c r="Z446" i="16"/>
  <c r="AA446" i="16" s="1"/>
  <c r="Z447" i="16"/>
  <c r="AA447" i="16" s="1"/>
  <c r="Z448" i="16"/>
  <c r="AA448" i="16" s="1"/>
  <c r="AD448" i="16" s="1"/>
  <c r="Z449" i="16"/>
  <c r="AA449" i="16" s="1"/>
  <c r="Z450" i="16"/>
  <c r="AA450" i="16" s="1"/>
  <c r="Z451" i="16"/>
  <c r="AA451" i="16" s="1"/>
  <c r="Z452" i="16"/>
  <c r="AA452" i="16" s="1"/>
  <c r="Z453" i="16"/>
  <c r="AA453" i="16" s="1"/>
  <c r="Z454" i="16"/>
  <c r="AA454" i="16" s="1"/>
  <c r="Z455" i="16"/>
  <c r="AA455" i="16" s="1"/>
  <c r="Z456" i="16"/>
  <c r="AA456" i="16" s="1"/>
  <c r="Z457" i="16"/>
  <c r="AA457" i="16" s="1"/>
  <c r="Z458" i="16"/>
  <c r="AA458" i="16" s="1"/>
  <c r="Z459" i="16"/>
  <c r="AA459" i="16" s="1"/>
  <c r="Z460" i="16"/>
  <c r="AA460" i="16" s="1"/>
  <c r="Z461" i="16"/>
  <c r="AA461" i="16" s="1"/>
  <c r="Z462" i="16"/>
  <c r="AA462" i="16" s="1"/>
  <c r="Z463" i="16"/>
  <c r="AA463" i="16" s="1"/>
  <c r="Z464" i="16"/>
  <c r="AA464" i="16" s="1"/>
  <c r="Z465" i="16"/>
  <c r="AA465" i="16" s="1"/>
  <c r="Z466" i="16"/>
  <c r="AA466" i="16" s="1"/>
  <c r="Z467" i="16"/>
  <c r="AA467" i="16" s="1"/>
  <c r="Z468" i="16"/>
  <c r="AA468" i="16" s="1"/>
  <c r="Z469" i="16"/>
  <c r="AA469" i="16" s="1"/>
  <c r="AE469" i="16" s="1"/>
  <c r="Z470" i="16"/>
  <c r="AA470" i="16" s="1"/>
  <c r="Z471" i="16"/>
  <c r="AA471" i="16" s="1"/>
  <c r="Z472" i="16"/>
  <c r="AA472" i="16" s="1"/>
  <c r="Z473" i="16"/>
  <c r="AA473" i="16" s="1"/>
  <c r="Z474" i="16"/>
  <c r="AA474" i="16" s="1"/>
  <c r="Z475" i="16"/>
  <c r="AA475" i="16" s="1"/>
  <c r="Z476" i="16"/>
  <c r="AA476" i="16" s="1"/>
  <c r="Z477" i="16"/>
  <c r="AA477" i="16" s="1"/>
  <c r="Z478" i="16"/>
  <c r="AA478" i="16" s="1"/>
  <c r="Z479" i="16"/>
  <c r="AA479" i="16" s="1"/>
  <c r="Z480" i="16"/>
  <c r="AA480" i="16" s="1"/>
  <c r="Z481" i="16"/>
  <c r="AA481" i="16" s="1"/>
  <c r="Z482" i="16"/>
  <c r="AA482" i="16" s="1"/>
  <c r="Z483" i="16"/>
  <c r="AA483" i="16" s="1"/>
  <c r="Z484" i="16"/>
  <c r="AA484" i="16" s="1"/>
  <c r="Z485" i="16"/>
  <c r="AA485" i="16" s="1"/>
  <c r="Z486" i="16"/>
  <c r="AA486" i="16" s="1"/>
  <c r="Z487" i="16"/>
  <c r="AA487" i="16" s="1"/>
  <c r="Z488" i="16"/>
  <c r="AA488" i="16" s="1"/>
  <c r="Z489" i="16"/>
  <c r="AA489" i="16" s="1"/>
  <c r="Z490" i="16"/>
  <c r="AA490" i="16" s="1"/>
  <c r="Z491" i="16"/>
  <c r="AA491" i="16" s="1"/>
  <c r="Z492" i="16"/>
  <c r="AA492" i="16" s="1"/>
  <c r="Z493" i="16"/>
  <c r="AA493" i="16" s="1"/>
  <c r="Z494" i="16"/>
  <c r="AA494" i="16" s="1"/>
  <c r="Z495" i="16"/>
  <c r="AA495" i="16" s="1"/>
  <c r="Z496" i="16"/>
  <c r="AA496" i="16" s="1"/>
  <c r="Z497" i="16"/>
  <c r="AA497" i="16" s="1"/>
  <c r="Z498" i="16"/>
  <c r="AA498" i="16" s="1"/>
  <c r="Z499" i="16"/>
  <c r="AA499" i="16" s="1"/>
  <c r="Z500" i="16"/>
  <c r="AA500" i="16" s="1"/>
  <c r="Z501" i="16"/>
  <c r="AA501" i="16" s="1"/>
  <c r="Z502" i="16"/>
  <c r="AA502" i="16" s="1"/>
  <c r="Z503" i="16"/>
  <c r="AA503" i="16" s="1"/>
  <c r="Z504" i="16"/>
  <c r="AA504" i="16" s="1"/>
  <c r="Z505" i="16"/>
  <c r="AA505" i="16" s="1"/>
  <c r="Z506" i="16"/>
  <c r="AA506" i="16" s="1"/>
  <c r="Z507" i="16"/>
  <c r="AA507" i="16" s="1"/>
  <c r="Z508" i="16"/>
  <c r="AA508" i="16" s="1"/>
  <c r="Z509" i="16"/>
  <c r="Z510" i="16"/>
  <c r="AA510" i="16" s="1"/>
  <c r="Z511" i="16"/>
  <c r="AA511" i="16" s="1"/>
  <c r="Z512" i="16"/>
  <c r="AA512" i="16" s="1"/>
  <c r="Z513" i="16"/>
  <c r="AA513" i="16" s="1"/>
  <c r="Z514" i="16"/>
  <c r="AA514" i="16" s="1"/>
  <c r="Z515" i="16"/>
  <c r="AA515" i="16" s="1"/>
  <c r="Z516" i="16"/>
  <c r="AA516" i="16" s="1"/>
  <c r="Z517" i="16"/>
  <c r="AA517" i="16" s="1"/>
  <c r="Z518" i="16"/>
  <c r="AA518" i="16" s="1"/>
  <c r="Z519" i="16"/>
  <c r="AA519" i="16" s="1"/>
  <c r="Z520" i="16"/>
  <c r="AA520" i="16" s="1"/>
  <c r="Z521" i="16"/>
  <c r="AA521" i="16" s="1"/>
  <c r="Z522" i="16"/>
  <c r="AA522" i="16" s="1"/>
  <c r="Z523" i="16"/>
  <c r="AA523" i="16" s="1"/>
  <c r="Z524" i="16"/>
  <c r="AA524" i="16" s="1"/>
  <c r="Z525" i="16"/>
  <c r="AA525" i="16" s="1"/>
  <c r="Z526" i="16"/>
  <c r="AA526" i="16" s="1"/>
  <c r="Z527" i="16"/>
  <c r="AA527" i="16" s="1"/>
  <c r="Z528" i="16"/>
  <c r="AA528" i="16" s="1"/>
  <c r="Z529" i="16"/>
  <c r="AA529" i="16" s="1"/>
  <c r="Z530" i="16"/>
  <c r="AA530" i="16" s="1"/>
  <c r="Z531" i="16"/>
  <c r="AA531" i="16" s="1"/>
  <c r="Z532" i="16"/>
  <c r="AA532" i="16" s="1"/>
  <c r="Z533" i="16"/>
  <c r="AA533" i="16" s="1"/>
  <c r="AE533" i="16" s="1"/>
  <c r="Z534" i="16"/>
  <c r="AA534" i="16" s="1"/>
  <c r="Z535" i="16"/>
  <c r="AA535" i="16" s="1"/>
  <c r="Z536" i="16"/>
  <c r="AA536" i="16" s="1"/>
  <c r="Z537" i="16"/>
  <c r="AA537" i="16" s="1"/>
  <c r="Z538" i="16"/>
  <c r="AA538" i="16" s="1"/>
  <c r="Z539" i="16"/>
  <c r="AA539" i="16" s="1"/>
  <c r="Z540" i="16"/>
  <c r="AA540" i="16" s="1"/>
  <c r="Z541" i="16"/>
  <c r="Z542" i="16"/>
  <c r="AA542" i="16" s="1"/>
  <c r="Z543" i="16"/>
  <c r="AA543" i="16" s="1"/>
  <c r="Z544" i="16"/>
  <c r="AA544" i="16" s="1"/>
  <c r="Z545" i="16"/>
  <c r="AA545" i="16" s="1"/>
  <c r="Z546" i="16"/>
  <c r="AA546" i="16" s="1"/>
  <c r="Z547" i="16"/>
  <c r="AA547" i="16" s="1"/>
  <c r="Z548" i="16"/>
  <c r="AA548" i="16" s="1"/>
  <c r="Z549" i="16"/>
  <c r="AA549" i="16" s="1"/>
  <c r="Z550" i="16"/>
  <c r="AA550" i="16" s="1"/>
  <c r="Z551" i="16"/>
  <c r="AA551" i="16" s="1"/>
  <c r="Z552" i="16"/>
  <c r="AA552" i="16" s="1"/>
  <c r="Z553" i="16"/>
  <c r="AA553" i="16" s="1"/>
  <c r="Z554" i="16"/>
  <c r="AA554" i="16" s="1"/>
  <c r="Z555" i="16"/>
  <c r="AA555" i="16" s="1"/>
  <c r="Z556" i="16"/>
  <c r="AA556" i="16" s="1"/>
  <c r="Z557" i="16"/>
  <c r="AA557" i="16" s="1"/>
  <c r="Z558" i="16"/>
  <c r="AA558" i="16" s="1"/>
  <c r="Z559" i="16"/>
  <c r="AA559" i="16" s="1"/>
  <c r="Z560" i="16"/>
  <c r="AA560" i="16" s="1"/>
  <c r="Z561" i="16"/>
  <c r="AA561" i="16" s="1"/>
  <c r="Z562" i="16"/>
  <c r="AA562" i="16" s="1"/>
  <c r="Z563" i="16"/>
  <c r="AA563" i="16" s="1"/>
  <c r="Z564" i="16"/>
  <c r="AA564" i="16" s="1"/>
  <c r="Z565" i="16"/>
  <c r="AA565" i="16" s="1"/>
  <c r="Z566" i="16"/>
  <c r="AA566" i="16" s="1"/>
  <c r="Z567" i="16"/>
  <c r="AA567" i="16" s="1"/>
  <c r="Z568" i="16"/>
  <c r="AA568" i="16" s="1"/>
  <c r="Z569" i="16"/>
  <c r="AA569" i="16" s="1"/>
  <c r="Z570" i="16"/>
  <c r="AA570" i="16" s="1"/>
  <c r="Z571" i="16"/>
  <c r="AA571" i="16" s="1"/>
  <c r="Z572" i="16"/>
  <c r="AA572" i="16" s="1"/>
  <c r="Z573" i="16"/>
  <c r="Z574" i="16"/>
  <c r="AA574" i="16" s="1"/>
  <c r="Z575" i="16"/>
  <c r="AA575" i="16" s="1"/>
  <c r="Z576" i="16"/>
  <c r="AA576" i="16" s="1"/>
  <c r="Z577" i="16"/>
  <c r="AA577" i="16" s="1"/>
  <c r="Z578" i="16"/>
  <c r="AA578" i="16" s="1"/>
  <c r="Z579" i="16"/>
  <c r="AA579" i="16" s="1"/>
  <c r="Z580" i="16"/>
  <c r="AA580" i="16" s="1"/>
  <c r="Z581" i="16"/>
  <c r="AA581" i="16" s="1"/>
  <c r="Z582" i="16"/>
  <c r="AA582" i="16" s="1"/>
  <c r="Z583" i="16"/>
  <c r="AA583" i="16" s="1"/>
  <c r="Z584" i="16"/>
  <c r="AA584" i="16" s="1"/>
  <c r="Z585" i="16"/>
  <c r="AA585" i="16" s="1"/>
  <c r="Z586" i="16"/>
  <c r="AA586" i="16" s="1"/>
  <c r="Z587" i="16"/>
  <c r="AA587" i="16" s="1"/>
  <c r="Z588" i="16"/>
  <c r="AA588" i="16" s="1"/>
  <c r="Z589" i="16"/>
  <c r="AA589" i="16" s="1"/>
  <c r="Z590" i="16"/>
  <c r="AA590" i="16" s="1"/>
  <c r="Z591" i="16"/>
  <c r="AA591" i="16" s="1"/>
  <c r="Z592" i="16"/>
  <c r="AA592" i="16" s="1"/>
  <c r="Z593" i="16"/>
  <c r="AA593" i="16" s="1"/>
  <c r="Z594" i="16"/>
  <c r="AA594" i="16" s="1"/>
  <c r="Z595" i="16"/>
  <c r="AA595" i="16" s="1"/>
  <c r="Z596" i="16"/>
  <c r="AA596" i="16" s="1"/>
  <c r="Z597" i="16"/>
  <c r="AA597" i="16" s="1"/>
  <c r="Z598" i="16"/>
  <c r="AA598" i="16" s="1"/>
  <c r="Z599" i="16"/>
  <c r="AA599" i="16" s="1"/>
  <c r="Z600" i="16"/>
  <c r="AA600" i="16" s="1"/>
  <c r="Z601" i="16"/>
  <c r="AA601" i="16" s="1"/>
  <c r="Z602" i="16"/>
  <c r="AA602" i="16" s="1"/>
  <c r="Z603" i="16"/>
  <c r="AA603" i="16" s="1"/>
  <c r="Z604" i="16"/>
  <c r="AA604" i="16" s="1"/>
  <c r="Z605" i="16"/>
  <c r="Z606" i="16"/>
  <c r="AA606" i="16" s="1"/>
  <c r="Z607" i="16"/>
  <c r="AA607" i="16" s="1"/>
  <c r="Z608" i="16"/>
  <c r="AA608" i="16" s="1"/>
  <c r="Z609" i="16"/>
  <c r="AA609" i="16" s="1"/>
  <c r="Z610" i="16"/>
  <c r="AA610" i="16" s="1"/>
  <c r="Z611" i="16"/>
  <c r="AA611" i="16" s="1"/>
  <c r="Z612" i="16"/>
  <c r="AA612" i="16" s="1"/>
  <c r="Z613" i="16"/>
  <c r="AA613" i="16" s="1"/>
  <c r="Z614" i="16"/>
  <c r="AA614" i="16" s="1"/>
  <c r="AE614" i="16" s="1"/>
  <c r="Z615" i="16"/>
  <c r="AA615" i="16" s="1"/>
  <c r="Z616" i="16"/>
  <c r="AA616" i="16" s="1"/>
  <c r="Z617" i="16"/>
  <c r="AA617" i="16" s="1"/>
  <c r="Z618" i="16"/>
  <c r="AA618" i="16" s="1"/>
  <c r="Z619" i="16"/>
  <c r="AA619" i="16" s="1"/>
  <c r="Z620" i="16"/>
  <c r="AA620" i="16" s="1"/>
  <c r="Z621" i="16"/>
  <c r="AA621" i="16" s="1"/>
  <c r="Z622" i="16"/>
  <c r="AA622" i="16" s="1"/>
  <c r="Z623" i="16"/>
  <c r="AA623" i="16" s="1"/>
  <c r="Z624" i="16"/>
  <c r="AA624" i="16" s="1"/>
  <c r="Z625" i="16"/>
  <c r="AA625" i="16" s="1"/>
  <c r="Z626" i="16"/>
  <c r="AA626" i="16" s="1"/>
  <c r="Z627" i="16"/>
  <c r="AA627" i="16" s="1"/>
  <c r="Z628" i="16"/>
  <c r="AA628" i="16" s="1"/>
  <c r="Z629" i="16"/>
  <c r="AA629" i="16" s="1"/>
  <c r="Z630" i="16"/>
  <c r="AA630" i="16" s="1"/>
  <c r="Z631" i="16"/>
  <c r="AA631" i="16" s="1"/>
  <c r="Z632" i="16"/>
  <c r="AA632" i="16" s="1"/>
  <c r="Z2" i="16"/>
  <c r="AA2" i="16" s="1"/>
  <c r="Y3" i="16"/>
  <c r="Y4" i="16"/>
  <c r="Y5" i="16"/>
  <c r="Y6" i="16"/>
  <c r="Y7" i="16"/>
  <c r="Y8" i="16"/>
  <c r="Y9" i="16"/>
  <c r="Y10" i="16"/>
  <c r="Y11" i="16"/>
  <c r="Y12" i="16"/>
  <c r="Y13" i="16"/>
  <c r="Y14" i="16"/>
  <c r="Y15" i="16"/>
  <c r="Y16" i="16"/>
  <c r="Y17" i="16"/>
  <c r="Y18" i="16"/>
  <c r="Y19" i="16"/>
  <c r="Y20" i="16"/>
  <c r="Y21" i="16"/>
  <c r="Y22" i="16"/>
  <c r="Y23" i="16"/>
  <c r="Y24" i="16"/>
  <c r="Y25" i="16"/>
  <c r="Y26" i="16"/>
  <c r="Y27" i="16"/>
  <c r="Y28" i="16"/>
  <c r="Y29" i="16"/>
  <c r="Y30" i="16"/>
  <c r="Y31" i="16"/>
  <c r="Y32" i="16"/>
  <c r="Y33" i="16"/>
  <c r="Y34" i="16"/>
  <c r="Y35" i="16"/>
  <c r="Y36" i="16"/>
  <c r="Y37" i="16"/>
  <c r="Y38" i="16"/>
  <c r="Y39" i="16"/>
  <c r="Y40" i="16"/>
  <c r="Y41" i="16"/>
  <c r="Y42" i="16"/>
  <c r="Y43" i="16"/>
  <c r="Y44" i="16"/>
  <c r="Y45" i="16"/>
  <c r="Y46" i="16"/>
  <c r="Y47" i="16"/>
  <c r="Y48" i="16"/>
  <c r="Y49" i="16"/>
  <c r="Y50" i="16"/>
  <c r="Y51" i="16"/>
  <c r="Y52" i="16"/>
  <c r="Y53" i="16"/>
  <c r="Y54" i="16"/>
  <c r="Y55" i="16"/>
  <c r="Y56" i="16"/>
  <c r="Y57" i="16"/>
  <c r="Y58" i="16"/>
  <c r="Y59" i="16"/>
  <c r="Y60" i="16"/>
  <c r="Y61" i="16"/>
  <c r="Y62" i="16"/>
  <c r="Y63" i="16"/>
  <c r="Y64" i="16"/>
  <c r="Y65" i="16"/>
  <c r="Y66" i="16"/>
  <c r="Y67" i="16"/>
  <c r="Y68" i="16"/>
  <c r="Y69" i="16"/>
  <c r="Y70" i="16"/>
  <c r="Y71" i="16"/>
  <c r="Y72" i="16"/>
  <c r="Y73" i="16"/>
  <c r="Y74" i="16"/>
  <c r="Y75" i="16"/>
  <c r="Y76" i="16"/>
  <c r="Y77" i="16"/>
  <c r="Y78" i="16"/>
  <c r="Y79" i="16"/>
  <c r="Y80" i="16"/>
  <c r="Y81" i="16"/>
  <c r="Y82" i="16"/>
  <c r="Y83" i="16"/>
  <c r="Y84" i="16"/>
  <c r="Y85" i="16"/>
  <c r="Y86" i="16"/>
  <c r="Y87" i="16"/>
  <c r="Y88" i="16"/>
  <c r="Y89" i="16"/>
  <c r="Y90" i="16"/>
  <c r="Y91" i="16"/>
  <c r="Y92" i="16"/>
  <c r="Y93" i="16"/>
  <c r="Y94" i="16"/>
  <c r="Y95" i="16"/>
  <c r="Y96" i="16"/>
  <c r="Y97" i="16"/>
  <c r="Y98" i="16"/>
  <c r="Y99" i="16"/>
  <c r="Y100" i="16"/>
  <c r="Y101" i="16"/>
  <c r="Y102" i="16"/>
  <c r="Y103" i="16"/>
  <c r="Y104" i="16"/>
  <c r="Y105" i="16"/>
  <c r="Y106" i="16"/>
  <c r="Y107" i="16"/>
  <c r="Y108" i="16"/>
  <c r="Y109" i="16"/>
  <c r="Y110" i="16"/>
  <c r="Y111" i="16"/>
  <c r="Y112" i="16"/>
  <c r="Y113" i="16"/>
  <c r="Y114" i="16"/>
  <c r="Y115" i="16"/>
  <c r="Y116" i="16"/>
  <c r="Y117" i="16"/>
  <c r="Y118" i="16"/>
  <c r="Y119" i="16"/>
  <c r="Y120" i="16"/>
  <c r="Y121" i="16"/>
  <c r="Y122" i="16"/>
  <c r="Y123" i="16"/>
  <c r="Y124" i="16"/>
  <c r="Y125" i="16"/>
  <c r="Y126" i="16"/>
  <c r="Y127" i="16"/>
  <c r="Y128" i="16"/>
  <c r="Y129" i="16"/>
  <c r="Y130" i="16"/>
  <c r="Y131" i="16"/>
  <c r="Y132" i="16"/>
  <c r="Y133" i="16"/>
  <c r="Y134" i="16"/>
  <c r="Y135" i="16"/>
  <c r="Y136" i="16"/>
  <c r="Y137" i="16"/>
  <c r="Y138" i="16"/>
  <c r="Y139" i="16"/>
  <c r="Y140" i="16"/>
  <c r="Y141" i="16"/>
  <c r="Y142" i="16"/>
  <c r="Y143" i="16"/>
  <c r="Y144" i="16"/>
  <c r="Y145" i="16"/>
  <c r="Y146" i="16"/>
  <c r="Y147" i="16"/>
  <c r="Y148" i="16"/>
  <c r="Y149" i="16"/>
  <c r="Y150" i="16"/>
  <c r="Y151" i="16"/>
  <c r="Y152" i="16"/>
  <c r="Y153" i="16"/>
  <c r="Y154" i="16"/>
  <c r="Y155" i="16"/>
  <c r="Y156" i="16"/>
  <c r="Y157" i="16"/>
  <c r="Y158" i="16"/>
  <c r="Y159" i="16"/>
  <c r="Y160" i="16"/>
  <c r="Y161" i="16"/>
  <c r="Y162" i="16"/>
  <c r="Y163" i="16"/>
  <c r="Y164" i="16"/>
  <c r="Y165" i="16"/>
  <c r="Y166" i="16"/>
  <c r="Y167" i="16"/>
  <c r="Y168" i="16"/>
  <c r="Y169" i="16"/>
  <c r="Y170" i="16"/>
  <c r="Y171" i="16"/>
  <c r="Y172" i="16"/>
  <c r="Y173" i="16"/>
  <c r="Y174" i="16"/>
  <c r="Y175" i="16"/>
  <c r="Y176" i="16"/>
  <c r="Y177" i="16"/>
  <c r="Y178" i="16"/>
  <c r="Y179" i="16"/>
  <c r="Y180" i="16"/>
  <c r="Y181" i="16"/>
  <c r="Y182" i="16"/>
  <c r="Y183" i="16"/>
  <c r="Y184" i="16"/>
  <c r="Y185" i="16"/>
  <c r="Y186" i="16"/>
  <c r="Y187" i="16"/>
  <c r="Y188" i="16"/>
  <c r="Y189" i="16"/>
  <c r="Y190" i="16"/>
  <c r="Y191" i="16"/>
  <c r="Y192" i="16"/>
  <c r="Y193" i="16"/>
  <c r="Y194" i="16"/>
  <c r="Y195" i="16"/>
  <c r="Y196" i="16"/>
  <c r="Y197" i="16"/>
  <c r="Y198" i="16"/>
  <c r="Y199" i="16"/>
  <c r="Y200" i="16"/>
  <c r="Y201" i="16"/>
  <c r="Y202" i="16"/>
  <c r="Y203" i="16"/>
  <c r="Y204" i="16"/>
  <c r="Y205" i="16"/>
  <c r="Y206" i="16"/>
  <c r="Y207" i="16"/>
  <c r="Y208" i="16"/>
  <c r="Y209" i="16"/>
  <c r="Y210" i="16"/>
  <c r="Y211" i="16"/>
  <c r="Y212" i="16"/>
  <c r="Y213" i="16"/>
  <c r="Y214" i="16"/>
  <c r="Y215" i="16"/>
  <c r="Y216" i="16"/>
  <c r="Y217" i="16"/>
  <c r="Y218" i="16"/>
  <c r="Y219" i="16"/>
  <c r="Y220" i="16"/>
  <c r="Y221" i="16"/>
  <c r="Y222" i="16"/>
  <c r="Y223" i="16"/>
  <c r="Y224" i="16"/>
  <c r="Y225" i="16"/>
  <c r="Y226" i="16"/>
  <c r="Y227" i="16"/>
  <c r="Y228" i="16"/>
  <c r="Y229" i="16"/>
  <c r="Y230" i="16"/>
  <c r="Y231" i="16"/>
  <c r="Y232" i="16"/>
  <c r="Y233" i="16"/>
  <c r="Y234" i="16"/>
  <c r="Y235" i="16"/>
  <c r="Y236" i="16"/>
  <c r="Y237" i="16"/>
  <c r="Y238" i="16"/>
  <c r="Y239" i="16"/>
  <c r="Y240" i="16"/>
  <c r="Y241" i="16"/>
  <c r="Y242" i="16"/>
  <c r="Y243" i="16"/>
  <c r="Y244" i="16"/>
  <c r="Y245" i="16"/>
  <c r="Y246" i="16"/>
  <c r="Y247" i="16"/>
  <c r="Y248" i="16"/>
  <c r="Y249" i="16"/>
  <c r="Y250" i="16"/>
  <c r="Y251" i="16"/>
  <c r="Y252" i="16"/>
  <c r="Y253" i="16"/>
  <c r="Y254" i="16"/>
  <c r="Y255" i="16"/>
  <c r="Y256" i="16"/>
  <c r="Y257" i="16"/>
  <c r="Y258" i="16"/>
  <c r="Y259" i="16"/>
  <c r="Y260" i="16"/>
  <c r="Y261" i="16"/>
  <c r="Y262" i="16"/>
  <c r="Y263" i="16"/>
  <c r="Y264" i="16"/>
  <c r="Y265" i="16"/>
  <c r="Y266" i="16"/>
  <c r="Y267" i="16"/>
  <c r="Y268" i="16"/>
  <c r="Y269" i="16"/>
  <c r="Y270" i="16"/>
  <c r="Y271" i="16"/>
  <c r="Y272" i="16"/>
  <c r="Y273" i="16"/>
  <c r="Y274" i="16"/>
  <c r="Y275" i="16"/>
  <c r="Y276" i="16"/>
  <c r="Y277" i="16"/>
  <c r="Y278" i="16"/>
  <c r="Y279" i="16"/>
  <c r="Y280" i="16"/>
  <c r="Y281" i="16"/>
  <c r="Y282" i="16"/>
  <c r="Y283" i="16"/>
  <c r="Y284" i="16"/>
  <c r="Y285" i="16"/>
  <c r="Y286" i="16"/>
  <c r="Y287" i="16"/>
  <c r="Y288" i="16"/>
  <c r="Y289" i="16"/>
  <c r="Y290" i="16"/>
  <c r="Y291" i="16"/>
  <c r="Y292" i="16"/>
  <c r="Y293" i="16"/>
  <c r="Y294" i="16"/>
  <c r="Y295" i="16"/>
  <c r="Y296" i="16"/>
  <c r="Y297" i="16"/>
  <c r="Y298" i="16"/>
  <c r="Y299" i="16"/>
  <c r="Y300" i="16"/>
  <c r="Y301" i="16"/>
  <c r="Y302" i="16"/>
  <c r="Y303" i="16"/>
  <c r="Y304" i="16"/>
  <c r="Y305" i="16"/>
  <c r="Y306" i="16"/>
  <c r="Y307" i="16"/>
  <c r="Y308" i="16"/>
  <c r="Y309" i="16"/>
  <c r="Y310" i="16"/>
  <c r="Y311" i="16"/>
  <c r="Y312" i="16"/>
  <c r="Y313" i="16"/>
  <c r="Y314" i="16"/>
  <c r="Y315" i="16"/>
  <c r="Y316" i="16"/>
  <c r="Y317" i="16"/>
  <c r="Y318" i="16"/>
  <c r="Y319" i="16"/>
  <c r="Y320" i="16"/>
  <c r="Y321" i="16"/>
  <c r="Y322" i="16"/>
  <c r="Y323" i="16"/>
  <c r="Y324" i="16"/>
  <c r="Y325" i="16"/>
  <c r="Y326" i="16"/>
  <c r="Y327" i="16"/>
  <c r="Y328" i="16"/>
  <c r="Y329" i="16"/>
  <c r="Y330" i="16"/>
  <c r="Y331" i="16"/>
  <c r="Y332" i="16"/>
  <c r="Y333" i="16"/>
  <c r="Y334" i="16"/>
  <c r="Y335" i="16"/>
  <c r="Y336" i="16"/>
  <c r="Y337" i="16"/>
  <c r="Y338" i="16"/>
  <c r="Y339" i="16"/>
  <c r="Y340" i="16"/>
  <c r="Y341" i="16"/>
  <c r="Y342" i="16"/>
  <c r="Y343" i="16"/>
  <c r="Y344" i="16"/>
  <c r="Y345" i="16"/>
  <c r="Y346" i="16"/>
  <c r="Y347" i="16"/>
  <c r="Y348" i="16"/>
  <c r="Y349" i="16"/>
  <c r="Y350" i="16"/>
  <c r="Y351" i="16"/>
  <c r="Y352" i="16"/>
  <c r="Y353" i="16"/>
  <c r="Y354" i="16"/>
  <c r="Y355" i="16"/>
  <c r="Y356" i="16"/>
  <c r="Y357" i="16"/>
  <c r="Y358" i="16"/>
  <c r="Y359" i="16"/>
  <c r="Y360" i="16"/>
  <c r="Y361" i="16"/>
  <c r="Y362" i="16"/>
  <c r="Y363" i="16"/>
  <c r="Y364" i="16"/>
  <c r="Y365" i="16"/>
  <c r="Y366" i="16"/>
  <c r="Y367" i="16"/>
  <c r="Y368" i="16"/>
  <c r="Y369" i="16"/>
  <c r="Y370" i="16"/>
  <c r="Y371" i="16"/>
  <c r="Y372" i="16"/>
  <c r="Y373" i="16"/>
  <c r="Y374" i="16"/>
  <c r="Y375" i="16"/>
  <c r="Y376" i="16"/>
  <c r="Y377" i="16"/>
  <c r="Y378" i="16"/>
  <c r="Y379" i="16"/>
  <c r="Y380" i="16"/>
  <c r="Y381" i="16"/>
  <c r="Y382" i="16"/>
  <c r="Y383" i="16"/>
  <c r="Y384" i="16"/>
  <c r="Y385" i="16"/>
  <c r="Y386" i="16"/>
  <c r="Y387" i="16"/>
  <c r="Y388" i="16"/>
  <c r="Y389" i="16"/>
  <c r="Y390" i="16"/>
  <c r="Y391" i="16"/>
  <c r="Y392" i="16"/>
  <c r="Y393" i="16"/>
  <c r="Y394" i="16"/>
  <c r="Y395" i="16"/>
  <c r="Y396" i="16"/>
  <c r="Y397" i="16"/>
  <c r="Y398" i="16"/>
  <c r="Y399" i="16"/>
  <c r="Y400" i="16"/>
  <c r="Y401" i="16"/>
  <c r="Y402" i="16"/>
  <c r="Y403" i="16"/>
  <c r="Y404" i="16"/>
  <c r="Y405" i="16"/>
  <c r="Y406" i="16"/>
  <c r="Y407" i="16"/>
  <c r="Y408" i="16"/>
  <c r="Y409" i="16"/>
  <c r="Y410" i="16"/>
  <c r="Y411" i="16"/>
  <c r="Y412" i="16"/>
  <c r="Y413" i="16"/>
  <c r="Y414" i="16"/>
  <c r="Y415" i="16"/>
  <c r="Y416" i="16"/>
  <c r="Y417" i="16"/>
  <c r="Y418" i="16"/>
  <c r="Y419" i="16"/>
  <c r="Y420" i="16"/>
  <c r="Y421" i="16"/>
  <c r="Y422" i="16"/>
  <c r="Y423" i="16"/>
  <c r="Y424" i="16"/>
  <c r="Y425" i="16"/>
  <c r="Y426" i="16"/>
  <c r="Y427" i="16"/>
  <c r="Y428" i="16"/>
  <c r="Y429" i="16"/>
  <c r="Y430" i="16"/>
  <c r="Y431" i="16"/>
  <c r="Y432" i="16"/>
  <c r="Y433" i="16"/>
  <c r="Y434" i="16"/>
  <c r="Y435" i="16"/>
  <c r="Y436" i="16"/>
  <c r="Y437" i="16"/>
  <c r="Y438" i="16"/>
  <c r="Y439" i="16"/>
  <c r="Y440" i="16"/>
  <c r="Y441" i="16"/>
  <c r="Y442" i="16"/>
  <c r="Y443" i="16"/>
  <c r="Y444" i="16"/>
  <c r="Y445" i="16"/>
  <c r="Y446" i="16"/>
  <c r="Y447" i="16"/>
  <c r="Y448" i="16"/>
  <c r="Y449" i="16"/>
  <c r="Y450" i="16"/>
  <c r="Y451" i="16"/>
  <c r="Y452" i="16"/>
  <c r="Y453" i="16"/>
  <c r="Y454" i="16"/>
  <c r="Y455" i="16"/>
  <c r="Y456" i="16"/>
  <c r="Y457" i="16"/>
  <c r="Y458" i="16"/>
  <c r="Y459" i="16"/>
  <c r="Y460" i="16"/>
  <c r="Y461" i="16"/>
  <c r="Y462" i="16"/>
  <c r="Y463" i="16"/>
  <c r="Y464" i="16"/>
  <c r="Y465" i="16"/>
  <c r="Y466" i="16"/>
  <c r="Y467" i="16"/>
  <c r="Y468" i="16"/>
  <c r="Y469" i="16"/>
  <c r="Y470" i="16"/>
  <c r="Y471" i="16"/>
  <c r="Y472" i="16"/>
  <c r="Y473" i="16"/>
  <c r="Y474" i="16"/>
  <c r="Y475" i="16"/>
  <c r="Y476" i="16"/>
  <c r="Y477" i="16"/>
  <c r="Y478" i="16"/>
  <c r="Y479" i="16"/>
  <c r="Y480" i="16"/>
  <c r="Y481" i="16"/>
  <c r="Y482" i="16"/>
  <c r="Y483" i="16"/>
  <c r="Y484" i="16"/>
  <c r="Y485" i="16"/>
  <c r="Y486" i="16"/>
  <c r="Y487" i="16"/>
  <c r="Y488" i="16"/>
  <c r="Y489" i="16"/>
  <c r="Y490" i="16"/>
  <c r="Y491" i="16"/>
  <c r="Y492" i="16"/>
  <c r="Y493" i="16"/>
  <c r="Y494" i="16"/>
  <c r="Y495" i="16"/>
  <c r="Y496" i="16"/>
  <c r="Y497" i="16"/>
  <c r="Y498" i="16"/>
  <c r="Y499" i="16"/>
  <c r="Y500" i="16"/>
  <c r="Y501" i="16"/>
  <c r="Y502" i="16"/>
  <c r="Y503" i="16"/>
  <c r="Y504" i="16"/>
  <c r="Y505" i="16"/>
  <c r="Y506" i="16"/>
  <c r="Y507" i="16"/>
  <c r="Y508" i="16"/>
  <c r="Y509" i="16"/>
  <c r="Y510" i="16"/>
  <c r="Y511" i="16"/>
  <c r="Y512" i="16"/>
  <c r="Y513" i="16"/>
  <c r="Y514" i="16"/>
  <c r="Y515" i="16"/>
  <c r="Y516" i="16"/>
  <c r="Y517" i="16"/>
  <c r="Y518" i="16"/>
  <c r="Y519" i="16"/>
  <c r="Y520" i="16"/>
  <c r="Y521" i="16"/>
  <c r="Y522" i="16"/>
  <c r="Y523" i="16"/>
  <c r="Y524" i="16"/>
  <c r="Y525" i="16"/>
  <c r="Y526" i="16"/>
  <c r="Y527" i="16"/>
  <c r="Y528" i="16"/>
  <c r="Y529" i="16"/>
  <c r="Y530" i="16"/>
  <c r="Y531" i="16"/>
  <c r="Y532" i="16"/>
  <c r="Y533" i="16"/>
  <c r="Y534" i="16"/>
  <c r="Y535" i="16"/>
  <c r="Y536" i="16"/>
  <c r="Y537" i="16"/>
  <c r="Y538" i="16"/>
  <c r="Y539" i="16"/>
  <c r="Y540" i="16"/>
  <c r="Y541" i="16"/>
  <c r="Y542" i="16"/>
  <c r="Y543" i="16"/>
  <c r="Y544" i="16"/>
  <c r="Y545" i="16"/>
  <c r="Y546" i="16"/>
  <c r="Y547" i="16"/>
  <c r="Y548" i="16"/>
  <c r="Y549" i="16"/>
  <c r="Y550" i="16"/>
  <c r="Y551" i="16"/>
  <c r="Y552" i="16"/>
  <c r="Y553" i="16"/>
  <c r="Y554" i="16"/>
  <c r="Y555" i="16"/>
  <c r="Y556" i="16"/>
  <c r="Y557" i="16"/>
  <c r="Y558" i="16"/>
  <c r="Y559" i="16"/>
  <c r="Y560" i="16"/>
  <c r="Y561" i="16"/>
  <c r="Y562" i="16"/>
  <c r="Y563" i="16"/>
  <c r="Y564" i="16"/>
  <c r="Y565" i="16"/>
  <c r="Y566" i="16"/>
  <c r="Y567" i="16"/>
  <c r="Y568" i="16"/>
  <c r="Y569" i="16"/>
  <c r="Y570" i="16"/>
  <c r="Y571" i="16"/>
  <c r="Y572" i="16"/>
  <c r="Y573" i="16"/>
  <c r="Y574" i="16"/>
  <c r="Y575" i="16"/>
  <c r="Y576" i="16"/>
  <c r="Y577" i="16"/>
  <c r="Y578" i="16"/>
  <c r="Y579" i="16"/>
  <c r="Y580" i="16"/>
  <c r="Y581" i="16"/>
  <c r="Y582" i="16"/>
  <c r="Y583" i="16"/>
  <c r="Y584" i="16"/>
  <c r="Y585" i="16"/>
  <c r="Y586" i="16"/>
  <c r="Y587" i="16"/>
  <c r="Y588" i="16"/>
  <c r="Y589" i="16"/>
  <c r="Y590" i="16"/>
  <c r="Y591" i="16"/>
  <c r="Y592" i="16"/>
  <c r="Y593" i="16"/>
  <c r="Y594" i="16"/>
  <c r="Y595" i="16"/>
  <c r="Y596" i="16"/>
  <c r="Y597" i="16"/>
  <c r="Y598" i="16"/>
  <c r="Y599" i="16"/>
  <c r="Y600" i="16"/>
  <c r="Y601" i="16"/>
  <c r="Y602" i="16"/>
  <c r="Y603" i="16"/>
  <c r="Y604" i="16"/>
  <c r="Y605" i="16"/>
  <c r="Y606" i="16"/>
  <c r="Y607" i="16"/>
  <c r="Y608" i="16"/>
  <c r="Y609" i="16"/>
  <c r="Y610" i="16"/>
  <c r="Y611" i="16"/>
  <c r="Y612" i="16"/>
  <c r="Y613" i="16"/>
  <c r="Y614" i="16"/>
  <c r="Y615" i="16"/>
  <c r="Y616" i="16"/>
  <c r="Y617" i="16"/>
  <c r="Y618" i="16"/>
  <c r="Y619" i="16"/>
  <c r="Y620" i="16"/>
  <c r="Y621" i="16"/>
  <c r="Y622" i="16"/>
  <c r="Y623" i="16"/>
  <c r="Y624" i="16"/>
  <c r="Y625" i="16"/>
  <c r="Y626" i="16"/>
  <c r="Y627" i="16"/>
  <c r="Y628" i="16"/>
  <c r="Y629" i="16"/>
  <c r="Y630" i="16"/>
  <c r="Y631" i="16"/>
  <c r="Y632" i="16"/>
  <c r="Y2" i="16"/>
  <c r="C2" i="16"/>
  <c r="C3" i="16"/>
  <c r="C4" i="16"/>
  <c r="C5" i="16"/>
  <c r="C6" i="16"/>
  <c r="C7" i="16"/>
  <c r="C8" i="16"/>
  <c r="C9" i="16"/>
  <c r="C10" i="16"/>
  <c r="C11" i="16"/>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48" i="16"/>
  <c r="C49" i="16"/>
  <c r="C50" i="16"/>
  <c r="C51" i="16"/>
  <c r="C52" i="16"/>
  <c r="C53" i="16"/>
  <c r="C54" i="16"/>
  <c r="C55" i="16"/>
  <c r="C56" i="16"/>
  <c r="C57" i="16"/>
  <c r="C58" i="16"/>
  <c r="C59" i="16"/>
  <c r="C60" i="16"/>
  <c r="C61" i="16"/>
  <c r="C62" i="16"/>
  <c r="C63" i="16"/>
  <c r="C64" i="16"/>
  <c r="C65" i="16"/>
  <c r="C66" i="16"/>
  <c r="C67" i="16"/>
  <c r="C68" i="16"/>
  <c r="C69" i="16"/>
  <c r="C70" i="16"/>
  <c r="C71" i="16"/>
  <c r="C72" i="16"/>
  <c r="C73" i="16"/>
  <c r="C74" i="16"/>
  <c r="C75" i="16"/>
  <c r="C76" i="16"/>
  <c r="C77" i="16"/>
  <c r="C78" i="16"/>
  <c r="C79" i="16"/>
  <c r="C80" i="16"/>
  <c r="C81" i="16"/>
  <c r="C82" i="16"/>
  <c r="C83" i="16"/>
  <c r="C84" i="16"/>
  <c r="C85" i="16"/>
  <c r="C86" i="16"/>
  <c r="C87" i="16"/>
  <c r="C88" i="16"/>
  <c r="C89" i="16"/>
  <c r="C90" i="16"/>
  <c r="C91" i="16"/>
  <c r="C92" i="16"/>
  <c r="C93" i="16"/>
  <c r="C94" i="16"/>
  <c r="C95" i="16"/>
  <c r="C96" i="16"/>
  <c r="C97" i="16"/>
  <c r="C98" i="16"/>
  <c r="C99" i="16"/>
  <c r="C100" i="16"/>
  <c r="C101" i="16"/>
  <c r="C102" i="16"/>
  <c r="C103" i="16"/>
  <c r="C104" i="16"/>
  <c r="C105" i="16"/>
  <c r="C106" i="16"/>
  <c r="C107" i="16"/>
  <c r="C108" i="16"/>
  <c r="C109" i="16"/>
  <c r="C110" i="16"/>
  <c r="C111" i="16"/>
  <c r="C112" i="16"/>
  <c r="C113" i="16"/>
  <c r="C114" i="16"/>
  <c r="C115" i="16"/>
  <c r="C116" i="16"/>
  <c r="C117" i="16"/>
  <c r="C118" i="16"/>
  <c r="C119" i="16"/>
  <c r="C120" i="16"/>
  <c r="C121" i="16"/>
  <c r="C122" i="16"/>
  <c r="C123" i="16"/>
  <c r="C124" i="16"/>
  <c r="C125" i="16"/>
  <c r="C126" i="16"/>
  <c r="C127" i="16"/>
  <c r="C128" i="16"/>
  <c r="C129" i="16"/>
  <c r="C130" i="16"/>
  <c r="C131" i="16"/>
  <c r="C132" i="16"/>
  <c r="C133" i="16"/>
  <c r="C134" i="16"/>
  <c r="C135" i="16"/>
  <c r="C136" i="16"/>
  <c r="C137" i="16"/>
  <c r="C138" i="16"/>
  <c r="C139" i="16"/>
  <c r="C140" i="16"/>
  <c r="C141" i="16"/>
  <c r="C142" i="16"/>
  <c r="C143" i="16"/>
  <c r="C144" i="16"/>
  <c r="C145" i="16"/>
  <c r="C146" i="16"/>
  <c r="C147" i="16"/>
  <c r="C148" i="16"/>
  <c r="C149" i="16"/>
  <c r="C150" i="16"/>
  <c r="C151" i="16"/>
  <c r="C152" i="16"/>
  <c r="C153" i="16"/>
  <c r="C154" i="16"/>
  <c r="C155" i="16"/>
  <c r="C156" i="16"/>
  <c r="C157" i="16"/>
  <c r="C158" i="16"/>
  <c r="C159" i="16"/>
  <c r="C160" i="16"/>
  <c r="C161" i="16"/>
  <c r="C162" i="16"/>
  <c r="C163" i="16"/>
  <c r="C164" i="16"/>
  <c r="C165" i="16"/>
  <c r="C166" i="16"/>
  <c r="C167" i="16"/>
  <c r="C168" i="16"/>
  <c r="C169" i="16"/>
  <c r="C170" i="16"/>
  <c r="C171" i="16"/>
  <c r="C172" i="16"/>
  <c r="C173" i="16"/>
  <c r="C174" i="16"/>
  <c r="C175" i="16"/>
  <c r="C176" i="16"/>
  <c r="C177" i="16"/>
  <c r="C178" i="16"/>
  <c r="C179" i="16"/>
  <c r="C180" i="16"/>
  <c r="C181" i="16"/>
  <c r="C182" i="16"/>
  <c r="C183" i="16"/>
  <c r="C184" i="16"/>
  <c r="C185" i="16"/>
  <c r="C186" i="16"/>
  <c r="C187" i="16"/>
  <c r="C188" i="16"/>
  <c r="C189" i="16"/>
  <c r="C190" i="16"/>
  <c r="C191" i="16"/>
  <c r="C192" i="16"/>
  <c r="C193" i="16"/>
  <c r="C194" i="16"/>
  <c r="C195" i="16"/>
  <c r="C196" i="16"/>
  <c r="C197" i="16"/>
  <c r="C198" i="16"/>
  <c r="C199" i="16"/>
  <c r="C200" i="16"/>
  <c r="C201" i="16"/>
  <c r="C202" i="16"/>
  <c r="C203" i="16"/>
  <c r="C204" i="16"/>
  <c r="C205" i="16"/>
  <c r="C206" i="16"/>
  <c r="C207" i="16"/>
  <c r="C208" i="16"/>
  <c r="C209" i="16"/>
  <c r="C210" i="16"/>
  <c r="C211" i="16"/>
  <c r="C212" i="16"/>
  <c r="C213" i="16"/>
  <c r="C214" i="16"/>
  <c r="C215" i="16"/>
  <c r="C216" i="16"/>
  <c r="C217" i="16"/>
  <c r="C218" i="16"/>
  <c r="C219" i="16"/>
  <c r="C220" i="16"/>
  <c r="C221" i="16"/>
  <c r="C222" i="16"/>
  <c r="C223" i="16"/>
  <c r="C224" i="16"/>
  <c r="C225" i="16"/>
  <c r="C226" i="16"/>
  <c r="C227" i="16"/>
  <c r="C228" i="16"/>
  <c r="C229" i="16"/>
  <c r="C230" i="16"/>
  <c r="C231" i="16"/>
  <c r="C232" i="16"/>
  <c r="C233" i="16"/>
  <c r="C234" i="16"/>
  <c r="C235" i="16"/>
  <c r="C236" i="16"/>
  <c r="C237" i="16"/>
  <c r="C238" i="16"/>
  <c r="C239" i="16"/>
  <c r="C240" i="16"/>
  <c r="C241" i="16"/>
  <c r="C242" i="16"/>
  <c r="C243" i="16"/>
  <c r="C244" i="16"/>
  <c r="C245" i="16"/>
  <c r="C246" i="16"/>
  <c r="C247" i="16"/>
  <c r="C248" i="16"/>
  <c r="C249" i="16"/>
  <c r="C250" i="16"/>
  <c r="C251" i="16"/>
  <c r="C252" i="16"/>
  <c r="C253" i="16"/>
  <c r="C254" i="16"/>
  <c r="C255" i="16"/>
  <c r="C256" i="16"/>
  <c r="C257" i="16"/>
  <c r="C258" i="16"/>
  <c r="C259" i="16"/>
  <c r="C260" i="16"/>
  <c r="C261" i="16"/>
  <c r="C262" i="16"/>
  <c r="C263" i="16"/>
  <c r="C264" i="16"/>
  <c r="C265" i="16"/>
  <c r="C266" i="16"/>
  <c r="C267" i="16"/>
  <c r="C268" i="16"/>
  <c r="C269" i="16"/>
  <c r="C270" i="16"/>
  <c r="C271" i="16"/>
  <c r="C272" i="16"/>
  <c r="C273" i="16"/>
  <c r="C274" i="16"/>
  <c r="C275" i="16"/>
  <c r="C276" i="16"/>
  <c r="C277" i="16"/>
  <c r="C278" i="16"/>
  <c r="C279" i="16"/>
  <c r="C280" i="16"/>
  <c r="C281" i="16"/>
  <c r="C282" i="16"/>
  <c r="C283" i="16"/>
  <c r="C284" i="16"/>
  <c r="C285" i="16"/>
  <c r="C286" i="16"/>
  <c r="C287" i="16"/>
  <c r="C288" i="16"/>
  <c r="C289" i="16"/>
  <c r="C290" i="16"/>
  <c r="C291" i="16"/>
  <c r="C292" i="16"/>
  <c r="C293" i="16"/>
  <c r="C294" i="16"/>
  <c r="C295" i="16"/>
  <c r="C296" i="16"/>
  <c r="C297" i="16"/>
  <c r="C298" i="16"/>
  <c r="C299" i="16"/>
  <c r="C300" i="16"/>
  <c r="C301" i="16"/>
  <c r="C302" i="16"/>
  <c r="C303" i="16"/>
  <c r="C304" i="16"/>
  <c r="C305" i="16"/>
  <c r="C306" i="16"/>
  <c r="C307" i="16"/>
  <c r="C308" i="16"/>
  <c r="C309" i="16"/>
  <c r="C310" i="16"/>
  <c r="C311" i="16"/>
  <c r="C312" i="16"/>
  <c r="C313" i="16"/>
  <c r="C314" i="16"/>
  <c r="C315" i="16"/>
  <c r="C316" i="16"/>
  <c r="C317" i="16"/>
  <c r="C318" i="16"/>
  <c r="C319" i="16"/>
  <c r="C320" i="16"/>
  <c r="C321" i="16"/>
  <c r="C322" i="16"/>
  <c r="C323" i="16"/>
  <c r="C324" i="16"/>
  <c r="C325" i="16"/>
  <c r="C326" i="16"/>
  <c r="C327" i="16"/>
  <c r="C328" i="16"/>
  <c r="C329" i="16"/>
  <c r="C330" i="16"/>
  <c r="C331" i="16"/>
  <c r="C332" i="16"/>
  <c r="C333" i="16"/>
  <c r="C334" i="16"/>
  <c r="C335" i="16"/>
  <c r="C336" i="16"/>
  <c r="C337" i="16"/>
  <c r="C338" i="16"/>
  <c r="C339" i="16"/>
  <c r="C340" i="16"/>
  <c r="C341" i="16"/>
  <c r="C342" i="16"/>
  <c r="C343" i="16"/>
  <c r="C344" i="16"/>
  <c r="C345" i="16"/>
  <c r="C346" i="16"/>
  <c r="C347" i="16"/>
  <c r="C348" i="16"/>
  <c r="C349" i="16"/>
  <c r="C350" i="16"/>
  <c r="C351" i="16"/>
  <c r="C352" i="16"/>
  <c r="C353" i="16"/>
  <c r="C354" i="16"/>
  <c r="C355" i="16"/>
  <c r="C356" i="16"/>
  <c r="C357" i="16"/>
  <c r="C358" i="16"/>
  <c r="C359" i="16"/>
  <c r="C360" i="16"/>
  <c r="C361" i="16"/>
  <c r="C362" i="16"/>
  <c r="C363" i="16"/>
  <c r="C364" i="16"/>
  <c r="C365" i="16"/>
  <c r="C366" i="16"/>
  <c r="C367" i="16"/>
  <c r="C368" i="16"/>
  <c r="C369" i="16"/>
  <c r="C370" i="16"/>
  <c r="C371" i="16"/>
  <c r="C372" i="16"/>
  <c r="C373" i="16"/>
  <c r="C374" i="16"/>
  <c r="C375" i="16"/>
  <c r="C376" i="16"/>
  <c r="C377" i="16"/>
  <c r="C378" i="16"/>
  <c r="C379" i="16"/>
  <c r="C380" i="16"/>
  <c r="C381" i="16"/>
  <c r="C382" i="16"/>
  <c r="C383" i="16"/>
  <c r="C384" i="16"/>
  <c r="C385" i="16"/>
  <c r="C386" i="16"/>
  <c r="C387" i="16"/>
  <c r="C388" i="16"/>
  <c r="C389" i="16"/>
  <c r="C390" i="16"/>
  <c r="C391" i="16"/>
  <c r="C392" i="16"/>
  <c r="C393" i="16"/>
  <c r="C394" i="16"/>
  <c r="C395" i="16"/>
  <c r="C396" i="16"/>
  <c r="C397" i="16"/>
  <c r="C398" i="16"/>
  <c r="C399" i="16"/>
  <c r="C400" i="16"/>
  <c r="C401" i="16"/>
  <c r="C402" i="16"/>
  <c r="C403" i="16"/>
  <c r="C404" i="16"/>
  <c r="C405" i="16"/>
  <c r="C406" i="16"/>
  <c r="C407" i="16"/>
  <c r="C408" i="16"/>
  <c r="C409" i="16"/>
  <c r="C410" i="16"/>
  <c r="C411" i="16"/>
  <c r="C412" i="16"/>
  <c r="C413" i="16"/>
  <c r="C414" i="16"/>
  <c r="C415" i="16"/>
  <c r="C416" i="16"/>
  <c r="C417" i="16"/>
  <c r="C418" i="16"/>
  <c r="C419" i="16"/>
  <c r="C420" i="16"/>
  <c r="C421" i="16"/>
  <c r="C422" i="16"/>
  <c r="C423" i="16"/>
  <c r="C424" i="16"/>
  <c r="C425" i="16"/>
  <c r="C426" i="16"/>
  <c r="C427" i="16"/>
  <c r="C428" i="16"/>
  <c r="C429" i="16"/>
  <c r="C430" i="16"/>
  <c r="C431" i="16"/>
  <c r="C432" i="16"/>
  <c r="C433" i="16"/>
  <c r="C434" i="16"/>
  <c r="C435" i="16"/>
  <c r="C436" i="16"/>
  <c r="C437" i="16"/>
  <c r="C438" i="16"/>
  <c r="C439" i="16"/>
  <c r="C440" i="16"/>
  <c r="C441" i="16"/>
  <c r="C442" i="16"/>
  <c r="C443" i="16"/>
  <c r="C444" i="16"/>
  <c r="C445" i="16"/>
  <c r="C446" i="16"/>
  <c r="C447" i="16"/>
  <c r="C448" i="16"/>
  <c r="C449" i="16"/>
  <c r="C450" i="16"/>
  <c r="C451" i="16"/>
  <c r="C452" i="16"/>
  <c r="C453" i="16"/>
  <c r="C454" i="16"/>
  <c r="C455" i="16"/>
  <c r="C456" i="16"/>
  <c r="C457" i="16"/>
  <c r="C458" i="16"/>
  <c r="C459" i="16"/>
  <c r="C460" i="16"/>
  <c r="C461" i="16"/>
  <c r="C462" i="16"/>
  <c r="C463" i="16"/>
  <c r="C464" i="16"/>
  <c r="C465" i="16"/>
  <c r="C466" i="16"/>
  <c r="C467" i="16"/>
  <c r="C468" i="16"/>
  <c r="C469" i="16"/>
  <c r="C470" i="16"/>
  <c r="C471" i="16"/>
  <c r="C472" i="16"/>
  <c r="C473" i="16"/>
  <c r="C474" i="16"/>
  <c r="C475" i="16"/>
  <c r="C476" i="16"/>
  <c r="C477" i="16"/>
  <c r="C478" i="16"/>
  <c r="C479" i="16"/>
  <c r="C480" i="16"/>
  <c r="C481" i="16"/>
  <c r="C482" i="16"/>
  <c r="C483" i="16"/>
  <c r="C484" i="16"/>
  <c r="C485" i="16"/>
  <c r="C486" i="16"/>
  <c r="C487" i="16"/>
  <c r="C488" i="16"/>
  <c r="C489" i="16"/>
  <c r="C490" i="16"/>
  <c r="C491" i="16"/>
  <c r="C492" i="16"/>
  <c r="C493" i="16"/>
  <c r="C494" i="16"/>
  <c r="C495" i="16"/>
  <c r="C496" i="16"/>
  <c r="C497" i="16"/>
  <c r="C498" i="16"/>
  <c r="C499" i="16"/>
  <c r="C500" i="16"/>
  <c r="C501" i="16"/>
  <c r="C502" i="16"/>
  <c r="C503" i="16"/>
  <c r="C504" i="16"/>
  <c r="C505" i="16"/>
  <c r="C506" i="16"/>
  <c r="C507" i="16"/>
  <c r="C508" i="16"/>
  <c r="C509" i="16"/>
  <c r="C510" i="16"/>
  <c r="C511" i="16"/>
  <c r="C512" i="16"/>
  <c r="C513" i="16"/>
  <c r="C514" i="16"/>
  <c r="C515" i="16"/>
  <c r="C516" i="16"/>
  <c r="C517" i="16"/>
  <c r="C518" i="16"/>
  <c r="C519" i="16"/>
  <c r="C520" i="16"/>
  <c r="C521" i="16"/>
  <c r="C522" i="16"/>
  <c r="C523" i="16"/>
  <c r="C524" i="16"/>
  <c r="C525" i="16"/>
  <c r="C526" i="16"/>
  <c r="C527" i="16"/>
  <c r="C528" i="16"/>
  <c r="C529" i="16"/>
  <c r="C530" i="16"/>
  <c r="C531" i="16"/>
  <c r="C532" i="16"/>
  <c r="C533" i="16"/>
  <c r="C534" i="16"/>
  <c r="C535" i="16"/>
  <c r="C536" i="16"/>
  <c r="C537" i="16"/>
  <c r="C538" i="16"/>
  <c r="C539" i="16"/>
  <c r="C540" i="16"/>
  <c r="C541" i="16"/>
  <c r="C542" i="16"/>
  <c r="C543" i="16"/>
  <c r="C544" i="16"/>
  <c r="C545" i="16"/>
  <c r="C546" i="16"/>
  <c r="C547" i="16"/>
  <c r="C548" i="16"/>
  <c r="C549" i="16"/>
  <c r="C550" i="16"/>
  <c r="C551" i="16"/>
  <c r="C552" i="16"/>
  <c r="C553" i="16"/>
  <c r="C554" i="16"/>
  <c r="C555" i="16"/>
  <c r="C556" i="16"/>
  <c r="C557" i="16"/>
  <c r="C558" i="16"/>
  <c r="C559" i="16"/>
  <c r="C560" i="16"/>
  <c r="C561" i="16"/>
  <c r="C562" i="16"/>
  <c r="C563" i="16"/>
  <c r="C564" i="16"/>
  <c r="C565" i="16"/>
  <c r="C566" i="16"/>
  <c r="C567" i="16"/>
  <c r="C568" i="16"/>
  <c r="C569" i="16"/>
  <c r="C570" i="16"/>
  <c r="C571" i="16"/>
  <c r="C572" i="16"/>
  <c r="C573" i="16"/>
  <c r="C574" i="16"/>
  <c r="C575" i="16"/>
  <c r="C576" i="16"/>
  <c r="C577" i="16"/>
  <c r="C578" i="16"/>
  <c r="C579" i="16"/>
  <c r="C580" i="16"/>
  <c r="C581" i="16"/>
  <c r="C582" i="16"/>
  <c r="C583" i="16"/>
  <c r="C584" i="16"/>
  <c r="C585" i="16"/>
  <c r="C586" i="16"/>
  <c r="C587" i="16"/>
  <c r="C588" i="16"/>
  <c r="C589" i="16"/>
  <c r="C590" i="16"/>
  <c r="C591" i="16"/>
  <c r="C592" i="16"/>
  <c r="C593" i="16"/>
  <c r="C594" i="16"/>
  <c r="C595" i="16"/>
  <c r="C596" i="16"/>
  <c r="C597" i="16"/>
  <c r="C598" i="16"/>
  <c r="C599" i="16"/>
  <c r="C600" i="16"/>
  <c r="C601" i="16"/>
  <c r="C602" i="16"/>
  <c r="C603" i="16"/>
  <c r="C604" i="16"/>
  <c r="C605" i="16"/>
  <c r="C606" i="16"/>
  <c r="C607" i="16"/>
  <c r="C608" i="16"/>
  <c r="C609" i="16"/>
  <c r="C610" i="16"/>
  <c r="C611" i="16"/>
  <c r="C612" i="16"/>
  <c r="C613" i="16"/>
  <c r="C614" i="16"/>
  <c r="C615" i="16"/>
  <c r="C616" i="16"/>
  <c r="C617" i="16"/>
  <c r="C618" i="16"/>
  <c r="C619" i="16"/>
  <c r="C620" i="16"/>
  <c r="C621" i="16"/>
  <c r="C622" i="16"/>
  <c r="C623" i="16"/>
  <c r="C624" i="16"/>
  <c r="C625" i="16"/>
  <c r="C626" i="16"/>
  <c r="C627" i="16"/>
  <c r="C628" i="16"/>
  <c r="C629" i="16"/>
  <c r="C630" i="16"/>
  <c r="C631" i="16"/>
  <c r="C632" i="16"/>
  <c r="AE626" i="16" l="1"/>
  <c r="AD626" i="16"/>
  <c r="AE594" i="16"/>
  <c r="AD594" i="16"/>
  <c r="AE562" i="16"/>
  <c r="AD562" i="16"/>
  <c r="AE546" i="16"/>
  <c r="AD546" i="16"/>
  <c r="AE522" i="16"/>
  <c r="AD522" i="16"/>
  <c r="AE506" i="16"/>
  <c r="AD506" i="16"/>
  <c r="AE490" i="16"/>
  <c r="AD490" i="16"/>
  <c r="AE629" i="16"/>
  <c r="AD629" i="16"/>
  <c r="AE565" i="16"/>
  <c r="AD565" i="16"/>
  <c r="AE501" i="16"/>
  <c r="AD501" i="16"/>
  <c r="AE444" i="16"/>
  <c r="AD444" i="16"/>
  <c r="AE2" i="16"/>
  <c r="AD2" i="16"/>
  <c r="AE625" i="16"/>
  <c r="AD625" i="16"/>
  <c r="AE617" i="16"/>
  <c r="AD617" i="16"/>
  <c r="AE609" i="16"/>
  <c r="AD609" i="16"/>
  <c r="AE601" i="16"/>
  <c r="AD601" i="16"/>
  <c r="AE593" i="16"/>
  <c r="AD593" i="16"/>
  <c r="AE585" i="16"/>
  <c r="AD585" i="16"/>
  <c r="AE577" i="16"/>
  <c r="AD577" i="16"/>
  <c r="AE569" i="16"/>
  <c r="AD569" i="16"/>
  <c r="AE561" i="16"/>
  <c r="AD561" i="16"/>
  <c r="AE553" i="16"/>
  <c r="AD553" i="16"/>
  <c r="AE545" i="16"/>
  <c r="AD545" i="16"/>
  <c r="AE537" i="16"/>
  <c r="AD537" i="16"/>
  <c r="AE529" i="16"/>
  <c r="AD529" i="16"/>
  <c r="AE521" i="16"/>
  <c r="AD521" i="16"/>
  <c r="AE513" i="16"/>
  <c r="AD513" i="16"/>
  <c r="AE505" i="16"/>
  <c r="AD505" i="16"/>
  <c r="AE497" i="16"/>
  <c r="AD497" i="16"/>
  <c r="AE489" i="16"/>
  <c r="AD489" i="16"/>
  <c r="AE481" i="16"/>
  <c r="AD481" i="16"/>
  <c r="AE465" i="16"/>
  <c r="AD465" i="16"/>
  <c r="AE457" i="16"/>
  <c r="AD457" i="16"/>
  <c r="AE449" i="16"/>
  <c r="AD449" i="16"/>
  <c r="AE433" i="16"/>
  <c r="AD433" i="16"/>
  <c r="AE425" i="16"/>
  <c r="AD425" i="16"/>
  <c r="AE417" i="16"/>
  <c r="AD417" i="16"/>
  <c r="AE401" i="16"/>
  <c r="AD401" i="16"/>
  <c r="AE393" i="16"/>
  <c r="AD393" i="16"/>
  <c r="AE385" i="16"/>
  <c r="AD385" i="16"/>
  <c r="AE369" i="16"/>
  <c r="AD369" i="16"/>
  <c r="AE361" i="16"/>
  <c r="AD361" i="16"/>
  <c r="AE353" i="16"/>
  <c r="AD353" i="16"/>
  <c r="AE337" i="16"/>
  <c r="AD337" i="16"/>
  <c r="AE329" i="16"/>
  <c r="AD329" i="16"/>
  <c r="AE321" i="16"/>
  <c r="AD321" i="16"/>
  <c r="AE305" i="16"/>
  <c r="AD305" i="16"/>
  <c r="AE297" i="16"/>
  <c r="AD297" i="16"/>
  <c r="AE289" i="16"/>
  <c r="AD289" i="16"/>
  <c r="AE281" i="16"/>
  <c r="AD281" i="16"/>
  <c r="AE273" i="16"/>
  <c r="AD273" i="16"/>
  <c r="AE265" i="16"/>
  <c r="AD265" i="16"/>
  <c r="AE241" i="16"/>
  <c r="AD241" i="16"/>
  <c r="AE233" i="16"/>
  <c r="AD233" i="16"/>
  <c r="AE225" i="16"/>
  <c r="AD225" i="16"/>
  <c r="AE217" i="16"/>
  <c r="AD217" i="16"/>
  <c r="AE209" i="16"/>
  <c r="AD209" i="16"/>
  <c r="AE201" i="16"/>
  <c r="AD201" i="16"/>
  <c r="AE177" i="16"/>
  <c r="AD177" i="16"/>
  <c r="AE169" i="16"/>
  <c r="AD169" i="16"/>
  <c r="AE161" i="16"/>
  <c r="AD161" i="16"/>
  <c r="AE153" i="16"/>
  <c r="AD153" i="16"/>
  <c r="AE145" i="16"/>
  <c r="AD145" i="16"/>
  <c r="AE113" i="16"/>
  <c r="AD113" i="16"/>
  <c r="AE97" i="16"/>
  <c r="AD97" i="16"/>
  <c r="AE89" i="16"/>
  <c r="AD89" i="16"/>
  <c r="AE81" i="16"/>
  <c r="AD81" i="16"/>
  <c r="AE49" i="16"/>
  <c r="AD49" i="16"/>
  <c r="AE33" i="16"/>
  <c r="AD33" i="16"/>
  <c r="AE25" i="16"/>
  <c r="AD25" i="16"/>
  <c r="AE17" i="16"/>
  <c r="AD17" i="16"/>
  <c r="AE610" i="16"/>
  <c r="AD610" i="16"/>
  <c r="AE538" i="16"/>
  <c r="AD538" i="16"/>
  <c r="AE482" i="16"/>
  <c r="AD482" i="16"/>
  <c r="AE597" i="16"/>
  <c r="AD597" i="16"/>
  <c r="AE632" i="16"/>
  <c r="AD632" i="16"/>
  <c r="AE624" i="16"/>
  <c r="AD624" i="16"/>
  <c r="AE616" i="16"/>
  <c r="AD616" i="16"/>
  <c r="AD608" i="16"/>
  <c r="AE608" i="16"/>
  <c r="AE600" i="16"/>
  <c r="AD600" i="16"/>
  <c r="AE592" i="16"/>
  <c r="AD592" i="16"/>
  <c r="AE584" i="16"/>
  <c r="AD584" i="16"/>
  <c r="AE576" i="16"/>
  <c r="AD576" i="16"/>
  <c r="AE568" i="16"/>
  <c r="AD568" i="16"/>
  <c r="AE560" i="16"/>
  <c r="AD560" i="16"/>
  <c r="AE552" i="16"/>
  <c r="AD552" i="16"/>
  <c r="AE544" i="16"/>
  <c r="AD544" i="16"/>
  <c r="AE536" i="16"/>
  <c r="AD536" i="16"/>
  <c r="AE528" i="16"/>
  <c r="AD528" i="16"/>
  <c r="AE520" i="16"/>
  <c r="AD520" i="16"/>
  <c r="AE512" i="16"/>
  <c r="AD512" i="16"/>
  <c r="AE504" i="16"/>
  <c r="AD504" i="16"/>
  <c r="AE496" i="16"/>
  <c r="AD496" i="16"/>
  <c r="AE488" i="16"/>
  <c r="AD488" i="16"/>
  <c r="AD480" i="16"/>
  <c r="AE480" i="16"/>
  <c r="AE621" i="16"/>
  <c r="AD621" i="16"/>
  <c r="AE589" i="16"/>
  <c r="AD589" i="16"/>
  <c r="AE557" i="16"/>
  <c r="AD557" i="16"/>
  <c r="AE525" i="16"/>
  <c r="AD525" i="16"/>
  <c r="AE493" i="16"/>
  <c r="AD493" i="16"/>
  <c r="AE412" i="16"/>
  <c r="AD412" i="16"/>
  <c r="AE257" i="16"/>
  <c r="AD257" i="16"/>
  <c r="AE602" i="16"/>
  <c r="AD602" i="16"/>
  <c r="AE570" i="16"/>
  <c r="AD570" i="16"/>
  <c r="AE554" i="16"/>
  <c r="AD554" i="16"/>
  <c r="AE530" i="16"/>
  <c r="AD530" i="16"/>
  <c r="AE514" i="16"/>
  <c r="AD514" i="16"/>
  <c r="AE498" i="16"/>
  <c r="AD498" i="16"/>
  <c r="AE316" i="16"/>
  <c r="AD316" i="16"/>
  <c r="AE631" i="16"/>
  <c r="AD631" i="16"/>
  <c r="AE623" i="16"/>
  <c r="AD623" i="16"/>
  <c r="AE615" i="16"/>
  <c r="AD615" i="16"/>
  <c r="AE607" i="16"/>
  <c r="AD607" i="16"/>
  <c r="AE599" i="16"/>
  <c r="AD599" i="16"/>
  <c r="AE591" i="16"/>
  <c r="AD591" i="16"/>
  <c r="AE583" i="16"/>
  <c r="AD583" i="16"/>
  <c r="AE575" i="16"/>
  <c r="AD575" i="16"/>
  <c r="AE567" i="16"/>
  <c r="AD567" i="16"/>
  <c r="AE559" i="16"/>
  <c r="AD559" i="16"/>
  <c r="AE551" i="16"/>
  <c r="AD551" i="16"/>
  <c r="AE543" i="16"/>
  <c r="AD543" i="16"/>
  <c r="AE535" i="16"/>
  <c r="AD535" i="16"/>
  <c r="AE527" i="16"/>
  <c r="AD527" i="16"/>
  <c r="AE519" i="16"/>
  <c r="AD519" i="16"/>
  <c r="AE511" i="16"/>
  <c r="AD511" i="16"/>
  <c r="AE503" i="16"/>
  <c r="AD503" i="16"/>
  <c r="AE495" i="16"/>
  <c r="AD495" i="16"/>
  <c r="AE487" i="16"/>
  <c r="AD487" i="16"/>
  <c r="AE479" i="16"/>
  <c r="AD479" i="16"/>
  <c r="AE65" i="16"/>
  <c r="AD65" i="16"/>
  <c r="AE586" i="16"/>
  <c r="AD586" i="16"/>
  <c r="AE630" i="16"/>
  <c r="AD630" i="16"/>
  <c r="AE622" i="16"/>
  <c r="AD622" i="16"/>
  <c r="AE606" i="16"/>
  <c r="AD606" i="16"/>
  <c r="AE598" i="16"/>
  <c r="AD598" i="16"/>
  <c r="AE590" i="16"/>
  <c r="AD590" i="16"/>
  <c r="AE582" i="16"/>
  <c r="AD582" i="16"/>
  <c r="AE574" i="16"/>
  <c r="AD574" i="16"/>
  <c r="AE566" i="16"/>
  <c r="AD566" i="16"/>
  <c r="AE558" i="16"/>
  <c r="AD558" i="16"/>
  <c r="AE550" i="16"/>
  <c r="AD550" i="16"/>
  <c r="AE542" i="16"/>
  <c r="AD542" i="16"/>
  <c r="AE534" i="16"/>
  <c r="AD534" i="16"/>
  <c r="AE526" i="16"/>
  <c r="AD526" i="16"/>
  <c r="AE518" i="16"/>
  <c r="AD518" i="16"/>
  <c r="AE510" i="16"/>
  <c r="AD510" i="16"/>
  <c r="AE502" i="16"/>
  <c r="AD502" i="16"/>
  <c r="AE494" i="16"/>
  <c r="AD494" i="16"/>
  <c r="AE486" i="16"/>
  <c r="AD486" i="16"/>
  <c r="AE478" i="16"/>
  <c r="AD478" i="16"/>
  <c r="AE470" i="16"/>
  <c r="AD470" i="16"/>
  <c r="AE462" i="16"/>
  <c r="AD462" i="16"/>
  <c r="AE454" i="16"/>
  <c r="AD454" i="16"/>
  <c r="AE446" i="16"/>
  <c r="AD446" i="16"/>
  <c r="AE438" i="16"/>
  <c r="AD438" i="16"/>
  <c r="AE430" i="16"/>
  <c r="AD430" i="16"/>
  <c r="AE422" i="16"/>
  <c r="AD422" i="16"/>
  <c r="AE414" i="16"/>
  <c r="AD414" i="16"/>
  <c r="AE406" i="16"/>
  <c r="AD406" i="16"/>
  <c r="AE398" i="16"/>
  <c r="AD398" i="16"/>
  <c r="AE390" i="16"/>
  <c r="AD390" i="16"/>
  <c r="AE382" i="16"/>
  <c r="AD382" i="16"/>
  <c r="AE374" i="16"/>
  <c r="AD374" i="16"/>
  <c r="AE366" i="16"/>
  <c r="AD366" i="16"/>
  <c r="AE358" i="16"/>
  <c r="AD358" i="16"/>
  <c r="AE350" i="16"/>
  <c r="AD350" i="16"/>
  <c r="AE342" i="16"/>
  <c r="AD342" i="16"/>
  <c r="AE334" i="16"/>
  <c r="AD334" i="16"/>
  <c r="AE326" i="16"/>
  <c r="AD326" i="16"/>
  <c r="AE318" i="16"/>
  <c r="AD318" i="16"/>
  <c r="AE310" i="16"/>
  <c r="AD310" i="16"/>
  <c r="AE302" i="16"/>
  <c r="AD302" i="16"/>
  <c r="AE294" i="16"/>
  <c r="AD294" i="16"/>
  <c r="AE286" i="16"/>
  <c r="AD286" i="16"/>
  <c r="AE278" i="16"/>
  <c r="AD278" i="16"/>
  <c r="AE270" i="16"/>
  <c r="AD270" i="16"/>
  <c r="AE262" i="16"/>
  <c r="AD262" i="16"/>
  <c r="AE254" i="16"/>
  <c r="AD254" i="16"/>
  <c r="AE246" i="16"/>
  <c r="AD246" i="16"/>
  <c r="AE238" i="16"/>
  <c r="AD238" i="16"/>
  <c r="AE230" i="16"/>
  <c r="AD230" i="16"/>
  <c r="AE222" i="16"/>
  <c r="AD222" i="16"/>
  <c r="AE214" i="16"/>
  <c r="AD214" i="16"/>
  <c r="AE206" i="16"/>
  <c r="AD206" i="16"/>
  <c r="AE198" i="16"/>
  <c r="AD198" i="16"/>
  <c r="AE190" i="16"/>
  <c r="AD190" i="16"/>
  <c r="AE182" i="16"/>
  <c r="AD182" i="16"/>
  <c r="AE174" i="16"/>
  <c r="AD174" i="16"/>
  <c r="AE166" i="16"/>
  <c r="AD166" i="16"/>
  <c r="AE158" i="16"/>
  <c r="AD158" i="16"/>
  <c r="AE150" i="16"/>
  <c r="AD150" i="16"/>
  <c r="AE142" i="16"/>
  <c r="AD142" i="16"/>
  <c r="AE134" i="16"/>
  <c r="AD134" i="16"/>
  <c r="AE126" i="16"/>
  <c r="AD126" i="16"/>
  <c r="AE118" i="16"/>
  <c r="AD118" i="16"/>
  <c r="AE110" i="16"/>
  <c r="AD110" i="16"/>
  <c r="AE102" i="16"/>
  <c r="AD102" i="16"/>
  <c r="AE94" i="16"/>
  <c r="AD94" i="16"/>
  <c r="AE86" i="16"/>
  <c r="AD86" i="16"/>
  <c r="AE78" i="16"/>
  <c r="AD78" i="16"/>
  <c r="AE70" i="16"/>
  <c r="AD70" i="16"/>
  <c r="AE62" i="16"/>
  <c r="AD62" i="16"/>
  <c r="AE54" i="16"/>
  <c r="AD54" i="16"/>
  <c r="AD46" i="16"/>
  <c r="AE46" i="16"/>
  <c r="AD38" i="16"/>
  <c r="AE38" i="16"/>
  <c r="AD30" i="16"/>
  <c r="AE30" i="16"/>
  <c r="AD22" i="16"/>
  <c r="AE22" i="16"/>
  <c r="AD14" i="16"/>
  <c r="AE14" i="16"/>
  <c r="AD6" i="16"/>
  <c r="AE6" i="16"/>
  <c r="AE613" i="16"/>
  <c r="AD613" i="16"/>
  <c r="AE581" i="16"/>
  <c r="AD581" i="16"/>
  <c r="AE549" i="16"/>
  <c r="AD549" i="16"/>
  <c r="AE517" i="16"/>
  <c r="AD517" i="16"/>
  <c r="AE485" i="16"/>
  <c r="AD485" i="16"/>
  <c r="AE380" i="16"/>
  <c r="AD380" i="16"/>
  <c r="AE193" i="16"/>
  <c r="AD193" i="16"/>
  <c r="AD614" i="16"/>
  <c r="AE578" i="16"/>
  <c r="AD578" i="16"/>
  <c r="AE468" i="16"/>
  <c r="AD468" i="16"/>
  <c r="AE460" i="16"/>
  <c r="AD460" i="16"/>
  <c r="AE452" i="16"/>
  <c r="AD452" i="16"/>
  <c r="AE436" i="16"/>
  <c r="AD436" i="16"/>
  <c r="AE428" i="16"/>
  <c r="AD428" i="16"/>
  <c r="AE420" i="16"/>
  <c r="AD420" i="16"/>
  <c r="AE404" i="16"/>
  <c r="AD404" i="16"/>
  <c r="AE396" i="16"/>
  <c r="AD396" i="16"/>
  <c r="AE388" i="16"/>
  <c r="AD388" i="16"/>
  <c r="AE372" i="16"/>
  <c r="AD372" i="16"/>
  <c r="AE364" i="16"/>
  <c r="AD364" i="16"/>
  <c r="AE356" i="16"/>
  <c r="AD356" i="16"/>
  <c r="AE340" i="16"/>
  <c r="AD340" i="16"/>
  <c r="AE332" i="16"/>
  <c r="AD332" i="16"/>
  <c r="AE324" i="16"/>
  <c r="AD324" i="16"/>
  <c r="AE605" i="16"/>
  <c r="AD605" i="16"/>
  <c r="AE573" i="16"/>
  <c r="AD573" i="16"/>
  <c r="AE541" i="16"/>
  <c r="AD541" i="16"/>
  <c r="AE509" i="16"/>
  <c r="AD509" i="16"/>
  <c r="AE476" i="16"/>
  <c r="AD476" i="16"/>
  <c r="AE348" i="16"/>
  <c r="AD348" i="16"/>
  <c r="AD533" i="16"/>
  <c r="AE618" i="16"/>
  <c r="AD618" i="16"/>
  <c r="AE627" i="16"/>
  <c r="AD627" i="16"/>
  <c r="AE619" i="16"/>
  <c r="AD619" i="16"/>
  <c r="AE611" i="16"/>
  <c r="AD611" i="16"/>
  <c r="AE603" i="16"/>
  <c r="AD603" i="16"/>
  <c r="AE595" i="16"/>
  <c r="AD595" i="16"/>
  <c r="AE587" i="16"/>
  <c r="AD587" i="16"/>
  <c r="AE579" i="16"/>
  <c r="AD579" i="16"/>
  <c r="AE571" i="16"/>
  <c r="AD571" i="16"/>
  <c r="AE563" i="16"/>
  <c r="AD563" i="16"/>
  <c r="AE555" i="16"/>
  <c r="AD555" i="16"/>
  <c r="AE547" i="16"/>
  <c r="AD547" i="16"/>
  <c r="AE539" i="16"/>
  <c r="AD539" i="16"/>
  <c r="AE531" i="16"/>
  <c r="AD531" i="16"/>
  <c r="AE523" i="16"/>
  <c r="AD523" i="16"/>
  <c r="AE515" i="16"/>
  <c r="AD515" i="16"/>
  <c r="AE507" i="16"/>
  <c r="AD507" i="16"/>
  <c r="AE499" i="16"/>
  <c r="AD499" i="16"/>
  <c r="AE491" i="16"/>
  <c r="AD491" i="16"/>
  <c r="AE483" i="16"/>
  <c r="AD483" i="16"/>
  <c r="AE129" i="16"/>
  <c r="AD129" i="16"/>
  <c r="AE477" i="16"/>
  <c r="AD477" i="16"/>
  <c r="AE461" i="16"/>
  <c r="AD461" i="16"/>
  <c r="AE453" i="16"/>
  <c r="AD453" i="16"/>
  <c r="AE445" i="16"/>
  <c r="AD445" i="16"/>
  <c r="AE437" i="16"/>
  <c r="AD437" i="16"/>
  <c r="AE429" i="16"/>
  <c r="AD429" i="16"/>
  <c r="AE421" i="16"/>
  <c r="AD421" i="16"/>
  <c r="AE413" i="16"/>
  <c r="AD413" i="16"/>
  <c r="AE397" i="16"/>
  <c r="AD397" i="16"/>
  <c r="AE389" i="16"/>
  <c r="AD389" i="16"/>
  <c r="AE381" i="16"/>
  <c r="AD381" i="16"/>
  <c r="AE373" i="16"/>
  <c r="AD373" i="16"/>
  <c r="AE365" i="16"/>
  <c r="AD365" i="16"/>
  <c r="AE357" i="16"/>
  <c r="AD357" i="16"/>
  <c r="AE349" i="16"/>
  <c r="AD349" i="16"/>
  <c r="AE341" i="16"/>
  <c r="AD341" i="16"/>
  <c r="AE333" i="16"/>
  <c r="AD333" i="16"/>
  <c r="AE325" i="16"/>
  <c r="AD325" i="16"/>
  <c r="AE317" i="16"/>
  <c r="AD317" i="16"/>
  <c r="AE309" i="16"/>
  <c r="AD309" i="16"/>
  <c r="AE301" i="16"/>
  <c r="AD301" i="16"/>
  <c r="AE293" i="16"/>
  <c r="AD293" i="16"/>
  <c r="AE285" i="16"/>
  <c r="AD285" i="16"/>
  <c r="AE277" i="16"/>
  <c r="AD277" i="16"/>
  <c r="AE269" i="16"/>
  <c r="AD269" i="16"/>
  <c r="AE261" i="16"/>
  <c r="AD261" i="16"/>
  <c r="AE253" i="16"/>
  <c r="AD253" i="16"/>
  <c r="AE245" i="16"/>
  <c r="AD245" i="16"/>
  <c r="AE237" i="16"/>
  <c r="AD237" i="16"/>
  <c r="AE229" i="16"/>
  <c r="AD229" i="16"/>
  <c r="AE221" i="16"/>
  <c r="AD221" i="16"/>
  <c r="AE213" i="16"/>
  <c r="AD213" i="16"/>
  <c r="AE205" i="16"/>
  <c r="AD205" i="16"/>
  <c r="AE197" i="16"/>
  <c r="AD197" i="16"/>
  <c r="AE189" i="16"/>
  <c r="AD189" i="16"/>
  <c r="AE181" i="16"/>
  <c r="AD181" i="16"/>
  <c r="AE173" i="16"/>
  <c r="AD173" i="16"/>
  <c r="AE165" i="16"/>
  <c r="AD165" i="16"/>
  <c r="AE157" i="16"/>
  <c r="AD157" i="16"/>
  <c r="AE149" i="16"/>
  <c r="AD149" i="16"/>
  <c r="AE141" i="16"/>
  <c r="AD141" i="16"/>
  <c r="AE133" i="16"/>
  <c r="AD133" i="16"/>
  <c r="AE125" i="16"/>
  <c r="AD125" i="16"/>
  <c r="AE117" i="16"/>
  <c r="AD117" i="16"/>
  <c r="AE109" i="16"/>
  <c r="AD109" i="16"/>
  <c r="AE101" i="16"/>
  <c r="AD101" i="16"/>
  <c r="AE93" i="16"/>
  <c r="AD93" i="16"/>
  <c r="AE85" i="16"/>
  <c r="AD85" i="16"/>
  <c r="AE77" i="16"/>
  <c r="AD77" i="16"/>
  <c r="AE69" i="16"/>
  <c r="AD69" i="16"/>
  <c r="AE61" i="16"/>
  <c r="AD61" i="16"/>
  <c r="AE53" i="16"/>
  <c r="AD53" i="16"/>
  <c r="AD45" i="16"/>
  <c r="AE45" i="16"/>
  <c r="AD37" i="16"/>
  <c r="AE37" i="16"/>
  <c r="AD29" i="16"/>
  <c r="AE29" i="16"/>
  <c r="AD21" i="16"/>
  <c r="AE21" i="16"/>
  <c r="AD13" i="16"/>
  <c r="AE13" i="16"/>
  <c r="AD5" i="16"/>
  <c r="AE5" i="16"/>
  <c r="AE628" i="16"/>
  <c r="AD628" i="16"/>
  <c r="AE620" i="16"/>
  <c r="AD620" i="16"/>
  <c r="AE612" i="16"/>
  <c r="AD612" i="16"/>
  <c r="AE604" i="16"/>
  <c r="AD604" i="16"/>
  <c r="AE596" i="16"/>
  <c r="AD596" i="16"/>
  <c r="AE588" i="16"/>
  <c r="AD588" i="16"/>
  <c r="AE580" i="16"/>
  <c r="AD580" i="16"/>
  <c r="AE572" i="16"/>
  <c r="AD572" i="16"/>
  <c r="AE564" i="16"/>
  <c r="AD564" i="16"/>
  <c r="AE556" i="16"/>
  <c r="AD556" i="16"/>
  <c r="AE548" i="16"/>
  <c r="AD548" i="16"/>
  <c r="AE540" i="16"/>
  <c r="AD540" i="16"/>
  <c r="AE532" i="16"/>
  <c r="AD532" i="16"/>
  <c r="AE524" i="16"/>
  <c r="AD524" i="16"/>
  <c r="AE516" i="16"/>
  <c r="AD516" i="16"/>
  <c r="AE508" i="16"/>
  <c r="AD508" i="16"/>
  <c r="AE500" i="16"/>
  <c r="AD500" i="16"/>
  <c r="AE492" i="16"/>
  <c r="AD492" i="16"/>
  <c r="AE484" i="16"/>
  <c r="AD484" i="16"/>
  <c r="AE473" i="16"/>
  <c r="AD473" i="16"/>
  <c r="AE441" i="16"/>
  <c r="AD441" i="16"/>
  <c r="AE409" i="16"/>
  <c r="AD409" i="16"/>
  <c r="AE377" i="16"/>
  <c r="AD377" i="16"/>
  <c r="AE345" i="16"/>
  <c r="AD345" i="16"/>
  <c r="AE313" i="16"/>
  <c r="AD313" i="16"/>
  <c r="AE249" i="16"/>
  <c r="AD249" i="16"/>
  <c r="AE185" i="16"/>
  <c r="AD185" i="16"/>
  <c r="AE121" i="16"/>
  <c r="AD121" i="16"/>
  <c r="AE57" i="16"/>
  <c r="AD57" i="16"/>
  <c r="AE308" i="16"/>
  <c r="AD308" i="16"/>
  <c r="AE300" i="16"/>
  <c r="AD300" i="16"/>
  <c r="AE292" i="16"/>
  <c r="AD292" i="16"/>
  <c r="AE284" i="16"/>
  <c r="AD284" i="16"/>
  <c r="AE276" i="16"/>
  <c r="AD276" i="16"/>
  <c r="AE268" i="16"/>
  <c r="AD268" i="16"/>
  <c r="AE260" i="16"/>
  <c r="AD260" i="16"/>
  <c r="AE252" i="16"/>
  <c r="AD252" i="16"/>
  <c r="AE244" i="16"/>
  <c r="AD244" i="16"/>
  <c r="AE236" i="16"/>
  <c r="AD236" i="16"/>
  <c r="AE228" i="16"/>
  <c r="AD228" i="16"/>
  <c r="AE220" i="16"/>
  <c r="AD220" i="16"/>
  <c r="AE212" i="16"/>
  <c r="AD212" i="16"/>
  <c r="AE204" i="16"/>
  <c r="AD204" i="16"/>
  <c r="AE196" i="16"/>
  <c r="AD196" i="16"/>
  <c r="AE188" i="16"/>
  <c r="AD188" i="16"/>
  <c r="AE180" i="16"/>
  <c r="AD180" i="16"/>
  <c r="AE172" i="16"/>
  <c r="AD172" i="16"/>
  <c r="AE164" i="16"/>
  <c r="AD164" i="16"/>
  <c r="AE156" i="16"/>
  <c r="AD156" i="16"/>
  <c r="AE148" i="16"/>
  <c r="AD148" i="16"/>
  <c r="AE140" i="16"/>
  <c r="AD140" i="16"/>
  <c r="AE132" i="16"/>
  <c r="AD132" i="16"/>
  <c r="AE124" i="16"/>
  <c r="AD124" i="16"/>
  <c r="AE116" i="16"/>
  <c r="AD116" i="16"/>
  <c r="AE108" i="16"/>
  <c r="AD108" i="16"/>
  <c r="AE100" i="16"/>
  <c r="AD100" i="16"/>
  <c r="AE92" i="16"/>
  <c r="AD92" i="16"/>
  <c r="AE84" i="16"/>
  <c r="AD84" i="16"/>
  <c r="AE76" i="16"/>
  <c r="AD76" i="16"/>
  <c r="AE68" i="16"/>
  <c r="AD68" i="16"/>
  <c r="AE60" i="16"/>
  <c r="AD60" i="16"/>
  <c r="AE52" i="16"/>
  <c r="AD52" i="16"/>
  <c r="AD44" i="16"/>
  <c r="AE44" i="16"/>
  <c r="AD36" i="16"/>
  <c r="AE36" i="16"/>
  <c r="AD28" i="16"/>
  <c r="AE28" i="16"/>
  <c r="AD20" i="16"/>
  <c r="AE20" i="16"/>
  <c r="AD12" i="16"/>
  <c r="AE12" i="16"/>
  <c r="AD4" i="16"/>
  <c r="AE4" i="16"/>
  <c r="AE475" i="16"/>
  <c r="AD475" i="16"/>
  <c r="AE467" i="16"/>
  <c r="AD467" i="16"/>
  <c r="AE459" i="16"/>
  <c r="AD459" i="16"/>
  <c r="AE451" i="16"/>
  <c r="AD451" i="16"/>
  <c r="AE443" i="16"/>
  <c r="AD443" i="16"/>
  <c r="AE435" i="16"/>
  <c r="AD435" i="16"/>
  <c r="AE427" i="16"/>
  <c r="AD427" i="16"/>
  <c r="AE419" i="16"/>
  <c r="AD419" i="16"/>
  <c r="AE411" i="16"/>
  <c r="AD411" i="16"/>
  <c r="AE403" i="16"/>
  <c r="AD403" i="16"/>
  <c r="AE395" i="16"/>
  <c r="AD395" i="16"/>
  <c r="AE387" i="16"/>
  <c r="AD387" i="16"/>
  <c r="AE379" i="16"/>
  <c r="AD379" i="16"/>
  <c r="AE371" i="16"/>
  <c r="AD371" i="16"/>
  <c r="AE363" i="16"/>
  <c r="AD363" i="16"/>
  <c r="AE355" i="16"/>
  <c r="AD355" i="16"/>
  <c r="AE347" i="16"/>
  <c r="AD347" i="16"/>
  <c r="AE339" i="16"/>
  <c r="AD339" i="16"/>
  <c r="AE331" i="16"/>
  <c r="AD331" i="16"/>
  <c r="AE323" i="16"/>
  <c r="AD323" i="16"/>
  <c r="AE315" i="16"/>
  <c r="AD315" i="16"/>
  <c r="AE307" i="16"/>
  <c r="AD307" i="16"/>
  <c r="AE299" i="16"/>
  <c r="AD299" i="16"/>
  <c r="AE291" i="16"/>
  <c r="AD291" i="16"/>
  <c r="AE283" i="16"/>
  <c r="AD283" i="16"/>
  <c r="AE275" i="16"/>
  <c r="AD275" i="16"/>
  <c r="AE267" i="16"/>
  <c r="AD267" i="16"/>
  <c r="AE259" i="16"/>
  <c r="AD259" i="16"/>
  <c r="AE251" i="16"/>
  <c r="AD251" i="16"/>
  <c r="AE243" i="16"/>
  <c r="AD243" i="16"/>
  <c r="AE235" i="16"/>
  <c r="AD235" i="16"/>
  <c r="AE227" i="16"/>
  <c r="AD227" i="16"/>
  <c r="AE219" i="16"/>
  <c r="AD219" i="16"/>
  <c r="AE211" i="16"/>
  <c r="AD211" i="16"/>
  <c r="AE203" i="16"/>
  <c r="AD203" i="16"/>
  <c r="AE195" i="16"/>
  <c r="AD195" i="16"/>
  <c r="AE187" i="16"/>
  <c r="AD187" i="16"/>
  <c r="AE179" i="16"/>
  <c r="AD179" i="16"/>
  <c r="AE171" i="16"/>
  <c r="AD171" i="16"/>
  <c r="AE163" i="16"/>
  <c r="AD163" i="16"/>
  <c r="AE155" i="16"/>
  <c r="AD155" i="16"/>
  <c r="AE147" i="16"/>
  <c r="AD147" i="16"/>
  <c r="AE139" i="16"/>
  <c r="AD139" i="16"/>
  <c r="AE131" i="16"/>
  <c r="AD131" i="16"/>
  <c r="AE123" i="16"/>
  <c r="AD123" i="16"/>
  <c r="AE115" i="16"/>
  <c r="AD115" i="16"/>
  <c r="AE107" i="16"/>
  <c r="AD107" i="16"/>
  <c r="AE99" i="16"/>
  <c r="AD99" i="16"/>
  <c r="AE91" i="16"/>
  <c r="AD91" i="16"/>
  <c r="AE83" i="16"/>
  <c r="AD83" i="16"/>
  <c r="AE75" i="16"/>
  <c r="AD75" i="16"/>
  <c r="AE67" i="16"/>
  <c r="AD67" i="16"/>
  <c r="AE59" i="16"/>
  <c r="AD59" i="16"/>
  <c r="AE51" i="16"/>
  <c r="AD51" i="16"/>
  <c r="AE43" i="16"/>
  <c r="AD43" i="16"/>
  <c r="AE35" i="16"/>
  <c r="AD35" i="16"/>
  <c r="AE27" i="16"/>
  <c r="AD27" i="16"/>
  <c r="AE19" i="16"/>
  <c r="AD19" i="16"/>
  <c r="AE11" i="16"/>
  <c r="AD11" i="16"/>
  <c r="AE3" i="16"/>
  <c r="AD3" i="16"/>
  <c r="AE105" i="16"/>
  <c r="AD105" i="16"/>
  <c r="AE41" i="16"/>
  <c r="AD41" i="16"/>
  <c r="AD469" i="16"/>
  <c r="AE474" i="16"/>
  <c r="AD474" i="16"/>
  <c r="AE466" i="16"/>
  <c r="AD466" i="16"/>
  <c r="AE458" i="16"/>
  <c r="AD458" i="16"/>
  <c r="AE450" i="16"/>
  <c r="AD450" i="16"/>
  <c r="AE442" i="16"/>
  <c r="AD442" i="16"/>
  <c r="AE434" i="16"/>
  <c r="AD434" i="16"/>
  <c r="AE426" i="16"/>
  <c r="AD426" i="16"/>
  <c r="AE418" i="16"/>
  <c r="AD418" i="16"/>
  <c r="AE410" i="16"/>
  <c r="AD410" i="16"/>
  <c r="AE402" i="16"/>
  <c r="AD402" i="16"/>
  <c r="AE394" i="16"/>
  <c r="AD394" i="16"/>
  <c r="AE386" i="16"/>
  <c r="AD386" i="16"/>
  <c r="AE378" i="16"/>
  <c r="AD378" i="16"/>
  <c r="AE370" i="16"/>
  <c r="AD370" i="16"/>
  <c r="AE362" i="16"/>
  <c r="AD362" i="16"/>
  <c r="AE354" i="16"/>
  <c r="AD354" i="16"/>
  <c r="AE346" i="16"/>
  <c r="AD346" i="16"/>
  <c r="AE338" i="16"/>
  <c r="AD338" i="16"/>
  <c r="AE330" i="16"/>
  <c r="AD330" i="16"/>
  <c r="AE322" i="16"/>
  <c r="AD322" i="16"/>
  <c r="AE314" i="16"/>
  <c r="AD314" i="16"/>
  <c r="AE306" i="16"/>
  <c r="AD306" i="16"/>
  <c r="AE298" i="16"/>
  <c r="AD298" i="16"/>
  <c r="AE290" i="16"/>
  <c r="AD290" i="16"/>
  <c r="AE282" i="16"/>
  <c r="AD282" i="16"/>
  <c r="AE274" i="16"/>
  <c r="AD274" i="16"/>
  <c r="AE266" i="16"/>
  <c r="AD266" i="16"/>
  <c r="AE258" i="16"/>
  <c r="AD258" i="16"/>
  <c r="AE250" i="16"/>
  <c r="AD250" i="16"/>
  <c r="AE242" i="16"/>
  <c r="AD242" i="16"/>
  <c r="AE234" i="16"/>
  <c r="AD234" i="16"/>
  <c r="AE226" i="16"/>
  <c r="AD226" i="16"/>
  <c r="AE218" i="16"/>
  <c r="AD218" i="16"/>
  <c r="AE210" i="16"/>
  <c r="AD210" i="16"/>
  <c r="AE202" i="16"/>
  <c r="AD202" i="16"/>
  <c r="AE194" i="16"/>
  <c r="AD194" i="16"/>
  <c r="AE186" i="16"/>
  <c r="AD186" i="16"/>
  <c r="AE178" i="16"/>
  <c r="AD178" i="16"/>
  <c r="AE170" i="16"/>
  <c r="AD170" i="16"/>
  <c r="AE162" i="16"/>
  <c r="AD162" i="16"/>
  <c r="AE154" i="16"/>
  <c r="AD154" i="16"/>
  <c r="AE146" i="16"/>
  <c r="AD146" i="16"/>
  <c r="AE138" i="16"/>
  <c r="AD138" i="16"/>
  <c r="AE130" i="16"/>
  <c r="AD130" i="16"/>
  <c r="AE122" i="16"/>
  <c r="AD122" i="16"/>
  <c r="AE114" i="16"/>
  <c r="AD114" i="16"/>
  <c r="AE106" i="16"/>
  <c r="AD106" i="16"/>
  <c r="AE98" i="16"/>
  <c r="AD98" i="16"/>
  <c r="AE90" i="16"/>
  <c r="AD90" i="16"/>
  <c r="AE82" i="16"/>
  <c r="AD82" i="16"/>
  <c r="AE74" i="16"/>
  <c r="AD74" i="16"/>
  <c r="AE66" i="16"/>
  <c r="AD66" i="16"/>
  <c r="AE58" i="16"/>
  <c r="AD58" i="16"/>
  <c r="AD50" i="16"/>
  <c r="AE50" i="16"/>
  <c r="AD42" i="16"/>
  <c r="AE42" i="16"/>
  <c r="AD34" i="16"/>
  <c r="AE34" i="16"/>
  <c r="AD26" i="16"/>
  <c r="AE26" i="16"/>
  <c r="AD18" i="16"/>
  <c r="AE18" i="16"/>
  <c r="AD10" i="16"/>
  <c r="AE10" i="16"/>
  <c r="AE472" i="16"/>
  <c r="AD472" i="16"/>
  <c r="AE464" i="16"/>
  <c r="AD464" i="16"/>
  <c r="AE456" i="16"/>
  <c r="AD456" i="16"/>
  <c r="AE448" i="16"/>
  <c r="AE440" i="16"/>
  <c r="AD440" i="16"/>
  <c r="AE432" i="16"/>
  <c r="AD432" i="16"/>
  <c r="AE424" i="16"/>
  <c r="AD424" i="16"/>
  <c r="AD416" i="16"/>
  <c r="AE416" i="16"/>
  <c r="AE408" i="16"/>
  <c r="AD408" i="16"/>
  <c r="AE400" i="16"/>
  <c r="AD400" i="16"/>
  <c r="AE392" i="16"/>
  <c r="AD392" i="16"/>
  <c r="AE384" i="16"/>
  <c r="AE376" i="16"/>
  <c r="AD376" i="16"/>
  <c r="AE368" i="16"/>
  <c r="AD368" i="16"/>
  <c r="AE360" i="16"/>
  <c r="AD360" i="16"/>
  <c r="AE352" i="16"/>
  <c r="AE344" i="16"/>
  <c r="AD344" i="16"/>
  <c r="AE336" i="16"/>
  <c r="AD336" i="16"/>
  <c r="AE328" i="16"/>
  <c r="AD328" i="16"/>
  <c r="AE320" i="16"/>
  <c r="AE312" i="16"/>
  <c r="AD312" i="16"/>
  <c r="AE304" i="16"/>
  <c r="AD304" i="16"/>
  <c r="AE296" i="16"/>
  <c r="AD296" i="16"/>
  <c r="AE288" i="16"/>
  <c r="AD288" i="16"/>
  <c r="AE280" i="16"/>
  <c r="AD280" i="16"/>
  <c r="AE272" i="16"/>
  <c r="AD272" i="16"/>
  <c r="AE264" i="16"/>
  <c r="AE248" i="16"/>
  <c r="AD248" i="16"/>
  <c r="AE240" i="16"/>
  <c r="AD240" i="16"/>
  <c r="AE232" i="16"/>
  <c r="AD232" i="16"/>
  <c r="AD224" i="16"/>
  <c r="AE224" i="16"/>
  <c r="AE216" i="16"/>
  <c r="AD216" i="16"/>
  <c r="AE208" i="16"/>
  <c r="AD208" i="16"/>
  <c r="AE200" i="16"/>
  <c r="AE192" i="16"/>
  <c r="AD192" i="16"/>
  <c r="AE184" i="16"/>
  <c r="AD184" i="16"/>
  <c r="AE176" i="16"/>
  <c r="AD176" i="16"/>
  <c r="AE168" i="16"/>
  <c r="AD168" i="16"/>
  <c r="AD160" i="16"/>
  <c r="AE160" i="16"/>
  <c r="AE152" i="16"/>
  <c r="AD152" i="16"/>
  <c r="AE144" i="16"/>
  <c r="AD144" i="16"/>
  <c r="AE136" i="16"/>
  <c r="AE128" i="16"/>
  <c r="AD128" i="16"/>
  <c r="AE120" i="16"/>
  <c r="AD120" i="16"/>
  <c r="AE112" i="16"/>
  <c r="AD112" i="16"/>
  <c r="AE104" i="16"/>
  <c r="AD104" i="16"/>
  <c r="AE96" i="16"/>
  <c r="AD96" i="16"/>
  <c r="AE88" i="16"/>
  <c r="AD88" i="16"/>
  <c r="AE80" i="16"/>
  <c r="AD80" i="16"/>
  <c r="AE72" i="16"/>
  <c r="AE64" i="16"/>
  <c r="AD64" i="16"/>
  <c r="AE56" i="16"/>
  <c r="AD56" i="16"/>
  <c r="AD48" i="16"/>
  <c r="AE48" i="16"/>
  <c r="AE40" i="16"/>
  <c r="AD40" i="16"/>
  <c r="AD32" i="16"/>
  <c r="AE32" i="16"/>
  <c r="AD24" i="16"/>
  <c r="AE24" i="16"/>
  <c r="AD16" i="16"/>
  <c r="AE16" i="16"/>
  <c r="AE8" i="16"/>
  <c r="AD8" i="16"/>
  <c r="AD405" i="16"/>
  <c r="AE471" i="16"/>
  <c r="AD471" i="16"/>
  <c r="AE463" i="16"/>
  <c r="AD463" i="16"/>
  <c r="AE455" i="16"/>
  <c r="AD455" i="16"/>
  <c r="AE447" i="16"/>
  <c r="AD447" i="16"/>
  <c r="AE439" i="16"/>
  <c r="AD439" i="16"/>
  <c r="AE431" i="16"/>
  <c r="AD431" i="16"/>
  <c r="AE423" i="16"/>
  <c r="AD423" i="16"/>
  <c r="AE415" i="16"/>
  <c r="AD415" i="16"/>
  <c r="AE407" i="16"/>
  <c r="AD407" i="16"/>
  <c r="AE399" i="16"/>
  <c r="AD399" i="16"/>
  <c r="AE391" i="16"/>
  <c r="AD391" i="16"/>
  <c r="AE383" i="16"/>
  <c r="AD383" i="16"/>
  <c r="AE375" i="16"/>
  <c r="AD375" i="16"/>
  <c r="AE367" i="16"/>
  <c r="AD367" i="16"/>
  <c r="AE359" i="16"/>
  <c r="AD359" i="16"/>
  <c r="AE351" i="16"/>
  <c r="AD351" i="16"/>
  <c r="AE343" i="16"/>
  <c r="AD343" i="16"/>
  <c r="AE335" i="16"/>
  <c r="AD335" i="16"/>
  <c r="AE327" i="16"/>
  <c r="AD327" i="16"/>
  <c r="AE319" i="16"/>
  <c r="AD319" i="16"/>
  <c r="AE311" i="16"/>
  <c r="AD311" i="16"/>
  <c r="AE303" i="16"/>
  <c r="AD303" i="16"/>
  <c r="AE295" i="16"/>
  <c r="AD295" i="16"/>
  <c r="AE287" i="16"/>
  <c r="AD287" i="16"/>
  <c r="AE279" i="16"/>
  <c r="AD279" i="16"/>
  <c r="AE271" i="16"/>
  <c r="AD271" i="16"/>
  <c r="AE263" i="16"/>
  <c r="AD263" i="16"/>
  <c r="AE255" i="16"/>
  <c r="AD255" i="16"/>
  <c r="AE247" i="16"/>
  <c r="AD247" i="16"/>
  <c r="AE239" i="16"/>
  <c r="AD239" i="16"/>
  <c r="AE231" i="16"/>
  <c r="AD231" i="16"/>
  <c r="AE223" i="16"/>
  <c r="AD223" i="16"/>
  <c r="AE215" i="16"/>
  <c r="AD215" i="16"/>
  <c r="AE207" i="16"/>
  <c r="AD207" i="16"/>
  <c r="AE199" i="16"/>
  <c r="AD199" i="16"/>
  <c r="AE191" i="16"/>
  <c r="AD191" i="16"/>
  <c r="AE183" i="16"/>
  <c r="AD183" i="16"/>
  <c r="AE175" i="16"/>
  <c r="AD175" i="16"/>
  <c r="AE167" i="16"/>
  <c r="AD167" i="16"/>
  <c r="AE159" i="16"/>
  <c r="AD159" i="16"/>
  <c r="AE151" i="16"/>
  <c r="AD151" i="16"/>
  <c r="AE143" i="16"/>
  <c r="AD143" i="16"/>
  <c r="AE135" i="16"/>
  <c r="AD135" i="16"/>
  <c r="AE127" i="16"/>
  <c r="AD127" i="16"/>
  <c r="AE119" i="16"/>
  <c r="AD119" i="16"/>
  <c r="AE111" i="16"/>
  <c r="AD111" i="16"/>
  <c r="AE103" i="16"/>
  <c r="AD103" i="16"/>
  <c r="AE95" i="16"/>
  <c r="AD95" i="16"/>
  <c r="AE87" i="16"/>
  <c r="AD87" i="16"/>
  <c r="AE79" i="16"/>
  <c r="AD79" i="16"/>
  <c r="AE71" i="16"/>
  <c r="AD71" i="16"/>
  <c r="AE63" i="16"/>
  <c r="AD63" i="16"/>
  <c r="AE55" i="16"/>
  <c r="AD55" i="16"/>
  <c r="AD47" i="16"/>
  <c r="AE47" i="16"/>
  <c r="AD39" i="16"/>
  <c r="AE39" i="16"/>
  <c r="AD31" i="16"/>
  <c r="AE31" i="16"/>
  <c r="AD23" i="16"/>
  <c r="AE23" i="16"/>
  <c r="AD15" i="16"/>
  <c r="AE15" i="16"/>
  <c r="AD7" i="16"/>
  <c r="AE7" i="16"/>
  <c r="AE137" i="16"/>
  <c r="AD137" i="16"/>
  <c r="AE73" i="16"/>
  <c r="AD73" i="16"/>
  <c r="AE9" i="16"/>
  <c r="AD9" i="16"/>
  <c r="AD384" i="16"/>
  <c r="AE256" i="16"/>
  <c r="E2" i="16"/>
  <c r="X2" i="16" s="1"/>
  <c r="E3" i="16"/>
  <c r="X3" i="16" s="1"/>
  <c r="E4" i="16"/>
  <c r="X4" i="16" s="1"/>
  <c r="E5" i="16"/>
  <c r="X5" i="16" s="1"/>
  <c r="E6" i="16"/>
  <c r="X6" i="16" s="1"/>
  <c r="E7" i="16"/>
  <c r="X7" i="16" s="1"/>
  <c r="E8" i="16"/>
  <c r="X8" i="16" s="1"/>
  <c r="E9" i="16"/>
  <c r="X9" i="16" s="1"/>
  <c r="E10" i="16"/>
  <c r="X10" i="16" s="1"/>
  <c r="E11" i="16"/>
  <c r="X11" i="16" s="1"/>
  <c r="E12" i="16"/>
  <c r="X12" i="16" s="1"/>
  <c r="E13" i="16"/>
  <c r="X13" i="16" s="1"/>
  <c r="E14" i="16"/>
  <c r="X14" i="16" s="1"/>
  <c r="E15" i="16"/>
  <c r="X15" i="16" s="1"/>
  <c r="E16" i="16"/>
  <c r="X16" i="16" s="1"/>
  <c r="E17" i="16"/>
  <c r="X17" i="16" s="1"/>
  <c r="E18" i="16"/>
  <c r="X18" i="16" s="1"/>
  <c r="E19" i="16"/>
  <c r="X19" i="16" s="1"/>
  <c r="E20" i="16"/>
  <c r="X20" i="16" s="1"/>
  <c r="E21" i="16"/>
  <c r="X21" i="16" s="1"/>
  <c r="E22" i="16"/>
  <c r="X22" i="16" s="1"/>
  <c r="E23" i="16"/>
  <c r="X23" i="16" s="1"/>
  <c r="E24" i="16"/>
  <c r="X24" i="16" s="1"/>
  <c r="E25" i="16"/>
  <c r="X25" i="16" s="1"/>
  <c r="E26" i="16"/>
  <c r="X26" i="16" s="1"/>
  <c r="E27" i="16"/>
  <c r="X27" i="16" s="1"/>
  <c r="E28" i="16"/>
  <c r="X28" i="16" s="1"/>
  <c r="E29" i="16"/>
  <c r="X29" i="16" s="1"/>
  <c r="E30" i="16"/>
  <c r="X30" i="16" s="1"/>
  <c r="E31" i="16"/>
  <c r="X31" i="16" s="1"/>
  <c r="E32" i="16"/>
  <c r="X32" i="16" s="1"/>
  <c r="E33" i="16"/>
  <c r="X33" i="16" s="1"/>
  <c r="E34" i="16"/>
  <c r="X34" i="16" s="1"/>
  <c r="E35" i="16"/>
  <c r="X35" i="16" s="1"/>
  <c r="E36" i="16"/>
  <c r="X36" i="16" s="1"/>
  <c r="E37" i="16"/>
  <c r="X37" i="16" s="1"/>
  <c r="E38" i="16"/>
  <c r="X38" i="16" s="1"/>
  <c r="E39" i="16"/>
  <c r="X39" i="16" s="1"/>
  <c r="E40" i="16"/>
  <c r="X40" i="16" s="1"/>
  <c r="E41" i="16"/>
  <c r="X41" i="16" s="1"/>
  <c r="E42" i="16"/>
  <c r="X42" i="16" s="1"/>
  <c r="E43" i="16"/>
  <c r="X43" i="16" s="1"/>
  <c r="E44" i="16"/>
  <c r="X44" i="16" s="1"/>
  <c r="E45" i="16"/>
  <c r="X45" i="16" s="1"/>
  <c r="E46" i="16"/>
  <c r="X46" i="16" s="1"/>
  <c r="E47" i="16"/>
  <c r="X47" i="16" s="1"/>
  <c r="E48" i="16"/>
  <c r="X48" i="16" s="1"/>
  <c r="E49" i="16"/>
  <c r="X49" i="16" s="1"/>
  <c r="E50" i="16"/>
  <c r="X50" i="16" s="1"/>
  <c r="E51" i="16"/>
  <c r="X51" i="16" s="1"/>
  <c r="E52" i="16"/>
  <c r="X52" i="16" s="1"/>
  <c r="E53" i="16"/>
  <c r="X53" i="16" s="1"/>
  <c r="E54" i="16"/>
  <c r="X54" i="16" s="1"/>
  <c r="E55" i="16"/>
  <c r="X55" i="16" s="1"/>
  <c r="E56" i="16"/>
  <c r="X56" i="16" s="1"/>
  <c r="E57" i="16"/>
  <c r="X57" i="16" s="1"/>
  <c r="E58" i="16"/>
  <c r="X58" i="16" s="1"/>
  <c r="E59" i="16"/>
  <c r="X59" i="16" s="1"/>
  <c r="E60" i="16"/>
  <c r="X60" i="16" s="1"/>
  <c r="E61" i="16"/>
  <c r="X61" i="16" s="1"/>
  <c r="E62" i="16"/>
  <c r="X62" i="16" s="1"/>
  <c r="E63" i="16"/>
  <c r="X63" i="16" s="1"/>
  <c r="E64" i="16"/>
  <c r="X64" i="16" s="1"/>
  <c r="E65" i="16"/>
  <c r="X65" i="16" s="1"/>
  <c r="E66" i="16"/>
  <c r="X66" i="16" s="1"/>
  <c r="E67" i="16"/>
  <c r="X67" i="16" s="1"/>
  <c r="E68" i="16"/>
  <c r="X68" i="16" s="1"/>
  <c r="E69" i="16"/>
  <c r="X69" i="16" s="1"/>
  <c r="E70" i="16"/>
  <c r="X70" i="16" s="1"/>
  <c r="E71" i="16"/>
  <c r="X71" i="16" s="1"/>
  <c r="E72" i="16"/>
  <c r="X72" i="16" s="1"/>
  <c r="E73" i="16"/>
  <c r="X73" i="16" s="1"/>
  <c r="E74" i="16"/>
  <c r="X74" i="16" s="1"/>
  <c r="E75" i="16"/>
  <c r="X75" i="16" s="1"/>
  <c r="E76" i="16"/>
  <c r="X76" i="16" s="1"/>
  <c r="E77" i="16"/>
  <c r="X77" i="16" s="1"/>
  <c r="E78" i="16"/>
  <c r="X78" i="16" s="1"/>
  <c r="E79" i="16"/>
  <c r="X79" i="16" s="1"/>
  <c r="E80" i="16"/>
  <c r="X80" i="16" s="1"/>
  <c r="E81" i="16"/>
  <c r="X81" i="16" s="1"/>
  <c r="E82" i="16"/>
  <c r="X82" i="16" s="1"/>
  <c r="E83" i="16"/>
  <c r="X83" i="16" s="1"/>
  <c r="E84" i="16"/>
  <c r="X84" i="16" s="1"/>
  <c r="E85" i="16"/>
  <c r="X85" i="16" s="1"/>
  <c r="E86" i="16"/>
  <c r="X86" i="16" s="1"/>
  <c r="E87" i="16"/>
  <c r="X87" i="16" s="1"/>
  <c r="E88" i="16"/>
  <c r="X88" i="16" s="1"/>
  <c r="E89" i="16"/>
  <c r="X89" i="16" s="1"/>
  <c r="E90" i="16"/>
  <c r="X90" i="16" s="1"/>
  <c r="E91" i="16"/>
  <c r="X91" i="16" s="1"/>
  <c r="E92" i="16"/>
  <c r="X92" i="16" s="1"/>
  <c r="E93" i="16"/>
  <c r="X93" i="16" s="1"/>
  <c r="E94" i="16"/>
  <c r="X94" i="16" s="1"/>
  <c r="E95" i="16"/>
  <c r="X95" i="16" s="1"/>
  <c r="E96" i="16"/>
  <c r="X96" i="16" s="1"/>
  <c r="E97" i="16"/>
  <c r="X97" i="16" s="1"/>
  <c r="E98" i="16"/>
  <c r="X98" i="16" s="1"/>
  <c r="E99" i="16"/>
  <c r="X99" i="16" s="1"/>
  <c r="E100" i="16"/>
  <c r="X100" i="16" s="1"/>
  <c r="E101" i="16"/>
  <c r="X101" i="16" s="1"/>
  <c r="E102" i="16"/>
  <c r="X102" i="16" s="1"/>
  <c r="E103" i="16"/>
  <c r="X103" i="16" s="1"/>
  <c r="E104" i="16"/>
  <c r="X104" i="16" s="1"/>
  <c r="E105" i="16"/>
  <c r="X105" i="16" s="1"/>
  <c r="E106" i="16"/>
  <c r="X106" i="16" s="1"/>
  <c r="E107" i="16"/>
  <c r="X107" i="16" s="1"/>
  <c r="E108" i="16"/>
  <c r="X108" i="16" s="1"/>
  <c r="E109" i="16"/>
  <c r="X109" i="16" s="1"/>
  <c r="E110" i="16"/>
  <c r="X110" i="16" s="1"/>
  <c r="E111" i="16"/>
  <c r="X111" i="16" s="1"/>
  <c r="E112" i="16"/>
  <c r="X112" i="16" s="1"/>
  <c r="E113" i="16"/>
  <c r="X113" i="16" s="1"/>
  <c r="E114" i="16"/>
  <c r="X114" i="16" s="1"/>
  <c r="E115" i="16"/>
  <c r="X115" i="16" s="1"/>
  <c r="E116" i="16"/>
  <c r="X116" i="16" s="1"/>
  <c r="E117" i="16"/>
  <c r="X117" i="16" s="1"/>
  <c r="E118" i="16"/>
  <c r="X118" i="16" s="1"/>
  <c r="E119" i="16"/>
  <c r="X119" i="16" s="1"/>
  <c r="E120" i="16"/>
  <c r="X120" i="16" s="1"/>
  <c r="E121" i="16"/>
  <c r="X121" i="16" s="1"/>
  <c r="E122" i="16"/>
  <c r="X122" i="16" s="1"/>
  <c r="E123" i="16"/>
  <c r="X123" i="16" s="1"/>
  <c r="E124" i="16"/>
  <c r="X124" i="16" s="1"/>
  <c r="E125" i="16"/>
  <c r="X125" i="16" s="1"/>
  <c r="E126" i="16"/>
  <c r="X126" i="16" s="1"/>
  <c r="E127" i="16"/>
  <c r="X127" i="16" s="1"/>
  <c r="E128" i="16"/>
  <c r="X128" i="16" s="1"/>
  <c r="E129" i="16"/>
  <c r="X129" i="16" s="1"/>
  <c r="E130" i="16"/>
  <c r="X130" i="16" s="1"/>
  <c r="E131" i="16"/>
  <c r="X131" i="16" s="1"/>
  <c r="E132" i="16"/>
  <c r="X132" i="16" s="1"/>
  <c r="E133" i="16"/>
  <c r="X133" i="16" s="1"/>
  <c r="E134" i="16"/>
  <c r="X134" i="16" s="1"/>
  <c r="E135" i="16"/>
  <c r="X135" i="16" s="1"/>
  <c r="E136" i="16"/>
  <c r="X136" i="16" s="1"/>
  <c r="E137" i="16"/>
  <c r="X137" i="16" s="1"/>
  <c r="E138" i="16"/>
  <c r="X138" i="16" s="1"/>
  <c r="E139" i="16"/>
  <c r="X139" i="16" s="1"/>
  <c r="E140" i="16"/>
  <c r="X140" i="16" s="1"/>
  <c r="E141" i="16"/>
  <c r="X141" i="16" s="1"/>
  <c r="E142" i="16"/>
  <c r="X142" i="16" s="1"/>
  <c r="E143" i="16"/>
  <c r="X143" i="16" s="1"/>
  <c r="E144" i="16"/>
  <c r="X144" i="16" s="1"/>
  <c r="E145" i="16"/>
  <c r="X145" i="16" s="1"/>
  <c r="E146" i="16"/>
  <c r="X146" i="16" s="1"/>
  <c r="E147" i="16"/>
  <c r="X147" i="16" s="1"/>
  <c r="E148" i="16"/>
  <c r="X148" i="16" s="1"/>
  <c r="E149" i="16"/>
  <c r="X149" i="16" s="1"/>
  <c r="E150" i="16"/>
  <c r="X150" i="16" s="1"/>
  <c r="E151" i="16"/>
  <c r="X151" i="16" s="1"/>
  <c r="E152" i="16"/>
  <c r="X152" i="16" s="1"/>
  <c r="E153" i="16"/>
  <c r="X153" i="16" s="1"/>
  <c r="E154" i="16"/>
  <c r="X154" i="16" s="1"/>
  <c r="E155" i="16"/>
  <c r="X155" i="16" s="1"/>
  <c r="E156" i="16"/>
  <c r="X156" i="16" s="1"/>
  <c r="E157" i="16"/>
  <c r="X157" i="16" s="1"/>
  <c r="E158" i="16"/>
  <c r="X158" i="16" s="1"/>
  <c r="E159" i="16"/>
  <c r="X159" i="16" s="1"/>
  <c r="E160" i="16"/>
  <c r="X160" i="16" s="1"/>
  <c r="E161" i="16"/>
  <c r="X161" i="16" s="1"/>
  <c r="E162" i="16"/>
  <c r="X162" i="16" s="1"/>
  <c r="E163" i="16"/>
  <c r="X163" i="16" s="1"/>
  <c r="E164" i="16"/>
  <c r="X164" i="16" s="1"/>
  <c r="E165" i="16"/>
  <c r="X165" i="16" s="1"/>
  <c r="E166" i="16"/>
  <c r="X166" i="16" s="1"/>
  <c r="E167" i="16"/>
  <c r="X167" i="16" s="1"/>
  <c r="E168" i="16"/>
  <c r="X168" i="16" s="1"/>
  <c r="E169" i="16"/>
  <c r="X169" i="16" s="1"/>
  <c r="E170" i="16"/>
  <c r="X170" i="16" s="1"/>
  <c r="E171" i="16"/>
  <c r="X171" i="16" s="1"/>
  <c r="E172" i="16"/>
  <c r="X172" i="16" s="1"/>
  <c r="E173" i="16"/>
  <c r="X173" i="16" s="1"/>
  <c r="E174" i="16"/>
  <c r="X174" i="16" s="1"/>
  <c r="E175" i="16"/>
  <c r="X175" i="16" s="1"/>
  <c r="E176" i="16"/>
  <c r="X176" i="16" s="1"/>
  <c r="E177" i="16"/>
  <c r="X177" i="16" s="1"/>
  <c r="E178" i="16"/>
  <c r="X178" i="16" s="1"/>
  <c r="E179" i="16"/>
  <c r="X179" i="16" s="1"/>
  <c r="E180" i="16"/>
  <c r="X180" i="16" s="1"/>
  <c r="E181" i="16"/>
  <c r="X181" i="16" s="1"/>
  <c r="E182" i="16"/>
  <c r="X182" i="16" s="1"/>
  <c r="E183" i="16"/>
  <c r="X183" i="16" s="1"/>
  <c r="E184" i="16"/>
  <c r="X184" i="16" s="1"/>
  <c r="E185" i="16"/>
  <c r="X185" i="16" s="1"/>
  <c r="E186" i="16"/>
  <c r="X186" i="16" s="1"/>
  <c r="E187" i="16"/>
  <c r="X187" i="16" s="1"/>
  <c r="E188" i="16"/>
  <c r="X188" i="16" s="1"/>
  <c r="E189" i="16"/>
  <c r="X189" i="16" s="1"/>
  <c r="E190" i="16"/>
  <c r="X190" i="16" s="1"/>
  <c r="E191" i="16"/>
  <c r="X191" i="16" s="1"/>
  <c r="E192" i="16"/>
  <c r="X192" i="16" s="1"/>
  <c r="E193" i="16"/>
  <c r="X193" i="16" s="1"/>
  <c r="E194" i="16"/>
  <c r="X194" i="16" s="1"/>
  <c r="E195" i="16"/>
  <c r="X195" i="16" s="1"/>
  <c r="E196" i="16"/>
  <c r="X196" i="16" s="1"/>
  <c r="E197" i="16"/>
  <c r="X197" i="16" s="1"/>
  <c r="E198" i="16"/>
  <c r="X198" i="16" s="1"/>
  <c r="E199" i="16"/>
  <c r="X199" i="16" s="1"/>
  <c r="E200" i="16"/>
  <c r="X200" i="16" s="1"/>
  <c r="E201" i="16"/>
  <c r="X201" i="16" s="1"/>
  <c r="E202" i="16"/>
  <c r="X202" i="16" s="1"/>
  <c r="E203" i="16"/>
  <c r="X203" i="16" s="1"/>
  <c r="E204" i="16"/>
  <c r="X204" i="16" s="1"/>
  <c r="E205" i="16"/>
  <c r="X205" i="16" s="1"/>
  <c r="E206" i="16"/>
  <c r="X206" i="16" s="1"/>
  <c r="E207" i="16"/>
  <c r="X207" i="16" s="1"/>
  <c r="E208" i="16"/>
  <c r="X208" i="16" s="1"/>
  <c r="E209" i="16"/>
  <c r="X209" i="16" s="1"/>
  <c r="E210" i="16"/>
  <c r="X210" i="16" s="1"/>
  <c r="E211" i="16"/>
  <c r="X211" i="16" s="1"/>
  <c r="E212" i="16"/>
  <c r="X212" i="16" s="1"/>
  <c r="E213" i="16"/>
  <c r="X213" i="16" s="1"/>
  <c r="E214" i="16"/>
  <c r="X214" i="16" s="1"/>
  <c r="E215" i="16"/>
  <c r="X215" i="16" s="1"/>
  <c r="E216" i="16"/>
  <c r="X216" i="16" s="1"/>
  <c r="E217" i="16"/>
  <c r="X217" i="16" s="1"/>
  <c r="E218" i="16"/>
  <c r="X218" i="16" s="1"/>
  <c r="E219" i="16"/>
  <c r="X219" i="16" s="1"/>
  <c r="E220" i="16"/>
  <c r="X220" i="16" s="1"/>
  <c r="E221" i="16"/>
  <c r="X221" i="16" s="1"/>
  <c r="E222" i="16"/>
  <c r="X222" i="16" s="1"/>
  <c r="E223" i="16"/>
  <c r="X223" i="16" s="1"/>
  <c r="E224" i="16"/>
  <c r="X224" i="16" s="1"/>
  <c r="E225" i="16"/>
  <c r="X225" i="16" s="1"/>
  <c r="E226" i="16"/>
  <c r="X226" i="16" s="1"/>
  <c r="E227" i="16"/>
  <c r="X227" i="16" s="1"/>
  <c r="E228" i="16"/>
  <c r="X228" i="16" s="1"/>
  <c r="E229" i="16"/>
  <c r="X229" i="16" s="1"/>
  <c r="E230" i="16"/>
  <c r="X230" i="16" s="1"/>
  <c r="E231" i="16"/>
  <c r="X231" i="16" s="1"/>
  <c r="E232" i="16"/>
  <c r="X232" i="16" s="1"/>
  <c r="E233" i="16"/>
  <c r="X233" i="16" s="1"/>
  <c r="E234" i="16"/>
  <c r="X234" i="16" s="1"/>
  <c r="E235" i="16"/>
  <c r="X235" i="16" s="1"/>
  <c r="E236" i="16"/>
  <c r="X236" i="16" s="1"/>
  <c r="E237" i="16"/>
  <c r="X237" i="16" s="1"/>
  <c r="E238" i="16"/>
  <c r="X238" i="16" s="1"/>
  <c r="E239" i="16"/>
  <c r="X239" i="16" s="1"/>
  <c r="E240" i="16"/>
  <c r="X240" i="16" s="1"/>
  <c r="E241" i="16"/>
  <c r="X241" i="16" s="1"/>
  <c r="E242" i="16"/>
  <c r="X242" i="16" s="1"/>
  <c r="E243" i="16"/>
  <c r="X243" i="16" s="1"/>
  <c r="E244" i="16"/>
  <c r="X244" i="16" s="1"/>
  <c r="E245" i="16"/>
  <c r="X245" i="16" s="1"/>
  <c r="E246" i="16"/>
  <c r="X246" i="16" s="1"/>
  <c r="E247" i="16"/>
  <c r="X247" i="16" s="1"/>
  <c r="E248" i="16"/>
  <c r="X248" i="16" s="1"/>
  <c r="E249" i="16"/>
  <c r="X249" i="16" s="1"/>
  <c r="E250" i="16"/>
  <c r="X250" i="16" s="1"/>
  <c r="E251" i="16"/>
  <c r="X251" i="16" s="1"/>
  <c r="E252" i="16"/>
  <c r="X252" i="16" s="1"/>
  <c r="E253" i="16"/>
  <c r="X253" i="16" s="1"/>
  <c r="E254" i="16"/>
  <c r="X254" i="16" s="1"/>
  <c r="E255" i="16"/>
  <c r="X255" i="16" s="1"/>
  <c r="E256" i="16"/>
  <c r="X256" i="16" s="1"/>
  <c r="E257" i="16"/>
  <c r="X257" i="16" s="1"/>
  <c r="E258" i="16"/>
  <c r="X258" i="16" s="1"/>
  <c r="E259" i="16"/>
  <c r="X259" i="16" s="1"/>
  <c r="E260" i="16"/>
  <c r="X260" i="16" s="1"/>
  <c r="E261" i="16"/>
  <c r="X261" i="16" s="1"/>
  <c r="E262" i="16"/>
  <c r="X262" i="16" s="1"/>
  <c r="E263" i="16"/>
  <c r="X263" i="16" s="1"/>
  <c r="E264" i="16"/>
  <c r="X264" i="16" s="1"/>
  <c r="E265" i="16"/>
  <c r="X265" i="16" s="1"/>
  <c r="E266" i="16"/>
  <c r="X266" i="16" s="1"/>
  <c r="E267" i="16"/>
  <c r="X267" i="16" s="1"/>
  <c r="E268" i="16"/>
  <c r="X268" i="16" s="1"/>
  <c r="E269" i="16"/>
  <c r="X269" i="16" s="1"/>
  <c r="E270" i="16"/>
  <c r="X270" i="16" s="1"/>
  <c r="E271" i="16"/>
  <c r="X271" i="16" s="1"/>
  <c r="E272" i="16"/>
  <c r="X272" i="16" s="1"/>
  <c r="E273" i="16"/>
  <c r="X273" i="16" s="1"/>
  <c r="E274" i="16"/>
  <c r="X274" i="16" s="1"/>
  <c r="E275" i="16"/>
  <c r="X275" i="16" s="1"/>
  <c r="E276" i="16"/>
  <c r="X276" i="16" s="1"/>
  <c r="E277" i="16"/>
  <c r="X277" i="16" s="1"/>
  <c r="E278" i="16"/>
  <c r="X278" i="16" s="1"/>
  <c r="E279" i="16"/>
  <c r="X279" i="16" s="1"/>
  <c r="E280" i="16"/>
  <c r="X280" i="16" s="1"/>
  <c r="E281" i="16"/>
  <c r="X281" i="16" s="1"/>
  <c r="E282" i="16"/>
  <c r="X282" i="16" s="1"/>
  <c r="E283" i="16"/>
  <c r="X283" i="16" s="1"/>
  <c r="E284" i="16"/>
  <c r="X284" i="16" s="1"/>
  <c r="E285" i="16"/>
  <c r="X285" i="16" s="1"/>
  <c r="E286" i="16"/>
  <c r="X286" i="16" s="1"/>
  <c r="E287" i="16"/>
  <c r="X287" i="16" s="1"/>
  <c r="E288" i="16"/>
  <c r="X288" i="16" s="1"/>
  <c r="E289" i="16"/>
  <c r="X289" i="16" s="1"/>
  <c r="E290" i="16"/>
  <c r="X290" i="16" s="1"/>
  <c r="E291" i="16"/>
  <c r="X291" i="16" s="1"/>
  <c r="E292" i="16"/>
  <c r="X292" i="16" s="1"/>
  <c r="E293" i="16"/>
  <c r="X293" i="16" s="1"/>
  <c r="E294" i="16"/>
  <c r="X294" i="16" s="1"/>
  <c r="E295" i="16"/>
  <c r="X295" i="16" s="1"/>
  <c r="E296" i="16"/>
  <c r="X296" i="16" s="1"/>
  <c r="E297" i="16"/>
  <c r="X297" i="16" s="1"/>
  <c r="E298" i="16"/>
  <c r="X298" i="16" s="1"/>
  <c r="E299" i="16"/>
  <c r="X299" i="16" s="1"/>
  <c r="E300" i="16"/>
  <c r="X300" i="16" s="1"/>
  <c r="E301" i="16"/>
  <c r="X301" i="16" s="1"/>
  <c r="E302" i="16"/>
  <c r="X302" i="16" s="1"/>
  <c r="E303" i="16"/>
  <c r="X303" i="16" s="1"/>
  <c r="E304" i="16"/>
  <c r="X304" i="16" s="1"/>
  <c r="E305" i="16"/>
  <c r="X305" i="16" s="1"/>
  <c r="E306" i="16"/>
  <c r="X306" i="16" s="1"/>
  <c r="E307" i="16"/>
  <c r="X307" i="16" s="1"/>
  <c r="E308" i="16"/>
  <c r="X308" i="16" s="1"/>
  <c r="E309" i="16"/>
  <c r="X309" i="16" s="1"/>
  <c r="E310" i="16"/>
  <c r="X310" i="16" s="1"/>
  <c r="E311" i="16"/>
  <c r="X311" i="16" s="1"/>
  <c r="E312" i="16"/>
  <c r="X312" i="16" s="1"/>
  <c r="E313" i="16"/>
  <c r="X313" i="16" s="1"/>
  <c r="E314" i="16"/>
  <c r="X314" i="16" s="1"/>
  <c r="E315" i="16"/>
  <c r="X315" i="16" s="1"/>
  <c r="E316" i="16"/>
  <c r="X316" i="16" s="1"/>
  <c r="E317" i="16"/>
  <c r="X317" i="16" s="1"/>
  <c r="E318" i="16"/>
  <c r="X318" i="16" s="1"/>
  <c r="E319" i="16"/>
  <c r="X319" i="16" s="1"/>
  <c r="E320" i="16"/>
  <c r="X320" i="16" s="1"/>
  <c r="E321" i="16"/>
  <c r="X321" i="16" s="1"/>
  <c r="E322" i="16"/>
  <c r="X322" i="16" s="1"/>
  <c r="E323" i="16"/>
  <c r="X323" i="16" s="1"/>
  <c r="E324" i="16"/>
  <c r="X324" i="16" s="1"/>
  <c r="E325" i="16"/>
  <c r="X325" i="16" s="1"/>
  <c r="E326" i="16"/>
  <c r="X326" i="16" s="1"/>
  <c r="E327" i="16"/>
  <c r="X327" i="16" s="1"/>
  <c r="E328" i="16"/>
  <c r="X328" i="16" s="1"/>
  <c r="E329" i="16"/>
  <c r="X329" i="16" s="1"/>
  <c r="E330" i="16"/>
  <c r="X330" i="16" s="1"/>
  <c r="E331" i="16"/>
  <c r="X331" i="16" s="1"/>
  <c r="E332" i="16"/>
  <c r="X332" i="16" s="1"/>
  <c r="E333" i="16"/>
  <c r="X333" i="16" s="1"/>
  <c r="E334" i="16"/>
  <c r="X334" i="16" s="1"/>
  <c r="E335" i="16"/>
  <c r="X335" i="16" s="1"/>
  <c r="E336" i="16"/>
  <c r="X336" i="16" s="1"/>
  <c r="E337" i="16"/>
  <c r="X337" i="16" s="1"/>
  <c r="E338" i="16"/>
  <c r="X338" i="16" s="1"/>
  <c r="E339" i="16"/>
  <c r="X339" i="16" s="1"/>
  <c r="E340" i="16"/>
  <c r="X340" i="16" s="1"/>
  <c r="E341" i="16"/>
  <c r="X341" i="16" s="1"/>
  <c r="E342" i="16"/>
  <c r="X342" i="16" s="1"/>
  <c r="E343" i="16"/>
  <c r="X343" i="16" s="1"/>
  <c r="E344" i="16"/>
  <c r="X344" i="16" s="1"/>
  <c r="E345" i="16"/>
  <c r="X345" i="16" s="1"/>
  <c r="E346" i="16"/>
  <c r="X346" i="16" s="1"/>
  <c r="E347" i="16"/>
  <c r="X347" i="16" s="1"/>
  <c r="E348" i="16"/>
  <c r="X348" i="16" s="1"/>
  <c r="E349" i="16"/>
  <c r="X349" i="16" s="1"/>
  <c r="E350" i="16"/>
  <c r="X350" i="16" s="1"/>
  <c r="E351" i="16"/>
  <c r="X351" i="16" s="1"/>
  <c r="E352" i="16"/>
  <c r="X352" i="16" s="1"/>
  <c r="E353" i="16"/>
  <c r="X353" i="16" s="1"/>
  <c r="E354" i="16"/>
  <c r="X354" i="16" s="1"/>
  <c r="E355" i="16"/>
  <c r="X355" i="16" s="1"/>
  <c r="E356" i="16"/>
  <c r="X356" i="16" s="1"/>
  <c r="E357" i="16"/>
  <c r="X357" i="16" s="1"/>
  <c r="E358" i="16"/>
  <c r="X358" i="16" s="1"/>
  <c r="E359" i="16"/>
  <c r="X359" i="16" s="1"/>
  <c r="E360" i="16"/>
  <c r="X360" i="16" s="1"/>
  <c r="E361" i="16"/>
  <c r="X361" i="16" s="1"/>
  <c r="E362" i="16"/>
  <c r="X362" i="16" s="1"/>
  <c r="E363" i="16"/>
  <c r="X363" i="16" s="1"/>
  <c r="E364" i="16"/>
  <c r="X364" i="16" s="1"/>
  <c r="E365" i="16"/>
  <c r="X365" i="16" s="1"/>
  <c r="E366" i="16"/>
  <c r="X366" i="16" s="1"/>
  <c r="E367" i="16"/>
  <c r="X367" i="16" s="1"/>
  <c r="E368" i="16"/>
  <c r="X368" i="16" s="1"/>
  <c r="E369" i="16"/>
  <c r="X369" i="16" s="1"/>
  <c r="E370" i="16"/>
  <c r="X370" i="16" s="1"/>
  <c r="E371" i="16"/>
  <c r="X371" i="16" s="1"/>
  <c r="E372" i="16"/>
  <c r="X372" i="16" s="1"/>
  <c r="E373" i="16"/>
  <c r="X373" i="16" s="1"/>
  <c r="E374" i="16"/>
  <c r="X374" i="16" s="1"/>
  <c r="E375" i="16"/>
  <c r="X375" i="16" s="1"/>
  <c r="E376" i="16"/>
  <c r="X376" i="16" s="1"/>
  <c r="E377" i="16"/>
  <c r="X377" i="16" s="1"/>
  <c r="E378" i="16"/>
  <c r="X378" i="16" s="1"/>
  <c r="E379" i="16"/>
  <c r="X379" i="16" s="1"/>
  <c r="E380" i="16"/>
  <c r="X380" i="16" s="1"/>
  <c r="E381" i="16"/>
  <c r="X381" i="16" s="1"/>
  <c r="E382" i="16"/>
  <c r="X382" i="16" s="1"/>
  <c r="E383" i="16"/>
  <c r="X383" i="16" s="1"/>
  <c r="E384" i="16"/>
  <c r="X384" i="16" s="1"/>
  <c r="E385" i="16"/>
  <c r="X385" i="16" s="1"/>
  <c r="E386" i="16"/>
  <c r="X386" i="16" s="1"/>
  <c r="E387" i="16"/>
  <c r="X387" i="16" s="1"/>
  <c r="E388" i="16"/>
  <c r="X388" i="16" s="1"/>
  <c r="E389" i="16"/>
  <c r="X389" i="16" s="1"/>
  <c r="E390" i="16"/>
  <c r="X390" i="16" s="1"/>
  <c r="E391" i="16"/>
  <c r="X391" i="16" s="1"/>
  <c r="E392" i="16"/>
  <c r="X392" i="16" s="1"/>
  <c r="E393" i="16"/>
  <c r="X393" i="16" s="1"/>
  <c r="E394" i="16"/>
  <c r="X394" i="16" s="1"/>
  <c r="E395" i="16"/>
  <c r="X395" i="16" s="1"/>
  <c r="E396" i="16"/>
  <c r="X396" i="16" s="1"/>
  <c r="E397" i="16"/>
  <c r="X397" i="16" s="1"/>
  <c r="E398" i="16"/>
  <c r="X398" i="16" s="1"/>
  <c r="E399" i="16"/>
  <c r="X399" i="16" s="1"/>
  <c r="E400" i="16"/>
  <c r="X400" i="16" s="1"/>
  <c r="E401" i="16"/>
  <c r="X401" i="16" s="1"/>
  <c r="E402" i="16"/>
  <c r="X402" i="16" s="1"/>
  <c r="E403" i="16"/>
  <c r="X403" i="16" s="1"/>
  <c r="E404" i="16"/>
  <c r="X404" i="16" s="1"/>
  <c r="E405" i="16"/>
  <c r="X405" i="16" s="1"/>
  <c r="E406" i="16"/>
  <c r="X406" i="16" s="1"/>
  <c r="E407" i="16"/>
  <c r="X407" i="16" s="1"/>
  <c r="E408" i="16"/>
  <c r="X408" i="16" s="1"/>
  <c r="E409" i="16"/>
  <c r="X409" i="16" s="1"/>
  <c r="E410" i="16"/>
  <c r="X410" i="16" s="1"/>
  <c r="E411" i="16"/>
  <c r="X411" i="16" s="1"/>
  <c r="E412" i="16"/>
  <c r="X412" i="16" s="1"/>
  <c r="E413" i="16"/>
  <c r="X413" i="16" s="1"/>
  <c r="E414" i="16"/>
  <c r="X414" i="16" s="1"/>
  <c r="E415" i="16"/>
  <c r="X415" i="16" s="1"/>
  <c r="E416" i="16"/>
  <c r="X416" i="16" s="1"/>
  <c r="E417" i="16"/>
  <c r="X417" i="16" s="1"/>
  <c r="E418" i="16"/>
  <c r="X418" i="16" s="1"/>
  <c r="E419" i="16"/>
  <c r="X419" i="16" s="1"/>
  <c r="E420" i="16"/>
  <c r="X420" i="16" s="1"/>
  <c r="E421" i="16"/>
  <c r="X421" i="16" s="1"/>
  <c r="E422" i="16"/>
  <c r="X422" i="16" s="1"/>
  <c r="E423" i="16"/>
  <c r="X423" i="16" s="1"/>
  <c r="E424" i="16"/>
  <c r="X424" i="16" s="1"/>
  <c r="E425" i="16"/>
  <c r="X425" i="16" s="1"/>
  <c r="E426" i="16"/>
  <c r="X426" i="16" s="1"/>
  <c r="E427" i="16"/>
  <c r="X427" i="16" s="1"/>
  <c r="E428" i="16"/>
  <c r="X428" i="16" s="1"/>
  <c r="E429" i="16"/>
  <c r="X429" i="16" s="1"/>
  <c r="E430" i="16"/>
  <c r="X430" i="16" s="1"/>
  <c r="E431" i="16"/>
  <c r="X431" i="16" s="1"/>
  <c r="E432" i="16"/>
  <c r="X432" i="16" s="1"/>
  <c r="E433" i="16"/>
  <c r="X433" i="16" s="1"/>
  <c r="E434" i="16"/>
  <c r="X434" i="16" s="1"/>
  <c r="E435" i="16"/>
  <c r="X435" i="16" s="1"/>
  <c r="E436" i="16"/>
  <c r="X436" i="16" s="1"/>
  <c r="E437" i="16"/>
  <c r="X437" i="16" s="1"/>
  <c r="E438" i="16"/>
  <c r="X438" i="16" s="1"/>
  <c r="E439" i="16"/>
  <c r="X439" i="16" s="1"/>
  <c r="E440" i="16"/>
  <c r="X440" i="16" s="1"/>
  <c r="E441" i="16"/>
  <c r="X441" i="16" s="1"/>
  <c r="E442" i="16"/>
  <c r="X442" i="16" s="1"/>
  <c r="E443" i="16"/>
  <c r="X443" i="16" s="1"/>
  <c r="E444" i="16"/>
  <c r="X444" i="16" s="1"/>
  <c r="E445" i="16"/>
  <c r="X445" i="16" s="1"/>
  <c r="E446" i="16"/>
  <c r="X446" i="16" s="1"/>
  <c r="E447" i="16"/>
  <c r="X447" i="16" s="1"/>
  <c r="E448" i="16"/>
  <c r="X448" i="16" s="1"/>
  <c r="E449" i="16"/>
  <c r="X449" i="16" s="1"/>
  <c r="E450" i="16"/>
  <c r="X450" i="16" s="1"/>
  <c r="E451" i="16"/>
  <c r="X451" i="16" s="1"/>
  <c r="E452" i="16"/>
  <c r="X452" i="16" s="1"/>
  <c r="E453" i="16"/>
  <c r="X453" i="16" s="1"/>
  <c r="E454" i="16"/>
  <c r="X454" i="16" s="1"/>
  <c r="E455" i="16"/>
  <c r="X455" i="16" s="1"/>
  <c r="E456" i="16"/>
  <c r="X456" i="16" s="1"/>
  <c r="E457" i="16"/>
  <c r="X457" i="16" s="1"/>
  <c r="E458" i="16"/>
  <c r="X458" i="16" s="1"/>
  <c r="E459" i="16"/>
  <c r="X459" i="16" s="1"/>
  <c r="E460" i="16"/>
  <c r="X460" i="16" s="1"/>
  <c r="E461" i="16"/>
  <c r="X461" i="16" s="1"/>
  <c r="E462" i="16"/>
  <c r="X462" i="16" s="1"/>
  <c r="E463" i="16"/>
  <c r="X463" i="16" s="1"/>
  <c r="E464" i="16"/>
  <c r="X464" i="16" s="1"/>
  <c r="E465" i="16"/>
  <c r="X465" i="16" s="1"/>
  <c r="E466" i="16"/>
  <c r="X466" i="16" s="1"/>
  <c r="E467" i="16"/>
  <c r="X467" i="16" s="1"/>
  <c r="E468" i="16"/>
  <c r="X468" i="16" s="1"/>
  <c r="E469" i="16"/>
  <c r="X469" i="16" s="1"/>
  <c r="E470" i="16"/>
  <c r="X470" i="16" s="1"/>
  <c r="E471" i="16"/>
  <c r="X471" i="16" s="1"/>
  <c r="E472" i="16"/>
  <c r="X472" i="16" s="1"/>
  <c r="E473" i="16"/>
  <c r="X473" i="16" s="1"/>
  <c r="E474" i="16"/>
  <c r="X474" i="16" s="1"/>
  <c r="E475" i="16"/>
  <c r="X475" i="16" s="1"/>
  <c r="E476" i="16"/>
  <c r="X476" i="16" s="1"/>
  <c r="E477" i="16"/>
  <c r="X477" i="16" s="1"/>
  <c r="E478" i="16"/>
  <c r="X478" i="16" s="1"/>
  <c r="E479" i="16"/>
  <c r="X479" i="16" s="1"/>
  <c r="E480" i="16"/>
  <c r="X480" i="16" s="1"/>
  <c r="E481" i="16"/>
  <c r="X481" i="16" s="1"/>
  <c r="E482" i="16"/>
  <c r="X482" i="16" s="1"/>
  <c r="E483" i="16"/>
  <c r="X483" i="16" s="1"/>
  <c r="E484" i="16"/>
  <c r="X484" i="16" s="1"/>
  <c r="E485" i="16"/>
  <c r="X485" i="16" s="1"/>
  <c r="E486" i="16"/>
  <c r="X486" i="16" s="1"/>
  <c r="E487" i="16"/>
  <c r="X487" i="16" s="1"/>
  <c r="E488" i="16"/>
  <c r="X488" i="16" s="1"/>
  <c r="E489" i="16"/>
  <c r="X489" i="16" s="1"/>
  <c r="E490" i="16"/>
  <c r="X490" i="16" s="1"/>
  <c r="E491" i="16"/>
  <c r="X491" i="16" s="1"/>
  <c r="E492" i="16"/>
  <c r="X492" i="16" s="1"/>
  <c r="E493" i="16"/>
  <c r="X493" i="16" s="1"/>
  <c r="E494" i="16"/>
  <c r="X494" i="16" s="1"/>
  <c r="E495" i="16"/>
  <c r="X495" i="16" s="1"/>
  <c r="E496" i="16"/>
  <c r="X496" i="16" s="1"/>
  <c r="E497" i="16"/>
  <c r="X497" i="16" s="1"/>
  <c r="E498" i="16"/>
  <c r="X498" i="16" s="1"/>
  <c r="E499" i="16"/>
  <c r="X499" i="16" s="1"/>
  <c r="E500" i="16"/>
  <c r="X500" i="16" s="1"/>
  <c r="E501" i="16"/>
  <c r="X501" i="16" s="1"/>
  <c r="E502" i="16"/>
  <c r="X502" i="16" s="1"/>
  <c r="E503" i="16"/>
  <c r="X503" i="16" s="1"/>
  <c r="E504" i="16"/>
  <c r="X504" i="16" s="1"/>
  <c r="E505" i="16"/>
  <c r="X505" i="16" s="1"/>
  <c r="E506" i="16"/>
  <c r="X506" i="16" s="1"/>
  <c r="E507" i="16"/>
  <c r="X507" i="16" s="1"/>
  <c r="E508" i="16"/>
  <c r="X508" i="16" s="1"/>
  <c r="E509" i="16"/>
  <c r="X509" i="16" s="1"/>
  <c r="E510" i="16"/>
  <c r="X510" i="16" s="1"/>
  <c r="E511" i="16"/>
  <c r="X511" i="16" s="1"/>
  <c r="E512" i="16"/>
  <c r="X512" i="16" s="1"/>
  <c r="E513" i="16"/>
  <c r="X513" i="16" s="1"/>
  <c r="E514" i="16"/>
  <c r="X514" i="16" s="1"/>
  <c r="E515" i="16"/>
  <c r="X515" i="16" s="1"/>
  <c r="E516" i="16"/>
  <c r="X516" i="16" s="1"/>
  <c r="E517" i="16"/>
  <c r="X517" i="16" s="1"/>
  <c r="E518" i="16"/>
  <c r="X518" i="16" s="1"/>
  <c r="E519" i="16"/>
  <c r="X519" i="16" s="1"/>
  <c r="E520" i="16"/>
  <c r="X520" i="16" s="1"/>
  <c r="E521" i="16"/>
  <c r="X521" i="16" s="1"/>
  <c r="E522" i="16"/>
  <c r="X522" i="16" s="1"/>
  <c r="E523" i="16"/>
  <c r="X523" i="16" s="1"/>
  <c r="E524" i="16"/>
  <c r="X524" i="16" s="1"/>
  <c r="E525" i="16"/>
  <c r="X525" i="16" s="1"/>
  <c r="E526" i="16"/>
  <c r="X526" i="16" s="1"/>
  <c r="E527" i="16"/>
  <c r="X527" i="16" s="1"/>
  <c r="E528" i="16"/>
  <c r="X528" i="16" s="1"/>
  <c r="E529" i="16"/>
  <c r="X529" i="16" s="1"/>
  <c r="E530" i="16"/>
  <c r="X530" i="16" s="1"/>
  <c r="E531" i="16"/>
  <c r="X531" i="16" s="1"/>
  <c r="E532" i="16"/>
  <c r="X532" i="16" s="1"/>
  <c r="E533" i="16"/>
  <c r="X533" i="16" s="1"/>
  <c r="E534" i="16"/>
  <c r="X534" i="16" s="1"/>
  <c r="E535" i="16"/>
  <c r="X535" i="16" s="1"/>
  <c r="E536" i="16"/>
  <c r="X536" i="16" s="1"/>
  <c r="E537" i="16"/>
  <c r="X537" i="16" s="1"/>
  <c r="E538" i="16"/>
  <c r="X538" i="16" s="1"/>
  <c r="E539" i="16"/>
  <c r="X539" i="16" s="1"/>
  <c r="E540" i="16"/>
  <c r="X540" i="16" s="1"/>
  <c r="E541" i="16"/>
  <c r="X541" i="16" s="1"/>
  <c r="E542" i="16"/>
  <c r="X542" i="16" s="1"/>
  <c r="E543" i="16"/>
  <c r="X543" i="16" s="1"/>
  <c r="E544" i="16"/>
  <c r="X544" i="16" s="1"/>
  <c r="E545" i="16"/>
  <c r="X545" i="16" s="1"/>
  <c r="E546" i="16"/>
  <c r="X546" i="16" s="1"/>
  <c r="E547" i="16"/>
  <c r="X547" i="16" s="1"/>
  <c r="E548" i="16"/>
  <c r="X548" i="16" s="1"/>
  <c r="E549" i="16"/>
  <c r="X549" i="16" s="1"/>
  <c r="E550" i="16"/>
  <c r="X550" i="16" s="1"/>
  <c r="E551" i="16"/>
  <c r="X551" i="16" s="1"/>
  <c r="E552" i="16"/>
  <c r="X552" i="16" s="1"/>
  <c r="E553" i="16"/>
  <c r="X553" i="16" s="1"/>
  <c r="E554" i="16"/>
  <c r="X554" i="16" s="1"/>
  <c r="E555" i="16"/>
  <c r="X555" i="16" s="1"/>
  <c r="E556" i="16"/>
  <c r="X556" i="16" s="1"/>
  <c r="E557" i="16"/>
  <c r="X557" i="16" s="1"/>
  <c r="E558" i="16"/>
  <c r="X558" i="16" s="1"/>
  <c r="E559" i="16"/>
  <c r="X559" i="16" s="1"/>
  <c r="E560" i="16"/>
  <c r="X560" i="16" s="1"/>
  <c r="E561" i="16"/>
  <c r="X561" i="16" s="1"/>
  <c r="E562" i="16"/>
  <c r="X562" i="16" s="1"/>
  <c r="E563" i="16"/>
  <c r="X563" i="16" s="1"/>
  <c r="E564" i="16"/>
  <c r="X564" i="16" s="1"/>
  <c r="E565" i="16"/>
  <c r="X565" i="16" s="1"/>
  <c r="E566" i="16"/>
  <c r="X566" i="16" s="1"/>
  <c r="E567" i="16"/>
  <c r="X567" i="16" s="1"/>
  <c r="E568" i="16"/>
  <c r="X568" i="16" s="1"/>
  <c r="E569" i="16"/>
  <c r="X569" i="16" s="1"/>
  <c r="E570" i="16"/>
  <c r="X570" i="16" s="1"/>
  <c r="E571" i="16"/>
  <c r="X571" i="16" s="1"/>
  <c r="E572" i="16"/>
  <c r="X572" i="16" s="1"/>
  <c r="E573" i="16"/>
  <c r="X573" i="16" s="1"/>
  <c r="E574" i="16"/>
  <c r="X574" i="16" s="1"/>
  <c r="E575" i="16"/>
  <c r="X575" i="16" s="1"/>
  <c r="E576" i="16"/>
  <c r="X576" i="16" s="1"/>
  <c r="E577" i="16"/>
  <c r="X577" i="16" s="1"/>
  <c r="E578" i="16"/>
  <c r="X578" i="16" s="1"/>
  <c r="E579" i="16"/>
  <c r="X579" i="16" s="1"/>
  <c r="E580" i="16"/>
  <c r="X580" i="16" s="1"/>
  <c r="E581" i="16"/>
  <c r="X581" i="16" s="1"/>
  <c r="E582" i="16"/>
  <c r="X582" i="16" s="1"/>
  <c r="E583" i="16"/>
  <c r="X583" i="16" s="1"/>
  <c r="E584" i="16"/>
  <c r="X584" i="16" s="1"/>
  <c r="E585" i="16"/>
  <c r="X585" i="16" s="1"/>
  <c r="E586" i="16"/>
  <c r="X586" i="16" s="1"/>
  <c r="E587" i="16"/>
  <c r="X587" i="16" s="1"/>
  <c r="E588" i="16"/>
  <c r="X588" i="16" s="1"/>
  <c r="E589" i="16"/>
  <c r="X589" i="16" s="1"/>
  <c r="E590" i="16"/>
  <c r="X590" i="16" s="1"/>
  <c r="E591" i="16"/>
  <c r="X591" i="16" s="1"/>
  <c r="E592" i="16"/>
  <c r="X592" i="16" s="1"/>
  <c r="E593" i="16"/>
  <c r="X593" i="16" s="1"/>
  <c r="E594" i="16"/>
  <c r="X594" i="16" s="1"/>
  <c r="E595" i="16"/>
  <c r="X595" i="16" s="1"/>
  <c r="E596" i="16"/>
  <c r="X596" i="16" s="1"/>
  <c r="E597" i="16"/>
  <c r="X597" i="16" s="1"/>
  <c r="E598" i="16"/>
  <c r="X598" i="16" s="1"/>
  <c r="E599" i="16"/>
  <c r="X599" i="16" s="1"/>
  <c r="E600" i="16"/>
  <c r="X600" i="16" s="1"/>
  <c r="E601" i="16"/>
  <c r="X601" i="16" s="1"/>
  <c r="E602" i="16"/>
  <c r="X602" i="16" s="1"/>
  <c r="E603" i="16"/>
  <c r="X603" i="16" s="1"/>
  <c r="E604" i="16"/>
  <c r="X604" i="16" s="1"/>
  <c r="E605" i="16"/>
  <c r="X605" i="16" s="1"/>
  <c r="E606" i="16"/>
  <c r="X606" i="16" s="1"/>
  <c r="E607" i="16"/>
  <c r="X607" i="16" s="1"/>
  <c r="E608" i="16"/>
  <c r="X608" i="16" s="1"/>
  <c r="E609" i="16"/>
  <c r="X609" i="16" s="1"/>
  <c r="E610" i="16"/>
  <c r="X610" i="16" s="1"/>
  <c r="E611" i="16"/>
  <c r="X611" i="16" s="1"/>
  <c r="E612" i="16"/>
  <c r="X612" i="16" s="1"/>
  <c r="E613" i="16"/>
  <c r="X613" i="16" s="1"/>
  <c r="E614" i="16"/>
  <c r="X614" i="16" s="1"/>
  <c r="E615" i="16"/>
  <c r="X615" i="16" s="1"/>
  <c r="E616" i="16"/>
  <c r="X616" i="16" s="1"/>
  <c r="E617" i="16"/>
  <c r="X617" i="16" s="1"/>
  <c r="E618" i="16"/>
  <c r="X618" i="16" s="1"/>
  <c r="E619" i="16"/>
  <c r="X619" i="16" s="1"/>
  <c r="E620" i="16"/>
  <c r="X620" i="16" s="1"/>
  <c r="E621" i="16"/>
  <c r="X621" i="16" s="1"/>
  <c r="E622" i="16"/>
  <c r="X622" i="16" s="1"/>
  <c r="E623" i="16"/>
  <c r="X623" i="16" s="1"/>
  <c r="E624" i="16"/>
  <c r="X624" i="16" s="1"/>
  <c r="E625" i="16"/>
  <c r="X625" i="16" s="1"/>
  <c r="E626" i="16"/>
  <c r="X626" i="16" s="1"/>
  <c r="E627" i="16"/>
  <c r="X627" i="16" s="1"/>
  <c r="E628" i="16"/>
  <c r="X628" i="16" s="1"/>
  <c r="E629" i="16"/>
  <c r="X629" i="16" s="1"/>
  <c r="E630" i="16"/>
  <c r="X630" i="16" s="1"/>
  <c r="E631" i="16"/>
  <c r="X631" i="16" s="1"/>
  <c r="E632" i="16"/>
  <c r="X632" i="16" s="1"/>
</calcChain>
</file>

<file path=xl/sharedStrings.xml><?xml version="1.0" encoding="utf-8"?>
<sst xmlns="http://schemas.openxmlformats.org/spreadsheetml/2006/main" count="11986" uniqueCount="1528">
  <si>
    <t>OrderID</t>
  </si>
  <si>
    <t>OrderDate</t>
  </si>
  <si>
    <t>RequiredDate</t>
  </si>
  <si>
    <t>Region</t>
  </si>
  <si>
    <t>Country</t>
  </si>
  <si>
    <t>City</t>
  </si>
  <si>
    <t>CustomerSegment</t>
  </si>
  <si>
    <t>Channel</t>
  </si>
  <si>
    <t>Salesperson</t>
  </si>
  <si>
    <t>ProductCategory</t>
  </si>
  <si>
    <t>SKU</t>
  </si>
  <si>
    <t>UnitCost</t>
  </si>
  <si>
    <t>UnitPrice</t>
  </si>
  <si>
    <t>DiscountPct</t>
  </si>
  <si>
    <t>Quantity</t>
  </si>
  <si>
    <t>ORD-2024-275203</t>
  </si>
  <si>
    <t>ORD-2024-358795</t>
  </si>
  <si>
    <t>ORD-2023-373538</t>
  </si>
  <si>
    <t>ORD-2025-168148</t>
  </si>
  <si>
    <t>ORD-2023-824839</t>
  </si>
  <si>
    <t>ORD-2023-723587</t>
  </si>
  <si>
    <t>ORD-2024-336584</t>
  </si>
  <si>
    <t>ORD-2023-112666</t>
  </si>
  <si>
    <t>ORD-2024-589570</t>
  </si>
  <si>
    <t>ORD-2025-997421</t>
  </si>
  <si>
    <t>ORD-2024-210687</t>
  </si>
  <si>
    <t>ORD-2025-515515</t>
  </si>
  <si>
    <t>ORD-2025-487261</t>
  </si>
  <si>
    <t>ORD-2024-890180</t>
  </si>
  <si>
    <t>ORD-2025-840976</t>
  </si>
  <si>
    <t>ORD-2023-937291</t>
  </si>
  <si>
    <t>ORD-2024-206081</t>
  </si>
  <si>
    <t>ORD-2025-233883</t>
  </si>
  <si>
    <t>ORD-2025-843974</t>
  </si>
  <si>
    <t>ORD-2025-745263</t>
  </si>
  <si>
    <t>ORD-2024-798002</t>
  </si>
  <si>
    <t>ORD-2023-867836</t>
  </si>
  <si>
    <t>ORD-2025-580047</t>
  </si>
  <si>
    <t>ORD-2024-500109</t>
  </si>
  <si>
    <t>ORD-2023-271836</t>
  </si>
  <si>
    <t>ORD-2024-215294</t>
  </si>
  <si>
    <t>ORD-2024-788105</t>
  </si>
  <si>
    <t>ORD-2024-855073</t>
  </si>
  <si>
    <t>ORD-2023-897079</t>
  </si>
  <si>
    <t>ORD-2025-548982</t>
  </si>
  <si>
    <t>ORD-2024-170313</t>
  </si>
  <si>
    <t>ORD-2023-562894</t>
  </si>
  <si>
    <t>ORD-2025-474710</t>
  </si>
  <si>
    <t>ORD-2024-629525</t>
  </si>
  <si>
    <t>ORD-2024-167215</t>
  </si>
  <si>
    <t>ORD-2023-864121</t>
  </si>
  <si>
    <t>ORD-2024-692673</t>
  </si>
  <si>
    <t>ORD-2025-718992</t>
  </si>
  <si>
    <t>ORD-2024-599522</t>
  </si>
  <si>
    <t>ORD-2023-651638</t>
  </si>
  <si>
    <t>ORD-2024-635626</t>
  </si>
  <si>
    <t>ORD-2024-296582</t>
  </si>
  <si>
    <t>ORD-2024-998320</t>
  </si>
  <si>
    <t>ORD-2025-820255</t>
  </si>
  <si>
    <t>ORD-2024-389336</t>
  </si>
  <si>
    <t>ORD-2023-308124</t>
  </si>
  <si>
    <t>ORD-2023-128295</t>
  </si>
  <si>
    <t>ORD-2024-548345</t>
  </si>
  <si>
    <t>ORD-2024-966651</t>
  </si>
  <si>
    <t>ORD-2023-292714</t>
  </si>
  <si>
    <t>ORD-2024-468501</t>
  </si>
  <si>
    <t>ORD-2024-260775</t>
  </si>
  <si>
    <t>ORD-2023-419187</t>
  </si>
  <si>
    <t>ORD-2025-578007</t>
  </si>
  <si>
    <t>ORD-2023-235230</t>
  </si>
  <si>
    <t>ORD-2025-765220</t>
  </si>
  <si>
    <t>ORD-2025-931538</t>
  </si>
  <si>
    <t>ORD-2024-289089</t>
  </si>
  <si>
    <t>ORD-2025-639542</t>
  </si>
  <si>
    <t>ORD-2025-762301</t>
  </si>
  <si>
    <t>ORD-2024-906395</t>
  </si>
  <si>
    <t>ORD-2025-779574</t>
  </si>
  <si>
    <t>ORD-2025-526650</t>
  </si>
  <si>
    <t>ORD-2024-247979</t>
  </si>
  <si>
    <t>ORD-2023-480975</t>
  </si>
  <si>
    <t>ORD-2023-239789</t>
  </si>
  <si>
    <t>ORD-2023-548874</t>
  </si>
  <si>
    <t>ORD-2024-347736</t>
  </si>
  <si>
    <t>ORD-2023-749324</t>
  </si>
  <si>
    <t>ORD-2023-809913</t>
  </si>
  <si>
    <t>ORD-2024-287210</t>
  </si>
  <si>
    <t>ORD-2025-640677</t>
  </si>
  <si>
    <t>ORD-2024-939873</t>
  </si>
  <si>
    <t>ORD-2024-800947</t>
  </si>
  <si>
    <t>ORD-2023-382272</t>
  </si>
  <si>
    <t>ORD-2023-722117</t>
  </si>
  <si>
    <t>ORD-2024-446699</t>
  </si>
  <si>
    <t>ORD-2024-451005</t>
  </si>
  <si>
    <t>ORD-2023-290279</t>
  </si>
  <si>
    <t>ORD-2024-192263</t>
  </si>
  <si>
    <t>ORD-2023-159379</t>
  </si>
  <si>
    <t>ORD-2023-343322</t>
  </si>
  <si>
    <t>ORD-2025-114382</t>
  </si>
  <si>
    <t>ORD-2025-488349</t>
  </si>
  <si>
    <t>ORD-2025-330203</t>
  </si>
  <si>
    <t>ORD-2023-841426</t>
  </si>
  <si>
    <t>ORD-2024-594592</t>
  </si>
  <si>
    <t>ORD-2025-863978</t>
  </si>
  <si>
    <t>ORD-2024-604471</t>
  </si>
  <si>
    <t>ORD-2023-258768</t>
  </si>
  <si>
    <t>ORD-2025-626047</t>
  </si>
  <si>
    <t>ORD-2025-526752</t>
  </si>
  <si>
    <t>ORD-2023-374486</t>
  </si>
  <si>
    <t>ORD-2024-997336</t>
  </si>
  <si>
    <t>ORD-2025-725646</t>
  </si>
  <si>
    <t>ORD-2023-868734</t>
  </si>
  <si>
    <t>ORD-2025-262491</t>
  </si>
  <si>
    <t>ORD-2024-638884</t>
  </si>
  <si>
    <t>ORD-2025-541501</t>
  </si>
  <si>
    <t>ORD-2023-422918</t>
  </si>
  <si>
    <t>ORD-2025-328504</t>
  </si>
  <si>
    <t>ORD-2024-851883</t>
  </si>
  <si>
    <t>ORD-2025-662997</t>
  </si>
  <si>
    <t>ORD-2024-478165</t>
  </si>
  <si>
    <t>ORD-2024-771210</t>
  </si>
  <si>
    <t>ORD-2024-155337</t>
  </si>
  <si>
    <t>ORD-2023-251563</t>
  </si>
  <si>
    <t>ORD-2024-286833</t>
  </si>
  <si>
    <t>ORD-2024-792558</t>
  </si>
  <si>
    <t>ORD-2024-166150</t>
  </si>
  <si>
    <t>ORD-2024-909942</t>
  </si>
  <si>
    <t>ORD-2024-223618</t>
  </si>
  <si>
    <t>ORD-2024-919471</t>
  </si>
  <si>
    <t>ORD-2025-649239</t>
  </si>
  <si>
    <t>ORD-2023-975863</t>
  </si>
  <si>
    <t>ORD-2023-869884</t>
  </si>
  <si>
    <t>ORD-2025-698069</t>
  </si>
  <si>
    <t>ORD-2024-474999</t>
  </si>
  <si>
    <t>ORD-2023-427304</t>
  </si>
  <si>
    <t>ORD-2025-956101</t>
  </si>
  <si>
    <t>ORD-2025-184082</t>
  </si>
  <si>
    <t>ORD-2023-576840</t>
  </si>
  <si>
    <t>ORD-2023-178249</t>
  </si>
  <si>
    <t>ORD-2024-588972</t>
  </si>
  <si>
    <t>ORD-2023-603238</t>
  </si>
  <si>
    <t>ORD-2023-883066</t>
  </si>
  <si>
    <t>ORD-2024-584090</t>
  </si>
  <si>
    <t>ORD-2025-537785</t>
  </si>
  <si>
    <t>ORD-2024-605518</t>
  </si>
  <si>
    <t>ORD-2023-521818</t>
  </si>
  <si>
    <t>ORD-2025-650719</t>
  </si>
  <si>
    <t>ORD-2025-501927</t>
  </si>
  <si>
    <t>ORD-2023-430904</t>
  </si>
  <si>
    <t>ORD-2025-354346</t>
  </si>
  <si>
    <t>ORD-2024-164288</t>
  </si>
  <si>
    <t>ORD-2023-867285</t>
  </si>
  <si>
    <t>ORD-2024-836421</t>
  </si>
  <si>
    <t>ORD-2023-613287</t>
  </si>
  <si>
    <t>ORD-2024-783321</t>
  </si>
  <si>
    <t>ORD-2024-232632</t>
  </si>
  <si>
    <t>ORD-2023-906481</t>
  </si>
  <si>
    <t>ORD-2024-902741</t>
  </si>
  <si>
    <t>ORD-2023-912395</t>
  </si>
  <si>
    <t>ORD-2024-389102</t>
  </si>
  <si>
    <t>ORD-2023-309373</t>
  </si>
  <si>
    <t>ORD-2023-825495</t>
  </si>
  <si>
    <t>ORD-2025-244832</t>
  </si>
  <si>
    <t>ORD-2024-211453</t>
  </si>
  <si>
    <t>ORD-2023-192324</t>
  </si>
  <si>
    <t>ORD-2024-438404</t>
  </si>
  <si>
    <t>ORD-2025-246470</t>
  </si>
  <si>
    <t>ORD-2023-497686</t>
  </si>
  <si>
    <t>ORD-2023-596758</t>
  </si>
  <si>
    <t>ORD-2024-201376</t>
  </si>
  <si>
    <t>ORD-2023-842488</t>
  </si>
  <si>
    <t>ORD-2024-136321</t>
  </si>
  <si>
    <t>ORD-2024-764468</t>
  </si>
  <si>
    <t>ORD-2024-553449</t>
  </si>
  <si>
    <t>ORD-2025-766923</t>
  </si>
  <si>
    <t>ORD-2025-418232</t>
  </si>
  <si>
    <t>ORD-2023-848013</t>
  </si>
  <si>
    <t>ORD-2024-357368</t>
  </si>
  <si>
    <t>ORD-2024-219735</t>
  </si>
  <si>
    <t>ORD-2023-240507</t>
  </si>
  <si>
    <t>ORD-2024-134084</t>
  </si>
  <si>
    <t>ORD-2023-884625</t>
  </si>
  <si>
    <t>ORD-2023-157993</t>
  </si>
  <si>
    <t>ORD-2024-329104</t>
  </si>
  <si>
    <t>ORD-2023-304451</t>
  </si>
  <si>
    <t>ORD-2024-942981</t>
  </si>
  <si>
    <t>ORD-2024-605629</t>
  </si>
  <si>
    <t>ORD-2023-450877</t>
  </si>
  <si>
    <t>ORD-2023-286994</t>
  </si>
  <si>
    <t>ORD-2025-700847</t>
  </si>
  <si>
    <t>ORD-2024-970848</t>
  </si>
  <si>
    <t>ORD-2025-845715</t>
  </si>
  <si>
    <t>ORD-2023-664749</t>
  </si>
  <si>
    <t>ORD-2024-960952</t>
  </si>
  <si>
    <t>ORD-2023-987700</t>
  </si>
  <si>
    <t>ORD-2025-652467</t>
  </si>
  <si>
    <t>ORD-2025-667201</t>
  </si>
  <si>
    <t>ORD-2024-237478</t>
  </si>
  <si>
    <t>ORD-2025-898843</t>
  </si>
  <si>
    <t>ORD-2023-334213</t>
  </si>
  <si>
    <t>ORD-2024-640340</t>
  </si>
  <si>
    <t>ORD-2023-399631</t>
  </si>
  <si>
    <t>ORD-2025-542939</t>
  </si>
  <si>
    <t>ORD-2023-825836</t>
  </si>
  <si>
    <t>ORD-2024-503082</t>
  </si>
  <si>
    <t>ORD-2024-760799</t>
  </si>
  <si>
    <t>ORD-2023-197661</t>
  </si>
  <si>
    <t>ORD-2024-212990</t>
  </si>
  <si>
    <t>ORD-2023-925146</t>
  </si>
  <si>
    <t>ORD-2023-177794</t>
  </si>
  <si>
    <t>ORD-2024-444710</t>
  </si>
  <si>
    <t>ORD-2024-668926</t>
  </si>
  <si>
    <t>ORD-2024-968374</t>
  </si>
  <si>
    <t>ORD-2023-575584</t>
  </si>
  <si>
    <t>ORD-2023-701153</t>
  </si>
  <si>
    <t>ORD-2023-382017</t>
  </si>
  <si>
    <t>ORD-2024-999607</t>
  </si>
  <si>
    <t>ORD-2023-133848</t>
  </si>
  <si>
    <t>ORD-2023-586275</t>
  </si>
  <si>
    <t>ORD-2025-964661</t>
  </si>
  <si>
    <t>ORD-2023-390998</t>
  </si>
  <si>
    <t>ORD-2023-920483</t>
  </si>
  <si>
    <t>ORD-2025-146850</t>
  </si>
  <si>
    <t>ORD-2024-687100</t>
  </si>
  <si>
    <t>ORD-2025-629393</t>
  </si>
  <si>
    <t>ORD-2024-686712</t>
  </si>
  <si>
    <t>ORD-2025-586799</t>
  </si>
  <si>
    <t>ORD-2024-988736</t>
  </si>
  <si>
    <t>ORD-2025-564184</t>
  </si>
  <si>
    <t>ORD-2023-653343</t>
  </si>
  <si>
    <t>ORD-2024-197852</t>
  </si>
  <si>
    <t>ORD-2023-431328</t>
  </si>
  <si>
    <t>ORD-2023-613317</t>
  </si>
  <si>
    <t>ORD-2024-720756</t>
  </si>
  <si>
    <t>ORD-2024-777623</t>
  </si>
  <si>
    <t>ORD-2025-762212</t>
  </si>
  <si>
    <t>ORD-2023-271918</t>
  </si>
  <si>
    <t>ORD-2023-713375</t>
  </si>
  <si>
    <t>ORD-2025-678688</t>
  </si>
  <si>
    <t>ORD-2023-501220</t>
  </si>
  <si>
    <t>ORD-2023-195665</t>
  </si>
  <si>
    <t>ORD-2023-290237</t>
  </si>
  <si>
    <t>ORD-2023-302041</t>
  </si>
  <si>
    <t>ORD-2025-289139</t>
  </si>
  <si>
    <t>ORD-2023-949710</t>
  </si>
  <si>
    <t>ORD-2023-603650</t>
  </si>
  <si>
    <t>ORD-2025-757957</t>
  </si>
  <si>
    <t>ORD-2024-423853</t>
  </si>
  <si>
    <t>ORD-2024-569164</t>
  </si>
  <si>
    <t>ORD-2023-946143</t>
  </si>
  <si>
    <t>ORD-2024-281211</t>
  </si>
  <si>
    <t>ORD-2024-805860</t>
  </si>
  <si>
    <t>ORD-2025-132174</t>
  </si>
  <si>
    <t>ORD-2023-964434</t>
  </si>
  <si>
    <t>ORD-2024-897622</t>
  </si>
  <si>
    <t>ORD-2023-517216</t>
  </si>
  <si>
    <t>ORD-2025-509940</t>
  </si>
  <si>
    <t>ORD-2025-646342</t>
  </si>
  <si>
    <t>ORD-2024-866535</t>
  </si>
  <si>
    <t>ORD-2023-747341</t>
  </si>
  <si>
    <t>ORD-2024-853298</t>
  </si>
  <si>
    <t>ORD-2024-544865</t>
  </si>
  <si>
    <t>ORD-2025-946490</t>
  </si>
  <si>
    <t>ORD-2024-320972</t>
  </si>
  <si>
    <t>ORD-2025-248586</t>
  </si>
  <si>
    <t>ORD-2024-664046</t>
  </si>
  <si>
    <t>ORD-2023-276806</t>
  </si>
  <si>
    <t>ORD-2024-220234</t>
  </si>
  <si>
    <t>ORD-2024-301260</t>
  </si>
  <si>
    <t>ORD-2024-350100</t>
  </si>
  <si>
    <t>ORD-2024-855600</t>
  </si>
  <si>
    <t>ORD-2023-474313</t>
  </si>
  <si>
    <t>ORD-2023-256951</t>
  </si>
  <si>
    <t>ORD-2025-184754</t>
  </si>
  <si>
    <t>ORD-2023-888140</t>
  </si>
  <si>
    <t>ORD-2023-638181</t>
  </si>
  <si>
    <t>ORD-2023-521280</t>
  </si>
  <si>
    <t>ORD-2023-630430</t>
  </si>
  <si>
    <t>ORD-2025-908258</t>
  </si>
  <si>
    <t>ORD-2025-440093</t>
  </si>
  <si>
    <t>ORD-2025-898022</t>
  </si>
  <si>
    <t>ORD-2024-500511</t>
  </si>
  <si>
    <t>ORD-2023-632893</t>
  </si>
  <si>
    <t>ORD-2023-967239</t>
  </si>
  <si>
    <t>ORD-2024-885858</t>
  </si>
  <si>
    <t>ORD-2023-253245</t>
  </si>
  <si>
    <t>ORD-2025-484073</t>
  </si>
  <si>
    <t>ORD-2024-745822</t>
  </si>
  <si>
    <t>ORD-2023-369160</t>
  </si>
  <si>
    <t>ORD-2024-834983</t>
  </si>
  <si>
    <t>ORD-2024-499009</t>
  </si>
  <si>
    <t>ORD-2024-948800</t>
  </si>
  <si>
    <t>ORD-2025-678328</t>
  </si>
  <si>
    <t>ORD-2024-580808</t>
  </si>
  <si>
    <t>ORD-2023-211715</t>
  </si>
  <si>
    <t>ORD-2023-715175</t>
  </si>
  <si>
    <t>ORD-2025-685236</t>
  </si>
  <si>
    <t>ORD-2023-274037</t>
  </si>
  <si>
    <t>ORD-2025-983096</t>
  </si>
  <si>
    <t>ORD-2024-366010</t>
  </si>
  <si>
    <t>ORD-2023-610470</t>
  </si>
  <si>
    <t>ORD-2025-541048</t>
  </si>
  <si>
    <t>ORD-2024-862371</t>
  </si>
  <si>
    <t>ORD-2024-277241</t>
  </si>
  <si>
    <t>ORD-2023-369150</t>
  </si>
  <si>
    <t>ORD-2025-922513</t>
  </si>
  <si>
    <t>ORD-2025-752845</t>
  </si>
  <si>
    <t>ORD-2023-667815</t>
  </si>
  <si>
    <t>ORD-2023-375011</t>
  </si>
  <si>
    <t>ORD-2025-487025</t>
  </si>
  <si>
    <t>ORD-2025-398335</t>
  </si>
  <si>
    <t>ORD-2024-792137</t>
  </si>
  <si>
    <t>ORD-2023-602648</t>
  </si>
  <si>
    <t>ORD-2024-207096</t>
  </si>
  <si>
    <t>ORD-2025-939953</t>
  </si>
  <si>
    <t>ORD-2025-191328</t>
  </si>
  <si>
    <t>ORD-2023-166668</t>
  </si>
  <si>
    <t>ORD-2023-594700</t>
  </si>
  <si>
    <t>ORD-2025-278048</t>
  </si>
  <si>
    <t>ORD-2024-878493</t>
  </si>
  <si>
    <t>ORD-2025-138578</t>
  </si>
  <si>
    <t>ORD-2025-944081</t>
  </si>
  <si>
    <t>ORD-2025-364852</t>
  </si>
  <si>
    <t>ORD-2025-415018</t>
  </si>
  <si>
    <t>ORD-2023-884192</t>
  </si>
  <si>
    <t>ORD-2024-165942</t>
  </si>
  <si>
    <t>ORD-2024-403664</t>
  </si>
  <si>
    <t>ORD-2023-890605</t>
  </si>
  <si>
    <t>ORD-2024-925626</t>
  </si>
  <si>
    <t>ORD-2024-427031</t>
  </si>
  <si>
    <t>ORD-2025-231184</t>
  </si>
  <si>
    <t>ORD-2023-363031</t>
  </si>
  <si>
    <t>ORD-2023-619570</t>
  </si>
  <si>
    <t>ORD-2025-861401</t>
  </si>
  <si>
    <t>ORD-2023-835010</t>
  </si>
  <si>
    <t>ORD-2024-819979</t>
  </si>
  <si>
    <t>ORD-2024-719055</t>
  </si>
  <si>
    <t>ORD-2023-888245</t>
  </si>
  <si>
    <t>ORD-2024-206121</t>
  </si>
  <si>
    <t>ORD-2024-500890</t>
  </si>
  <si>
    <t>ORD-2023-144816</t>
  </si>
  <si>
    <t>ORD-2024-153053</t>
  </si>
  <si>
    <t>ORD-2023-536542</t>
  </si>
  <si>
    <t>ORD-2025-779530</t>
  </si>
  <si>
    <t>ORD-2023-163610</t>
  </si>
  <si>
    <t>ORD-2025-653781</t>
  </si>
  <si>
    <t>ORD-2025-737787</t>
  </si>
  <si>
    <t>ORD-2023-944052</t>
  </si>
  <si>
    <t>ORD-2023-181257</t>
  </si>
  <si>
    <t>ORD-2025-323492</t>
  </si>
  <si>
    <t>ORD-2024-332076</t>
  </si>
  <si>
    <t>ORD-2024-571797</t>
  </si>
  <si>
    <t>ORD-2024-129345</t>
  </si>
  <si>
    <t>ORD-2023-660608</t>
  </si>
  <si>
    <t>ORD-2023-825084</t>
  </si>
  <si>
    <t>ORD-2023-261081</t>
  </si>
  <si>
    <t>ORD-2023-766015</t>
  </si>
  <si>
    <t>ORD-2024-333192</t>
  </si>
  <si>
    <t>ORD-2024-647473</t>
  </si>
  <si>
    <t>ORD-2024-892908</t>
  </si>
  <si>
    <t>ORD-2023-573146</t>
  </si>
  <si>
    <t>ORD-2024-901115</t>
  </si>
  <si>
    <t>ORD-2023-898009</t>
  </si>
  <si>
    <t>ORD-2023-208944</t>
  </si>
  <si>
    <t>ORD-2025-480172</t>
  </si>
  <si>
    <t>ORD-2023-735274</t>
  </si>
  <si>
    <t>ORD-2023-212701</t>
  </si>
  <si>
    <t>ORD-2023-479747</t>
  </si>
  <si>
    <t>ORD-2024-915495</t>
  </si>
  <si>
    <t>ORD-2024-225829</t>
  </si>
  <si>
    <t>ORD-2024-921935</t>
  </si>
  <si>
    <t>ORD-2025-949776</t>
  </si>
  <si>
    <t>ORD-2024-510591</t>
  </si>
  <si>
    <t>ORD-2024-961756</t>
  </si>
  <si>
    <t>ORD-2024-892173</t>
  </si>
  <si>
    <t>ORD-2024-704056</t>
  </si>
  <si>
    <t>ORD-2025-591006</t>
  </si>
  <si>
    <t>ORD-2023-159821</t>
  </si>
  <si>
    <t>ORD-2024-343877</t>
  </si>
  <si>
    <t>ORD-2023-386663</t>
  </si>
  <si>
    <t>ORD-2025-125517</t>
  </si>
  <si>
    <t>ORD-2024-819778</t>
  </si>
  <si>
    <t>ORD-2025-624006</t>
  </si>
  <si>
    <t>ORD-2023-132101</t>
  </si>
  <si>
    <t>ORD-2025-306903</t>
  </si>
  <si>
    <t>ORD-2023-813340</t>
  </si>
  <si>
    <t>ORD-2023-855675</t>
  </si>
  <si>
    <t>ORD-2023-545150</t>
  </si>
  <si>
    <t>ORD-2025-269934</t>
  </si>
  <si>
    <t>ORD-2024-690270</t>
  </si>
  <si>
    <t>ORD-2024-868223</t>
  </si>
  <si>
    <t>ORD-2025-188059</t>
  </si>
  <si>
    <t>ORD-2023-281890</t>
  </si>
  <si>
    <t>ORD-2025-636162</t>
  </si>
  <si>
    <t>ORD-2025-915869</t>
  </si>
  <si>
    <t>ORD-2025-192876</t>
  </si>
  <si>
    <t>ORD-2025-822030</t>
  </si>
  <si>
    <t>ORD-2025-789245</t>
  </si>
  <si>
    <t>ORD-2023-594955</t>
  </si>
  <si>
    <t>ORD-2024-398783</t>
  </si>
  <si>
    <t>ORD-2023-676553</t>
  </si>
  <si>
    <t>ORD-2025-866565</t>
  </si>
  <si>
    <t>ORD-2024-527858</t>
  </si>
  <si>
    <t>ORD-2023-619385</t>
  </si>
  <si>
    <t>ORD-2023-835226</t>
  </si>
  <si>
    <t>ORD-2025-485946</t>
  </si>
  <si>
    <t>ORD-2024-307849</t>
  </si>
  <si>
    <t>ORD-2023-368449</t>
  </si>
  <si>
    <t>ORD-2024-251426</t>
  </si>
  <si>
    <t>ORD-2023-927385</t>
  </si>
  <si>
    <t>ORD-2025-486350</t>
  </si>
  <si>
    <t>ORD-2025-677880</t>
  </si>
  <si>
    <t>ORD-2024-102866</t>
  </si>
  <si>
    <t>ORD-2025-588029</t>
  </si>
  <si>
    <t>ORD-2024-972999</t>
  </si>
  <si>
    <t>ORD-2025-608069</t>
  </si>
  <si>
    <t>ORD-2024-626750</t>
  </si>
  <si>
    <t>ORD-2024-170021</t>
  </si>
  <si>
    <t>ORD-2024-678110</t>
  </si>
  <si>
    <t>ORD-2025-909340</t>
  </si>
  <si>
    <t>ORD-2023-854471</t>
  </si>
  <si>
    <t>ORD-2024-390951</t>
  </si>
  <si>
    <t>ORD-2025-881624</t>
  </si>
  <si>
    <t>ORD-2025-512310</t>
  </si>
  <si>
    <t>ORD-2023-674887</t>
  </si>
  <si>
    <t>ORD-2024-542244</t>
  </si>
  <si>
    <t>ORD-2024-375848</t>
  </si>
  <si>
    <t>ORD-2023-933238</t>
  </si>
  <si>
    <t>ORD-2023-732585</t>
  </si>
  <si>
    <t>ORD-2024-465898</t>
  </si>
  <si>
    <t>ORD-2023-987081</t>
  </si>
  <si>
    <t>ORD-2024-655710</t>
  </si>
  <si>
    <t>ORD-2025-411385</t>
  </si>
  <si>
    <t>ORD-2025-222035</t>
  </si>
  <si>
    <t>ORD-2024-749242</t>
  </si>
  <si>
    <t>ORD-2023-623293</t>
  </si>
  <si>
    <t>ORD-2025-276968</t>
  </si>
  <si>
    <t>ORD-2025-650841</t>
  </si>
  <si>
    <t>ORD-2025-831576</t>
  </si>
  <si>
    <t>ORD-2024-468655</t>
  </si>
  <si>
    <t>ORD-2024-515105</t>
  </si>
  <si>
    <t>ORD-2025-803803</t>
  </si>
  <si>
    <t>ORD-2024-993481</t>
  </si>
  <si>
    <t>ORD-2024-811752</t>
  </si>
  <si>
    <t>ORD-2025-673091</t>
  </si>
  <si>
    <t>ORD-2024-381197</t>
  </si>
  <si>
    <t>ORD-2024-651852</t>
  </si>
  <si>
    <t>ORD-2023-659070</t>
  </si>
  <si>
    <t>ORD-2024-837651</t>
  </si>
  <si>
    <t>ORD-2024-581530</t>
  </si>
  <si>
    <t>ORD-2023-378104</t>
  </si>
  <si>
    <t>ORD-2024-972318</t>
  </si>
  <si>
    <t>ORD-2023-752962</t>
  </si>
  <si>
    <t>ORD-2023-808024</t>
  </si>
  <si>
    <t>ORD-2023-156396</t>
  </si>
  <si>
    <t>ORD-2023-184577</t>
  </si>
  <si>
    <t>ORD-2024-446030</t>
  </si>
  <si>
    <t>ORD-2023-842820</t>
  </si>
  <si>
    <t>ORD-2024-745424</t>
  </si>
  <si>
    <t>ORD-2024-510520</t>
  </si>
  <si>
    <t>ORD-2023-769774</t>
  </si>
  <si>
    <t>ORD-2023-580751</t>
  </si>
  <si>
    <t>ORD-2025-473192</t>
  </si>
  <si>
    <t>ORD-2024-886939</t>
  </si>
  <si>
    <t>ORD-2024-566589</t>
  </si>
  <si>
    <t>ORD-2023-109927</t>
  </si>
  <si>
    <t>ORD-2023-780206</t>
  </si>
  <si>
    <t>ORD-2024-851993</t>
  </si>
  <si>
    <t>ORD-2025-417942</t>
  </si>
  <si>
    <t>ORD-2023-172095</t>
  </si>
  <si>
    <t>ORD-2024-257550</t>
  </si>
  <si>
    <t>ORD-2023-581799</t>
  </si>
  <si>
    <t>ORD-2023-880296</t>
  </si>
  <si>
    <t>ORD-2023-191563</t>
  </si>
  <si>
    <t>ORD-2024-202166</t>
  </si>
  <si>
    <t>ORD-2023-539967</t>
  </si>
  <si>
    <t>ORD-2023-704111</t>
  </si>
  <si>
    <t>ORD-2024-356812</t>
  </si>
  <si>
    <t>ORD-2025-306251</t>
  </si>
  <si>
    <t>ORD-2025-496178</t>
  </si>
  <si>
    <t>ORD-2024-508213</t>
  </si>
  <si>
    <t>ORD-2024-787018</t>
  </si>
  <si>
    <t>ORD-2023-728177</t>
  </si>
  <si>
    <t>ORD-2025-795385</t>
  </si>
  <si>
    <t>ORD-2025-947929</t>
  </si>
  <si>
    <t>ORD-2023-931633</t>
  </si>
  <si>
    <t>ORD-2023-243704</t>
  </si>
  <si>
    <t>ORD-2025-779659</t>
  </si>
  <si>
    <t>ORD-2024-647571</t>
  </si>
  <si>
    <t>ORD-2025-683043</t>
  </si>
  <si>
    <t>ORD-2023-588455</t>
  </si>
  <si>
    <t>ORD-2024-641220</t>
  </si>
  <si>
    <t>ORD-2023-799597</t>
  </si>
  <si>
    <t>ORD-2023-569862</t>
  </si>
  <si>
    <t>ORD-2023-609394</t>
  </si>
  <si>
    <t>ORD-2024-105586</t>
  </si>
  <si>
    <t>ORD-2024-207792</t>
  </si>
  <si>
    <t>ORD-2025-417336</t>
  </si>
  <si>
    <t>ORD-2025-252117</t>
  </si>
  <si>
    <t>ORD-2023-867175</t>
  </si>
  <si>
    <t>ORD-2024-382152</t>
  </si>
  <si>
    <t>ORD-2023-597666</t>
  </si>
  <si>
    <t>ORD-2024-371409</t>
  </si>
  <si>
    <t>ORD-2024-973420</t>
  </si>
  <si>
    <t>ORD-2025-254721</t>
  </si>
  <si>
    <t>ORD-2024-247032</t>
  </si>
  <si>
    <t>ORD-2024-792353</t>
  </si>
  <si>
    <t>ORD-2025-703623</t>
  </si>
  <si>
    <t>ORD-2024-516704</t>
  </si>
  <si>
    <t>ORD-2024-578646</t>
  </si>
  <si>
    <t>ORD-2024-433936</t>
  </si>
  <si>
    <t>ORD-2023-434071</t>
  </si>
  <si>
    <t>ORD-2024-728474</t>
  </si>
  <si>
    <t>ORD-2023-406606</t>
  </si>
  <si>
    <t>ORD-2025-823055</t>
  </si>
  <si>
    <t>ORD-2023-573656</t>
  </si>
  <si>
    <t>ORD-2024-567435</t>
  </si>
  <si>
    <t>ORD-2023-744942</t>
  </si>
  <si>
    <t>ORD-2025-331237</t>
  </si>
  <si>
    <t>ORD-2025-680118</t>
  </si>
  <si>
    <t>ORD-2024-310809</t>
  </si>
  <si>
    <t>ORD-2025-474368</t>
  </si>
  <si>
    <t>ORD-2024-732543</t>
  </si>
  <si>
    <t>ORD-2023-867166</t>
  </si>
  <si>
    <t>ORD-2024-776337</t>
  </si>
  <si>
    <t>ORD-2023-913592</t>
  </si>
  <si>
    <t>ORD-2024-961501</t>
  </si>
  <si>
    <t>ORD-2024-964950</t>
  </si>
  <si>
    <t>ORD-2023-349264</t>
  </si>
  <si>
    <t>ORD-2025-137394</t>
  </si>
  <si>
    <t>ORD-2025-635337</t>
  </si>
  <si>
    <t>ORD-2023-568013</t>
  </si>
  <si>
    <t>ORD-2025-828263</t>
  </si>
  <si>
    <t>ORD-2024-402240</t>
  </si>
  <si>
    <t>ORD-2023-125739</t>
  </si>
  <si>
    <t>ORD-2024-892879</t>
  </si>
  <si>
    <t>ORD-2023-472050</t>
  </si>
  <si>
    <t>ORD-2024-468615</t>
  </si>
  <si>
    <t>ORD-2024-833375</t>
  </si>
  <si>
    <t>ORD-2024-206311</t>
  </si>
  <si>
    <t>ORD-2024-364080</t>
  </si>
  <si>
    <t>ORD-2025-460466</t>
  </si>
  <si>
    <t>ORD-2023-700699</t>
  </si>
  <si>
    <t>ORD-2024-713332</t>
  </si>
  <si>
    <t>ORD-2023-640022</t>
  </si>
  <si>
    <t>ORD-2024-532184</t>
  </si>
  <si>
    <t>ORD-2025-926547</t>
  </si>
  <si>
    <t>ORD-2025-778145</t>
  </si>
  <si>
    <t>ORD-2023-525643</t>
  </si>
  <si>
    <t>ORD-2025-312803</t>
  </si>
  <si>
    <t>ORD-2025-149156</t>
  </si>
  <si>
    <t>ORD-2023-215819</t>
  </si>
  <si>
    <t>ORD-2024-353078</t>
  </si>
  <si>
    <t>ORD-2023-621393</t>
  </si>
  <si>
    <t>ORD-2023-974506</t>
  </si>
  <si>
    <t>ORD-2023-811823</t>
  </si>
  <si>
    <t>ORD-2023-286720</t>
  </si>
  <si>
    <t>ORD-2024-626925</t>
  </si>
  <si>
    <t>ORD-2023-960380</t>
  </si>
  <si>
    <t>ORD-2023-453699</t>
  </si>
  <si>
    <t>ORD-2025-960931</t>
  </si>
  <si>
    <t>ORD-2024-419248</t>
  </si>
  <si>
    <t>ORD-2023-488227</t>
  </si>
  <si>
    <t>ORD-2023-472078</t>
  </si>
  <si>
    <t>ORD-2024-202877</t>
  </si>
  <si>
    <t>ORD-2024-140633</t>
  </si>
  <si>
    <t>ORD-2025-419532</t>
  </si>
  <si>
    <t>ORD-2023-139236</t>
  </si>
  <si>
    <t>ORD-2025-337268</t>
  </si>
  <si>
    <t>ORD-2025-332931</t>
  </si>
  <si>
    <t>ORD-2024-536442</t>
  </si>
  <si>
    <t>ORD-2023-957692</t>
  </si>
  <si>
    <t>ORD-2025-874124</t>
  </si>
  <si>
    <t>ORD-2024-687073</t>
  </si>
  <si>
    <t>ORD-2024-555229</t>
  </si>
  <si>
    <t>ORD-2024-872291</t>
  </si>
  <si>
    <t>ORD-2024-250862</t>
  </si>
  <si>
    <t>ORD-2024-331226</t>
  </si>
  <si>
    <t>ORD-2023-356427</t>
  </si>
  <si>
    <t>ORD-2025-659650</t>
  </si>
  <si>
    <t>ORD-2024-207669</t>
  </si>
  <si>
    <t>ORD-2024-979401</t>
  </si>
  <si>
    <t>ORD-2025-929414</t>
  </si>
  <si>
    <t>ORD-2024-766980</t>
  </si>
  <si>
    <t>ORD-2024-437164</t>
  </si>
  <si>
    <t>ORD-2025-169093</t>
  </si>
  <si>
    <t>ORD-2023-868460</t>
  </si>
  <si>
    <t>ORD-2025-177994</t>
  </si>
  <si>
    <t>ORD-2024-355095</t>
  </si>
  <si>
    <t>ORD-2023-126505</t>
  </si>
  <si>
    <t>ORD-2023-340056</t>
  </si>
  <si>
    <t>ORD-2025-281413</t>
  </si>
  <si>
    <t>ORD-2023-713614</t>
  </si>
  <si>
    <t>ORD-2023-173313</t>
  </si>
  <si>
    <t>ORD-2024-496601</t>
  </si>
  <si>
    <t>ORD-2025-155182</t>
  </si>
  <si>
    <t>ORD-2023-244375</t>
  </si>
  <si>
    <t>ORD-2023-856322</t>
  </si>
  <si>
    <t>ORD-2024-594527</t>
  </si>
  <si>
    <t>ORD-2024-689872</t>
  </si>
  <si>
    <t>ORD-2025-246692</t>
  </si>
  <si>
    <t>ORD-2023-378676</t>
  </si>
  <si>
    <t>ORD-2024-243988</t>
  </si>
  <si>
    <t>ORD-2024-572312</t>
  </si>
  <si>
    <t>ORD-2025-281062</t>
  </si>
  <si>
    <t>ORD-2023-727290</t>
  </si>
  <si>
    <t>ORD-2025-993993</t>
  </si>
  <si>
    <t>ORD-2023-619493</t>
  </si>
  <si>
    <t>ORD-2024-947056</t>
  </si>
  <si>
    <t>ORD-2025-856556</t>
  </si>
  <si>
    <t>ORD-2024-442776</t>
  </si>
  <si>
    <t>ORD-2025-705398</t>
  </si>
  <si>
    <t>ORD-2023-689428</t>
  </si>
  <si>
    <t>ORD-2025-683247</t>
  </si>
  <si>
    <t>ORD-2024-585443</t>
  </si>
  <si>
    <t>ORD-2024-907733</t>
  </si>
  <si>
    <t>ORD-2024-550400</t>
  </si>
  <si>
    <t>ORD-2025-189846</t>
  </si>
  <si>
    <t>ORD-2025-752192</t>
  </si>
  <si>
    <t>ORD-2023-294716</t>
  </si>
  <si>
    <t>ORD-2023-552115</t>
  </si>
  <si>
    <t>ORD-2023-107265</t>
  </si>
  <si>
    <t>ORD-2025-262434</t>
  </si>
  <si>
    <t>ORD-2024-266562</t>
  </si>
  <si>
    <t>ORD-2024-838925</t>
  </si>
  <si>
    <t>ORD-2023-664790</t>
  </si>
  <si>
    <t>ORD-2024-331408</t>
  </si>
  <si>
    <t>ORD-2024-741404</t>
  </si>
  <si>
    <t>ORD-2024-341535</t>
  </si>
  <si>
    <t>ORD-2023-451931</t>
  </si>
  <si>
    <t>ORD-2025-532859</t>
  </si>
  <si>
    <t>ORD-2023-502205</t>
  </si>
  <si>
    <t>ORD-2024-930679</t>
  </si>
  <si>
    <t>ORD-2025-150713</t>
  </si>
  <si>
    <t>ORD-2024-756884</t>
  </si>
  <si>
    <t>ORD-2023-755337</t>
  </si>
  <si>
    <t>ORD-2025-907040</t>
  </si>
  <si>
    <t>ORD-2024-817997</t>
  </si>
  <si>
    <t>ORD-2025-649633</t>
  </si>
  <si>
    <t>ORD-2023-885216</t>
  </si>
  <si>
    <t>ORD-2023-561823</t>
  </si>
  <si>
    <t>ORD-2023-249805</t>
  </si>
  <si>
    <t>ORD-2023-548934</t>
  </si>
  <si>
    <t>ORD-2023-921939</t>
  </si>
  <si>
    <t>ORD-2023-961864</t>
  </si>
  <si>
    <t>ORD-2023-455933</t>
  </si>
  <si>
    <t>ORD-2025-728935</t>
  </si>
  <si>
    <t>Africa</t>
  </si>
  <si>
    <t>Asia</t>
  </si>
  <si>
    <t>Americas</t>
  </si>
  <si>
    <t>Europe</t>
  </si>
  <si>
    <t>Kenya</t>
  </si>
  <si>
    <t>Nigeria</t>
  </si>
  <si>
    <t>Japan</t>
  </si>
  <si>
    <t>Canada</t>
  </si>
  <si>
    <t>India</t>
  </si>
  <si>
    <t>Brazil</t>
  </si>
  <si>
    <t>Germany</t>
  </si>
  <si>
    <t>France</t>
  </si>
  <si>
    <t>United Kingdom</t>
  </si>
  <si>
    <t>China</t>
  </si>
  <si>
    <t>USA</t>
  </si>
  <si>
    <t>South Africa</t>
  </si>
  <si>
    <t>Kisumu</t>
  </si>
  <si>
    <t>Port Harcourt</t>
  </si>
  <si>
    <t>Nairobi</t>
  </si>
  <si>
    <t>Lagos</t>
  </si>
  <si>
    <t>Osaka</t>
  </si>
  <si>
    <t>Toronto</t>
  </si>
  <si>
    <t>Bengaluru</t>
  </si>
  <si>
    <t>Abuja</t>
  </si>
  <si>
    <t>São Paulo</t>
  </si>
  <si>
    <t>Berlin</t>
  </si>
  <si>
    <t>Brasília</t>
  </si>
  <si>
    <t>Marseille</t>
  </si>
  <si>
    <t>Birmingham</t>
  </si>
  <si>
    <t>Mombasa</t>
  </si>
  <si>
    <t>Shenzhen</t>
  </si>
  <si>
    <t>Chicago</t>
  </si>
  <si>
    <t>Nakuru</t>
  </si>
  <si>
    <t>Lyon</t>
  </si>
  <si>
    <t>Delhi</t>
  </si>
  <si>
    <t>Montreal</t>
  </si>
  <si>
    <t>Johannesburg</t>
  </si>
  <si>
    <t>London</t>
  </si>
  <si>
    <t>Munich</t>
  </si>
  <si>
    <t>Shanghai</t>
  </si>
  <si>
    <t>San Francisco</t>
  </si>
  <si>
    <t>Durban</t>
  </si>
  <si>
    <t>Vancouver</t>
  </si>
  <si>
    <t>Tokyo</t>
  </si>
  <si>
    <t>Paris</t>
  </si>
  <si>
    <t>Mumbai</t>
  </si>
  <si>
    <t>Rio de Janeiro</t>
  </si>
  <si>
    <t>Manchester</t>
  </si>
  <si>
    <t>Nagoya</t>
  </si>
  <si>
    <t>Cape Town</t>
  </si>
  <si>
    <t>Hyderabad</t>
  </si>
  <si>
    <t>Austin</t>
  </si>
  <si>
    <t>Frankfurt</t>
  </si>
  <si>
    <t>Beijing</t>
  </si>
  <si>
    <t>New York</t>
  </si>
  <si>
    <t>Corporate</t>
  </si>
  <si>
    <t>Education</t>
  </si>
  <si>
    <t>Non-Profit</t>
  </si>
  <si>
    <t>Consumer</t>
  </si>
  <si>
    <t>Small Business</t>
  </si>
  <si>
    <t>Enterprise</t>
  </si>
  <si>
    <t>Retail</t>
  </si>
  <si>
    <t>Online</t>
  </si>
  <si>
    <t>Marketplace</t>
  </si>
  <si>
    <t>Distributor</t>
  </si>
  <si>
    <t>Direct</t>
  </si>
  <si>
    <t>C. Otieno</t>
  </si>
  <si>
    <t>J. Njeri</t>
  </si>
  <si>
    <t>I. Johnson</t>
  </si>
  <si>
    <t>G. Dubois</t>
  </si>
  <si>
    <t>L. Okafor</t>
  </si>
  <si>
    <t>B. Chen</t>
  </si>
  <si>
    <t>E. Garcia</t>
  </si>
  <si>
    <t>O. Wang</t>
  </si>
  <si>
    <t>A. Patel</t>
  </si>
  <si>
    <t>F. Müller</t>
  </si>
  <si>
    <t>H. Kim</t>
  </si>
  <si>
    <t>K. Singh</t>
  </si>
  <si>
    <t>M. Rossi</t>
  </si>
  <si>
    <t>N. Brown</t>
  </si>
  <si>
    <t>D. Smith</t>
  </si>
  <si>
    <t>Components</t>
  </si>
  <si>
    <t>Printers</t>
  </si>
  <si>
    <t>Networking</t>
  </si>
  <si>
    <t>Phones</t>
  </si>
  <si>
    <t>Laptops</t>
  </si>
  <si>
    <t>Monitors</t>
  </si>
  <si>
    <t>Accessories</t>
  </si>
  <si>
    <t>CMP-8270</t>
  </si>
  <si>
    <t>PRN-9322</t>
  </si>
  <si>
    <t>NET-9666</t>
  </si>
  <si>
    <t>PHN-4556</t>
  </si>
  <si>
    <t>PRN-8041</t>
  </si>
  <si>
    <t>LAP-8555</t>
  </si>
  <si>
    <t>MON-8629</t>
  </si>
  <si>
    <t>PRN-6276</t>
  </si>
  <si>
    <t>MON-6892</t>
  </si>
  <si>
    <t>CMP-3731</t>
  </si>
  <si>
    <t>ACC-7938</t>
  </si>
  <si>
    <t>PHN-7019</t>
  </si>
  <si>
    <t>CMP-3693</t>
  </si>
  <si>
    <t>PRN-8392</t>
  </si>
  <si>
    <t>ACC-1663</t>
  </si>
  <si>
    <t>LAP-1698</t>
  </si>
  <si>
    <t>PRN-6791</t>
  </si>
  <si>
    <t>PHN-1197</t>
  </si>
  <si>
    <t>ACC-8098</t>
  </si>
  <si>
    <t>LAP-3385</t>
  </si>
  <si>
    <t>LAP-9815</t>
  </si>
  <si>
    <t>NET-3255</t>
  </si>
  <si>
    <t>ACC-3961</t>
  </si>
  <si>
    <t>LAP-4987</t>
  </si>
  <si>
    <t>CMP-2693</t>
  </si>
  <si>
    <t>ACC-8683</t>
  </si>
  <si>
    <t>PRN-4170</t>
  </si>
  <si>
    <t>PHN-6854</t>
  </si>
  <si>
    <t>PHN-1784</t>
  </si>
  <si>
    <t>NET-9716</t>
  </si>
  <si>
    <t>CMP-6919</t>
  </si>
  <si>
    <t>PHN-4854</t>
  </si>
  <si>
    <t>NET-7966</t>
  </si>
  <si>
    <t>LAP-9932</t>
  </si>
  <si>
    <t>CMP-1559</t>
  </si>
  <si>
    <t>PRN-4506</t>
  </si>
  <si>
    <t>CMP-7617</t>
  </si>
  <si>
    <t>CMP-8390</t>
  </si>
  <si>
    <t>PRN-7303</t>
  </si>
  <si>
    <t>PRN-6536</t>
  </si>
  <si>
    <t>MON-9967</t>
  </si>
  <si>
    <t>NET-1412</t>
  </si>
  <si>
    <t>PRN-3143</t>
  </si>
  <si>
    <t>PRN-9787</t>
  </si>
  <si>
    <t>CMP-5946</t>
  </si>
  <si>
    <t>NET-2062</t>
  </si>
  <si>
    <t>PRN-2542</t>
  </si>
  <si>
    <t>NET-2365</t>
  </si>
  <si>
    <t>NET-5268</t>
  </si>
  <si>
    <t>PRN-1504</t>
  </si>
  <si>
    <t>ACC-6348</t>
  </si>
  <si>
    <t>MON-4330</t>
  </si>
  <si>
    <t>LAP-7819</t>
  </si>
  <si>
    <t>LAP-3779</t>
  </si>
  <si>
    <t>NET-9989</t>
  </si>
  <si>
    <t>MON-4925</t>
  </si>
  <si>
    <t>LAP-6989</t>
  </si>
  <si>
    <t>ACC-5780</t>
  </si>
  <si>
    <t>ACC-1770</t>
  </si>
  <si>
    <t>ACC-2252</t>
  </si>
  <si>
    <t>CMP-8002</t>
  </si>
  <si>
    <t>CMP-6971</t>
  </si>
  <si>
    <t>PHN-8350</t>
  </si>
  <si>
    <t>MON-5188</t>
  </si>
  <si>
    <t>LAP-3393</t>
  </si>
  <si>
    <t>PHN-4644</t>
  </si>
  <si>
    <t>ACC-9150</t>
  </si>
  <si>
    <t>MON-6870</t>
  </si>
  <si>
    <t>MON-2296</t>
  </si>
  <si>
    <t>CMP-7371</t>
  </si>
  <si>
    <t>ACC-2761</t>
  </si>
  <si>
    <t>LAP-4517</t>
  </si>
  <si>
    <t>LAP-8489</t>
  </si>
  <si>
    <t>NET-1846</t>
  </si>
  <si>
    <t>CMP-5208</t>
  </si>
  <si>
    <t>CMP-1009</t>
  </si>
  <si>
    <t>ACC-4490</t>
  </si>
  <si>
    <t>ACC-9162</t>
  </si>
  <si>
    <t>CMP-5820</t>
  </si>
  <si>
    <t>MON-7943</t>
  </si>
  <si>
    <t>NET-5018</t>
  </si>
  <si>
    <t>PRN-9669</t>
  </si>
  <si>
    <t>CMP-2865</t>
  </si>
  <si>
    <t>MON-3371</t>
  </si>
  <si>
    <t>NET-7166</t>
  </si>
  <si>
    <t>CMP-4531</t>
  </si>
  <si>
    <t>CMP-8196</t>
  </si>
  <si>
    <t>CMP-2854</t>
  </si>
  <si>
    <t>MON-8973</t>
  </si>
  <si>
    <t>MON-2990</t>
  </si>
  <si>
    <t>NET-1966</t>
  </si>
  <si>
    <t>PHN-3482</t>
  </si>
  <si>
    <t>PRN-6490</t>
  </si>
  <si>
    <t>ACC-9038</t>
  </si>
  <si>
    <t>PHN-6954</t>
  </si>
  <si>
    <t>PRN-8970</t>
  </si>
  <si>
    <t>MON-1822</t>
  </si>
  <si>
    <t>ACC-5177</t>
  </si>
  <si>
    <t>NET-1804</t>
  </si>
  <si>
    <t>LAP-3679</t>
  </si>
  <si>
    <t>PHN-8368</t>
  </si>
  <si>
    <t>CMP-8141</t>
  </si>
  <si>
    <t>LAP-7136</t>
  </si>
  <si>
    <t>ACC-2386</t>
  </si>
  <si>
    <t>LAP-5150</t>
  </si>
  <si>
    <t>CMP-8101</t>
  </si>
  <si>
    <t>PHN-8970</t>
  </si>
  <si>
    <t>PHN-2341</t>
  </si>
  <si>
    <t>NET-6387</t>
  </si>
  <si>
    <t>ACC-9820</t>
  </si>
  <si>
    <t>CMP-6392</t>
  </si>
  <si>
    <t>LAP-9230</t>
  </si>
  <si>
    <t>NET-4241</t>
  </si>
  <si>
    <t>ACC-4511</t>
  </si>
  <si>
    <t>NET-3033</t>
  </si>
  <si>
    <t>MON-2828</t>
  </si>
  <si>
    <t>PRN-6429</t>
  </si>
  <si>
    <t>LAP-8214</t>
  </si>
  <si>
    <t>MON-9194</t>
  </si>
  <si>
    <t>LAP-2218</t>
  </si>
  <si>
    <t>NET-6370</t>
  </si>
  <si>
    <t>MON-3745</t>
  </si>
  <si>
    <t>PHN-7924</t>
  </si>
  <si>
    <t>NET-8561</t>
  </si>
  <si>
    <t>CMP-2136</t>
  </si>
  <si>
    <t>CMP-6352</t>
  </si>
  <si>
    <t>CMP-2040</t>
  </si>
  <si>
    <t>CMP-6346</t>
  </si>
  <si>
    <t>PHN-4356</t>
  </si>
  <si>
    <t>NET-4155</t>
  </si>
  <si>
    <t>MON-5179</t>
  </si>
  <si>
    <t>ACC-4056</t>
  </si>
  <si>
    <t>LAP-9782</t>
  </si>
  <si>
    <t>PHN-2875</t>
  </si>
  <si>
    <t>PRN-4788</t>
  </si>
  <si>
    <t>MON-3043</t>
  </si>
  <si>
    <t>CMP-3720</t>
  </si>
  <si>
    <t>PHN-8014</t>
  </si>
  <si>
    <t>PRN-4911</t>
  </si>
  <si>
    <t>ACC-1021</t>
  </si>
  <si>
    <t>MON-2266</t>
  </si>
  <si>
    <t>PHN-8057</t>
  </si>
  <si>
    <t>ACC-7078</t>
  </si>
  <si>
    <t>PRN-4453</t>
  </si>
  <si>
    <t>NET-2394</t>
  </si>
  <si>
    <t>LAP-1525</t>
  </si>
  <si>
    <t>LAP-3278</t>
  </si>
  <si>
    <t>ACC-6543</t>
  </si>
  <si>
    <t>PRN-4432</t>
  </si>
  <si>
    <t>PHN-4568</t>
  </si>
  <si>
    <t>PRN-6178</t>
  </si>
  <si>
    <t>LAP-6342</t>
  </si>
  <si>
    <t>PRN-8175</t>
  </si>
  <si>
    <t>PRN-7089</t>
  </si>
  <si>
    <t>ACC-4124</t>
  </si>
  <si>
    <t>NET-7924</t>
  </si>
  <si>
    <t>NET-8761</t>
  </si>
  <si>
    <t>CMP-3875</t>
  </si>
  <si>
    <t>ACC-3989</t>
  </si>
  <si>
    <t>PHN-9234</t>
  </si>
  <si>
    <t>MON-9906</t>
  </si>
  <si>
    <t>CMP-4610</t>
  </si>
  <si>
    <t>PHN-5445</t>
  </si>
  <si>
    <t>MON-9227</t>
  </si>
  <si>
    <t>PRN-4097</t>
  </si>
  <si>
    <t>MON-6699</t>
  </si>
  <si>
    <t>LAP-1482</t>
  </si>
  <si>
    <t>MON-2100</t>
  </si>
  <si>
    <t>MON-7602</t>
  </si>
  <si>
    <t>CMP-1072</t>
  </si>
  <si>
    <t>ACC-2735</t>
  </si>
  <si>
    <t>CMP-5211</t>
  </si>
  <si>
    <t>CMP-1632</t>
  </si>
  <si>
    <t>LAP-7099</t>
  </si>
  <si>
    <t>PRN-3785</t>
  </si>
  <si>
    <t>MON-6962</t>
  </si>
  <si>
    <t>PRN-5107</t>
  </si>
  <si>
    <t>CMP-9264</t>
  </si>
  <si>
    <t>MON-5259</t>
  </si>
  <si>
    <t>PRN-8137</t>
  </si>
  <si>
    <t>ACC-6777</t>
  </si>
  <si>
    <t>PHN-7488</t>
  </si>
  <si>
    <t>ACC-9591</t>
  </si>
  <si>
    <t>MON-5517</t>
  </si>
  <si>
    <t>MON-8758</t>
  </si>
  <si>
    <t>ACC-3385</t>
  </si>
  <si>
    <t>MON-1593</t>
  </si>
  <si>
    <t>ACC-4631</t>
  </si>
  <si>
    <t>MON-7869</t>
  </si>
  <si>
    <t>MON-4271</t>
  </si>
  <si>
    <t>LAP-5531</t>
  </si>
  <si>
    <t>MON-7511</t>
  </si>
  <si>
    <t>LAP-7979</t>
  </si>
  <si>
    <t>PRN-4983</t>
  </si>
  <si>
    <t>NET-5941</t>
  </si>
  <si>
    <t>MON-6341</t>
  </si>
  <si>
    <t>PHN-9789</t>
  </si>
  <si>
    <t>PHN-5082</t>
  </si>
  <si>
    <t>NET-3460</t>
  </si>
  <si>
    <t>PRN-7019</t>
  </si>
  <si>
    <t>PHN-3159</t>
  </si>
  <si>
    <t>PRN-8604</t>
  </si>
  <si>
    <t>PHN-2013</t>
  </si>
  <si>
    <t>NET-6036</t>
  </si>
  <si>
    <t>MON-4959</t>
  </si>
  <si>
    <t>MON-1663</t>
  </si>
  <si>
    <t>CMP-7256</t>
  </si>
  <si>
    <t>ACC-1659</t>
  </si>
  <si>
    <t>PRN-6068</t>
  </si>
  <si>
    <t>ACC-8999</t>
  </si>
  <si>
    <t>CMP-3978</t>
  </si>
  <si>
    <t>MON-7868</t>
  </si>
  <si>
    <t>PRN-3014</t>
  </si>
  <si>
    <t>PHN-1671</t>
  </si>
  <si>
    <t>ACC-5260</t>
  </si>
  <si>
    <t>NET-7588</t>
  </si>
  <si>
    <t>MON-1572</t>
  </si>
  <si>
    <t>MON-2537</t>
  </si>
  <si>
    <t>PRN-5666</t>
  </si>
  <si>
    <t>PRN-2749</t>
  </si>
  <si>
    <t>CMP-4970</t>
  </si>
  <si>
    <t>ACC-3551</t>
  </si>
  <si>
    <t>CMP-7063</t>
  </si>
  <si>
    <t>NET-1612</t>
  </si>
  <si>
    <t>LAP-9766</t>
  </si>
  <si>
    <t>PHN-7274</t>
  </si>
  <si>
    <t>NET-1645</t>
  </si>
  <si>
    <t>ACC-5079</t>
  </si>
  <si>
    <t>PRN-2098</t>
  </si>
  <si>
    <t>PRN-7049</t>
  </si>
  <si>
    <t>CMP-6925</t>
  </si>
  <si>
    <t>PHN-2787</t>
  </si>
  <si>
    <t>PRN-1141</t>
  </si>
  <si>
    <t>MON-5249</t>
  </si>
  <si>
    <t>CMP-8230</t>
  </si>
  <si>
    <t>PRN-7816</t>
  </si>
  <si>
    <t>PHN-8804</t>
  </si>
  <si>
    <t>CMP-8851</t>
  </si>
  <si>
    <t>PHN-2447</t>
  </si>
  <si>
    <t>LAP-2846</t>
  </si>
  <si>
    <t>PRN-5005</t>
  </si>
  <si>
    <t>PHN-3800</t>
  </si>
  <si>
    <t>LAP-4828</t>
  </si>
  <si>
    <t>PRN-5492</t>
  </si>
  <si>
    <t>PHN-7132</t>
  </si>
  <si>
    <t>PHN-4741</t>
  </si>
  <si>
    <t>LAP-2774</t>
  </si>
  <si>
    <t>MON-2842</t>
  </si>
  <si>
    <t>NET-2628</t>
  </si>
  <si>
    <t>MON-2998</t>
  </si>
  <si>
    <t>CMP-7563</t>
  </si>
  <si>
    <t>LAP-6160</t>
  </si>
  <si>
    <t>MON-4361</t>
  </si>
  <si>
    <t>PRN-2829</t>
  </si>
  <si>
    <t>MON-8939</t>
  </si>
  <si>
    <t>LAP-5009</t>
  </si>
  <si>
    <t>CMP-4807</t>
  </si>
  <si>
    <t>NET-2439</t>
  </si>
  <si>
    <t>MON-7626</t>
  </si>
  <si>
    <t>ACC-3567</t>
  </si>
  <si>
    <t>CMP-4630</t>
  </si>
  <si>
    <t>ACC-1882</t>
  </si>
  <si>
    <t>NET-9125</t>
  </si>
  <si>
    <t>PHN-3819</t>
  </si>
  <si>
    <t>LAP-3490</t>
  </si>
  <si>
    <t>PRN-1276</t>
  </si>
  <si>
    <t>MON-9733</t>
  </si>
  <si>
    <t>CMP-9392</t>
  </si>
  <si>
    <t>PHN-3014</t>
  </si>
  <si>
    <t>PRN-6776</t>
  </si>
  <si>
    <t>ACC-3951</t>
  </si>
  <si>
    <t>MON-1436</t>
  </si>
  <si>
    <t>MON-8651</t>
  </si>
  <si>
    <t>MON-3307</t>
  </si>
  <si>
    <t>PRN-8758</t>
  </si>
  <si>
    <t>LAP-7056</t>
  </si>
  <si>
    <t>NET-5523</t>
  </si>
  <si>
    <t>ACC-8094</t>
  </si>
  <si>
    <t>PHN-6832</t>
  </si>
  <si>
    <t>LAP-2378</t>
  </si>
  <si>
    <t>MON-5424</t>
  </si>
  <si>
    <t>NET-8430</t>
  </si>
  <si>
    <t>PHN-1234</t>
  </si>
  <si>
    <t>LAP-9016</t>
  </si>
  <si>
    <t>LAP-9931</t>
  </si>
  <si>
    <t>PHN-6818</t>
  </si>
  <si>
    <t>PHN-3803</t>
  </si>
  <si>
    <t>NET-9835</t>
  </si>
  <si>
    <t>ACC-6223</t>
  </si>
  <si>
    <t>CMP-8659</t>
  </si>
  <si>
    <t>ACC-4483</t>
  </si>
  <si>
    <t>PRN-8763</t>
  </si>
  <si>
    <t>ACC-8557</t>
  </si>
  <si>
    <t>ACC-1492</t>
  </si>
  <si>
    <t>CMP-3743</t>
  </si>
  <si>
    <t>LAP-1619</t>
  </si>
  <si>
    <t>PRN-7976</t>
  </si>
  <si>
    <t>MON-4326</t>
  </si>
  <si>
    <t>MON-5444</t>
  </si>
  <si>
    <t>ACC-5422</t>
  </si>
  <si>
    <t>CMP-9307</t>
  </si>
  <si>
    <t>PRN-6520</t>
  </si>
  <si>
    <t>NET-1699</t>
  </si>
  <si>
    <t>PHN-5316</t>
  </si>
  <si>
    <t>LAP-4607</t>
  </si>
  <si>
    <t>MON-5276</t>
  </si>
  <si>
    <t>ACC-9533</t>
  </si>
  <si>
    <t>NET-3749</t>
  </si>
  <si>
    <t>PRN-2991</t>
  </si>
  <si>
    <t>LAP-4551</t>
  </si>
  <si>
    <t>MON-6310</t>
  </si>
  <si>
    <t>NET-1166</t>
  </si>
  <si>
    <t>ACC-2903</t>
  </si>
  <si>
    <t>PRN-2293</t>
  </si>
  <si>
    <t>MON-1389</t>
  </si>
  <si>
    <t>CMP-4093</t>
  </si>
  <si>
    <t>PHN-6131</t>
  </si>
  <si>
    <t>NET-4104</t>
  </si>
  <si>
    <t>MON-9319</t>
  </si>
  <si>
    <t>ACC-2988</t>
  </si>
  <si>
    <t>PHN-9399</t>
  </si>
  <si>
    <t>NET-4554</t>
  </si>
  <si>
    <t>NET-5195</t>
  </si>
  <si>
    <t>CMP-9801</t>
  </si>
  <si>
    <t>CMP-3093</t>
  </si>
  <si>
    <t>ACC-2364</t>
  </si>
  <si>
    <t>CMP-5138</t>
  </si>
  <si>
    <t>PHN-2337</t>
  </si>
  <si>
    <t>MON-2993</t>
  </si>
  <si>
    <t>LAP-9024</t>
  </si>
  <si>
    <t>PHN-6307</t>
  </si>
  <si>
    <t>NET-9003</t>
  </si>
  <si>
    <t>ACC-3068</t>
  </si>
  <si>
    <t>ACC-1060</t>
  </si>
  <si>
    <t>PHN-3854</t>
  </si>
  <si>
    <t>PRN-1086</t>
  </si>
  <si>
    <t>PHN-7815</t>
  </si>
  <si>
    <t>PRN-5384</t>
  </si>
  <si>
    <t>ACC-8178</t>
  </si>
  <si>
    <t>MON-1018</t>
  </si>
  <si>
    <t>ACC-1238</t>
  </si>
  <si>
    <t>NET-1816</t>
  </si>
  <si>
    <t>PRN-4893</t>
  </si>
  <si>
    <t>PHN-1717</t>
  </si>
  <si>
    <t>NET-9575</t>
  </si>
  <si>
    <t>LAP-3604</t>
  </si>
  <si>
    <t>ACC-6626</t>
  </si>
  <si>
    <t>PHN-1670</t>
  </si>
  <si>
    <t>CMP-4792</t>
  </si>
  <si>
    <t>LAP-1990</t>
  </si>
  <si>
    <t>PRN-7410</t>
  </si>
  <si>
    <t>MON-4278</t>
  </si>
  <si>
    <t>ACC-5334</t>
  </si>
  <si>
    <t>NET-8957</t>
  </si>
  <si>
    <t>PRN-9960</t>
  </si>
  <si>
    <t>ACC-3103</t>
  </si>
  <si>
    <t>PRN-9490</t>
  </si>
  <si>
    <t>NET-3850</t>
  </si>
  <si>
    <t>ACC-7047</t>
  </si>
  <si>
    <t>PRN-6660</t>
  </si>
  <si>
    <t>ACC-7838</t>
  </si>
  <si>
    <t>PHN-5383</t>
  </si>
  <si>
    <t>LAP-3904</t>
  </si>
  <si>
    <t>MON-5749</t>
  </si>
  <si>
    <t>PRN-3690</t>
  </si>
  <si>
    <t>CMP-7055</t>
  </si>
  <si>
    <t>PHN-6866</t>
  </si>
  <si>
    <t>CMP-3259</t>
  </si>
  <si>
    <t>LAP-6750</t>
  </si>
  <si>
    <t>PRN-3775</t>
  </si>
  <si>
    <t>LAP-2942</t>
  </si>
  <si>
    <t>PHN-2036</t>
  </si>
  <si>
    <t>MON-4373</t>
  </si>
  <si>
    <t>PRN-8657</t>
  </si>
  <si>
    <t>PHN-7974</t>
  </si>
  <si>
    <t>PHN-4915</t>
  </si>
  <si>
    <t>NET-3535</t>
  </si>
  <si>
    <t>CMP-2574</t>
  </si>
  <si>
    <t>NET-7901</t>
  </si>
  <si>
    <t>NET-5482</t>
  </si>
  <si>
    <t>NET-1336</t>
  </si>
  <si>
    <t>PRN-5876</t>
  </si>
  <si>
    <t>NET-3828</t>
  </si>
  <si>
    <t>MON-7622</t>
  </si>
  <si>
    <t>LAP-2806</t>
  </si>
  <si>
    <t>PRN-8850</t>
  </si>
  <si>
    <t>LAP-9100</t>
  </si>
  <si>
    <t>LAP-5763</t>
  </si>
  <si>
    <t>LAP-7320</t>
  </si>
  <si>
    <t>MON-5891</t>
  </si>
  <si>
    <t>PRN-1183</t>
  </si>
  <si>
    <t>CMP-2096</t>
  </si>
  <si>
    <t>PHN-3398</t>
  </si>
  <si>
    <t>CMP-8545</t>
  </si>
  <si>
    <t>ACC-1249</t>
  </si>
  <si>
    <t>MON-9662</t>
  </si>
  <si>
    <t>LAP-8347</t>
  </si>
  <si>
    <t>CMP-6898</t>
  </si>
  <si>
    <t>MON-3504</t>
  </si>
  <si>
    <t>NET-3432</t>
  </si>
  <si>
    <t>PRN-5591</t>
  </si>
  <si>
    <t>CMP-2015</t>
  </si>
  <si>
    <t>LAP-9901</t>
  </si>
  <si>
    <t>CMP-8658</t>
  </si>
  <si>
    <t>MON-2073</t>
  </si>
  <si>
    <t>PRN-9378</t>
  </si>
  <si>
    <t>PHN-5887</t>
  </si>
  <si>
    <t>LAP-8119</t>
  </si>
  <si>
    <t>ACC-9644</t>
  </si>
  <si>
    <t>LAP-7009</t>
  </si>
  <si>
    <t>PRN-1725</t>
  </si>
  <si>
    <t>PHN-8483</t>
  </si>
  <si>
    <t>PHN-3971</t>
  </si>
  <si>
    <t>NET-6578</t>
  </si>
  <si>
    <t>PRN-9975</t>
  </si>
  <si>
    <t>ACC-1075</t>
  </si>
  <si>
    <t>ACC-2902</t>
  </si>
  <si>
    <t>PRN-5815</t>
  </si>
  <si>
    <t>MON-4195</t>
  </si>
  <si>
    <t>PHN-8478</t>
  </si>
  <si>
    <t>PHN-1044</t>
  </si>
  <si>
    <t>LAP-8910</t>
  </si>
  <si>
    <t>PHN-2859</t>
  </si>
  <si>
    <t>PRN-6308</t>
  </si>
  <si>
    <t>LAP-8469</t>
  </si>
  <si>
    <t>LAP-7553</t>
  </si>
  <si>
    <t>PHN-3077</t>
  </si>
  <si>
    <t>MON-3350</t>
  </si>
  <si>
    <t>PHN-5683</t>
  </si>
  <si>
    <t>PRN-2409</t>
  </si>
  <si>
    <t>LAP-8825</t>
  </si>
  <si>
    <t>MON-8697</t>
  </si>
  <si>
    <t>MON-4789</t>
  </si>
  <si>
    <t>NET-7998</t>
  </si>
  <si>
    <t>PHN-8891</t>
  </si>
  <si>
    <t>NET-9832</t>
  </si>
  <si>
    <t>CMP-8604</t>
  </si>
  <si>
    <t>ACC-6594</t>
  </si>
  <si>
    <t>NET-2499</t>
  </si>
  <si>
    <t>PRN-1923</t>
  </si>
  <si>
    <t>PHN-4346</t>
  </si>
  <si>
    <t>ACC-1375</t>
  </si>
  <si>
    <t>PRN-4892</t>
  </si>
  <si>
    <t>PRN-9557</t>
  </si>
  <si>
    <t>PRN-8008</t>
  </si>
  <si>
    <t>LAP-1946</t>
  </si>
  <si>
    <t>MON-7106</t>
  </si>
  <si>
    <t>MON-5386</t>
  </si>
  <si>
    <t>PHN-2436</t>
  </si>
  <si>
    <t>PRN-2301</t>
  </si>
  <si>
    <t>ACC-3645</t>
  </si>
  <si>
    <t>CMP-6811</t>
  </si>
  <si>
    <t>PHN-5675</t>
  </si>
  <si>
    <t>MON-6882</t>
  </si>
  <si>
    <t>ACC-8620</t>
  </si>
  <si>
    <t>PHN-6506</t>
  </si>
  <si>
    <t>MON-5086</t>
  </si>
  <si>
    <t>LAP-4899</t>
  </si>
  <si>
    <t>CMP-3313</t>
  </si>
  <si>
    <t>CMP-6649</t>
  </si>
  <si>
    <t>ACC-5206</t>
  </si>
  <si>
    <t>PRN-6911</t>
  </si>
  <si>
    <t>NET-5270</t>
  </si>
  <si>
    <t>CMP-5658</t>
  </si>
  <si>
    <t>CMP-3938</t>
  </si>
  <si>
    <t>ACC-7671</t>
  </si>
  <si>
    <t>NET-6014</t>
  </si>
  <si>
    <t>CMP-4159</t>
  </si>
  <si>
    <t>PRN-3159</t>
  </si>
  <si>
    <t>PRN-9488</t>
  </si>
  <si>
    <t>PRN-7079</t>
  </si>
  <si>
    <t>CMP-1220</t>
  </si>
  <si>
    <t>MON-2462</t>
  </si>
  <si>
    <t>PHN-9465</t>
  </si>
  <si>
    <t>PRN-1271</t>
  </si>
  <si>
    <t>LAP-1066</t>
  </si>
  <si>
    <t>CMP-8675</t>
  </si>
  <si>
    <t>LAP-1178</t>
  </si>
  <si>
    <t>ACC-1731</t>
  </si>
  <si>
    <t>NET-1893</t>
  </si>
  <si>
    <t>PRN-3917</t>
  </si>
  <si>
    <t>LAP-3220</t>
  </si>
  <si>
    <t>PHN-2462</t>
  </si>
  <si>
    <t>NET-2894</t>
  </si>
  <si>
    <t>CMP-2335</t>
  </si>
  <si>
    <t>PHN-5938</t>
  </si>
  <si>
    <t>PRN-1371</t>
  </si>
  <si>
    <t>PRN-5813</t>
  </si>
  <si>
    <t>PHN-6480</t>
  </si>
  <si>
    <t>ACC-2990</t>
  </si>
  <si>
    <t>CMP-5435</t>
  </si>
  <si>
    <t>ACC-1596</t>
  </si>
  <si>
    <t>PHN-7852</t>
  </si>
  <si>
    <t>ACC-7240</t>
  </si>
  <si>
    <t>MON-8867</t>
  </si>
  <si>
    <t>NET-1228</t>
  </si>
  <si>
    <t>NET-1145</t>
  </si>
  <si>
    <t>ACC-2867</t>
  </si>
  <si>
    <t>MON-9274</t>
  </si>
  <si>
    <t>MON-4830</t>
  </si>
  <si>
    <t>PHN-9107</t>
  </si>
  <si>
    <t>PRN-1060</t>
  </si>
  <si>
    <t>NET-8329</t>
  </si>
  <si>
    <t>NET-6269</t>
  </si>
  <si>
    <t>CMP-6529</t>
  </si>
  <si>
    <t>PHN-8776</t>
  </si>
  <si>
    <t>NET-3728</t>
  </si>
  <si>
    <t>LAP-3565</t>
  </si>
  <si>
    <t>LAP-5078</t>
  </si>
  <si>
    <t>MON-2465</t>
  </si>
  <si>
    <t>CMP-3223</t>
  </si>
  <si>
    <t>CMP-8127</t>
  </si>
  <si>
    <t>PHN-1924</t>
  </si>
  <si>
    <t>CMP-1156</t>
  </si>
  <si>
    <t>LAP-3905</t>
  </si>
  <si>
    <t>PRN-1786</t>
  </si>
  <si>
    <t>ACC-3349</t>
  </si>
  <si>
    <t>NET-4228</t>
  </si>
  <si>
    <t>CMP-5633</t>
  </si>
  <si>
    <t>CMP-5825</t>
  </si>
  <si>
    <t>LAP-6499</t>
  </si>
  <si>
    <t>ACC-3721</t>
  </si>
  <si>
    <t>MON-6190</t>
  </si>
  <si>
    <t>CMP-2410</t>
  </si>
  <si>
    <t>PRN-2641</t>
  </si>
  <si>
    <t>PRN-1882</t>
  </si>
  <si>
    <t>PRN-1641</t>
  </si>
  <si>
    <t>LAP-1739</t>
  </si>
  <si>
    <t>PRN-4732</t>
  </si>
  <si>
    <t>NET-9569</t>
  </si>
  <si>
    <t>PHN-3007</t>
  </si>
  <si>
    <t>MON-9216</t>
  </si>
  <si>
    <t>PHN-8072</t>
  </si>
  <si>
    <t>LAP-1308</t>
  </si>
  <si>
    <t>LAP-7353</t>
  </si>
  <si>
    <t>NET-6533</t>
  </si>
  <si>
    <t>ACC-9445</t>
  </si>
  <si>
    <t>PRN-1654</t>
  </si>
  <si>
    <t>NET-8787</t>
  </si>
  <si>
    <t>LAP-1989</t>
  </si>
  <si>
    <t>MON-8688</t>
  </si>
  <si>
    <t>ACC-8242</t>
  </si>
  <si>
    <t>LAP-4666</t>
  </si>
  <si>
    <t>NET-5196</t>
  </si>
  <si>
    <t>MON-8422</t>
  </si>
  <si>
    <t>ACC-3415</t>
  </si>
  <si>
    <t>PRN-9624</t>
  </si>
  <si>
    <t>MON-6287</t>
  </si>
  <si>
    <t>NET-4491</t>
  </si>
  <si>
    <t>MON-4317</t>
  </si>
  <si>
    <t>NET-7349</t>
  </si>
  <si>
    <t>ACC-5150</t>
  </si>
  <si>
    <t>ACC-5144</t>
  </si>
  <si>
    <t>PHN-6111</t>
  </si>
  <si>
    <t>ACC-9283</t>
  </si>
  <si>
    <t>PRN-2407</t>
  </si>
  <si>
    <t>MON-7099</t>
  </si>
  <si>
    <t>ACC-7354</t>
  </si>
  <si>
    <t>PRN-6585</t>
  </si>
  <si>
    <t>CMP-9498</t>
  </si>
  <si>
    <t>PHN-1919</t>
  </si>
  <si>
    <t>MON-6053</t>
  </si>
  <si>
    <t>NET-2502</t>
  </si>
  <si>
    <t>LAP-5689</t>
  </si>
  <si>
    <t>CMP-5911</t>
  </si>
  <si>
    <t>LAP-7523</t>
  </si>
  <si>
    <t>MON-1118</t>
  </si>
  <si>
    <t>NET-9177</t>
  </si>
  <si>
    <t>CMP-6495</t>
  </si>
  <si>
    <t>ACC-4587</t>
  </si>
  <si>
    <t>PHN-4395</t>
  </si>
  <si>
    <t>LAP-3581</t>
  </si>
  <si>
    <t>MON-6065</t>
  </si>
  <si>
    <t>CMP-4945</t>
  </si>
  <si>
    <t>NET-3785</t>
  </si>
  <si>
    <t>NET-3689</t>
  </si>
  <si>
    <t>ACC-3833</t>
  </si>
  <si>
    <t>NET-2932</t>
  </si>
  <si>
    <t>PHN-7636</t>
  </si>
  <si>
    <t>CMP-1223</t>
  </si>
  <si>
    <t>MON-7207</t>
  </si>
  <si>
    <t>LAP-4483</t>
  </si>
  <si>
    <t>LAP-1969</t>
  </si>
  <si>
    <t>PHN-4566</t>
  </si>
  <si>
    <t>PHN-5366</t>
  </si>
  <si>
    <t>CMP-9001</t>
  </si>
  <si>
    <t>PHN-9677</t>
  </si>
  <si>
    <t>ACC-1604</t>
  </si>
  <si>
    <t>ACC-4815</t>
  </si>
  <si>
    <t>CMP-5311</t>
  </si>
  <si>
    <t>NET-1282</t>
  </si>
  <si>
    <t>MON-1564</t>
  </si>
  <si>
    <t>ACC-7906</t>
  </si>
  <si>
    <t>LAP-6577</t>
  </si>
  <si>
    <t>CMP-5065</t>
  </si>
  <si>
    <t>PRN-4787</t>
  </si>
  <si>
    <t>PRN-9867</t>
  </si>
  <si>
    <t>MON-2849</t>
  </si>
  <si>
    <t>LAP-8633</t>
  </si>
  <si>
    <t>PRN-9793</t>
  </si>
  <si>
    <t>NET-6218</t>
  </si>
  <si>
    <t>PRN-6131</t>
  </si>
  <si>
    <t>PRN-5067</t>
  </si>
  <si>
    <t>LAP-4932</t>
  </si>
  <si>
    <t>ACC-7713</t>
  </si>
  <si>
    <t>PHN-7379</t>
  </si>
  <si>
    <t>PRN-5569</t>
  </si>
  <si>
    <t>CMP-1470</t>
  </si>
  <si>
    <t>PRN-9249</t>
  </si>
  <si>
    <t>PRN-4906</t>
  </si>
  <si>
    <t>MON-8129</t>
  </si>
  <si>
    <t>NET-5987</t>
  </si>
  <si>
    <t>NET-5423</t>
  </si>
  <si>
    <t>PRN-5264</t>
  </si>
  <si>
    <t>NET-8856</t>
  </si>
  <si>
    <t>MON-4215</t>
  </si>
  <si>
    <t>PRN-5753</t>
  </si>
  <si>
    <t>CMP-5006</t>
  </si>
  <si>
    <t>ACC-4766</t>
  </si>
  <si>
    <t>NET-8610</t>
  </si>
  <si>
    <t>NET-4675</t>
  </si>
  <si>
    <t>ACC-1028</t>
  </si>
  <si>
    <t>NET-4735</t>
  </si>
  <si>
    <t>NET-2460</t>
  </si>
  <si>
    <t>CMP-1555</t>
  </si>
  <si>
    <t>MON-3773</t>
  </si>
  <si>
    <t>PHN-4677</t>
  </si>
  <si>
    <t>CMP-1940</t>
  </si>
  <si>
    <t>PHN-9184</t>
  </si>
  <si>
    <t>LAP-3017</t>
  </si>
  <si>
    <t>Assignment</t>
  </si>
  <si>
    <t>Excel Mastery Assignment: Sales Operations &amp; Analytics</t>
  </si>
  <si>
    <t>Overview:</t>
  </si>
  <si>
    <t>You are an analyst for a multi-regional electronics distributor. The 'Data' sheet contains 632 rows and 15 columns of transactional data with intentional data-quality issues.</t>
  </si>
  <si>
    <t>Your job is to clean, enrich, analyze, and present insights via a dynamic dashboard.</t>
  </si>
  <si>
    <t>Part A — Data Cleaning &amp; Preparation:</t>
  </si>
  <si>
    <t>1) Create a staging table where you:</t>
  </si>
  <si>
    <t xml:space="preserve">   • Remove exact duplicate rows (define and document your duplicate criteria).</t>
  </si>
  <si>
    <t xml:space="preserve">   • Fix data types (dates as Dates, numeric fields as numbers).</t>
  </si>
  <si>
    <t xml:space="preserve">   • Handle missing values for City, Salesperson, and Channel using reasonable business logic (document your approach).</t>
  </si>
  <si>
    <t xml:space="preserve">   • Flag and correct suspicious UnitPrice values (e.g., negative prices) and discounts (e.g., &gt; 30%).</t>
  </si>
  <si>
    <t xml:space="preserve">   • Ensure RequiredDate is not earlier than OrderDate; where it is, impute a corrected RequiredDate (explain your rule).</t>
  </si>
  <si>
    <t xml:space="preserve">   • Add a derived 'LeadTimeDays' = RequiredDate − OrderDate (in days).</t>
  </si>
  <si>
    <t>2) Create calculated columns (do these in Excel, not by formula in the data source):</t>
  </si>
  <si>
    <t xml:space="preserve">   • GrossRevenue = UnitPrice × Quantity × (1 − DiscountPct).</t>
  </si>
  <si>
    <t xml:space="preserve">   • CostOfGoods = UnitCost × Quantity.</t>
  </si>
  <si>
    <t xml:space="preserve">   • GrossProfit = GrossRevenue − CostOfGoods.</t>
  </si>
  <si>
    <t xml:space="preserve">   • MarginPct = IF(GrossRevenue=0, 0, GrossProfit / GrossRevenue).</t>
  </si>
  <si>
    <t>3) Create standardized dimensions:</t>
  </si>
  <si>
    <t xml:space="preserve">   • Month (MMM-YYYY) from OrderDate.</t>
  </si>
  <si>
    <t xml:space="preserve">   • Quarter (e.g., Q1-2024).</t>
  </si>
  <si>
    <t xml:space="preserve">   • Region hierarchy: Region → Country → City.</t>
  </si>
  <si>
    <t xml:space="preserve">   • ProductCategory and a derived 'PriceBand' (e.g., Low/Medium/High using quantiles).</t>
  </si>
  <si>
    <t>Part B — Analysis Tasks (show workings with PivotTables / formulas):</t>
  </si>
  <si>
    <t>4) Build a cohort of first-time sales by Country and Month:</t>
  </si>
  <si>
    <t xml:space="preserve">   • Identify the first month each Country appears and calculate monthly revenue tracked from that start (cohort analysis).</t>
  </si>
  <si>
    <t>5) ABC analysis by SKU within each ProductCategory using GrossRevenue:</t>
  </si>
  <si>
    <t xml:space="preserve">   • Classify SKUs into A (top 80%), B (next 15%), C (last 5%) of revenue per category.</t>
  </si>
  <si>
    <t>6) Salesperson productivity:</t>
  </si>
  <si>
    <t xml:space="preserve">   • Compute Revenue/Order, Orders/Month, and GrossProfit/Order by Salesperson; highlight the top and bottom 3.</t>
  </si>
  <si>
    <t>7) Channel mix &amp; cannibalization:</t>
  </si>
  <si>
    <t xml:space="preserve">   • Compare revenue shares by Channel across Regions; identify where online cannibalizes retail (justify with data).</t>
  </si>
  <si>
    <t>8) Service level proxy:</t>
  </si>
  <si>
    <t xml:space="preserve">   • Using LeadTimeDays, determine % of orders meeting a 7-day target by Country and Category.</t>
  </si>
  <si>
    <t>9) Price compliance:</t>
  </si>
  <si>
    <t xml:space="preserve">   • Share of orders with DiscountPct &gt; 20% by Region and Salesperson; list outliers.</t>
  </si>
  <si>
    <t>Part C — Scenario Modeling (What-If):</t>
  </si>
  <si>
    <t>10) Build a What-If control panel (slider/cell inputs):</t>
  </si>
  <si>
    <t xml:space="preserve">   • Global Discount Cap (e.g., 0%–25%).</t>
  </si>
  <si>
    <t xml:space="preserve">   • UnitCost inflation factor (e.g., 0%–15%).</t>
  </si>
  <si>
    <t xml:space="preserve">   • Quantity uplift (e.g., 0%–20%).</t>
  </si>
  <si>
    <t xml:space="preserve">   Recalculate Revenue and Profit metrics under these scenarios and compare to the baseline.</t>
  </si>
  <si>
    <t>Part D — Interactive Dashboard:</t>
  </si>
  <si>
    <t>11) Create a single-page dashboard with:</t>
  </si>
  <si>
    <t xml:space="preserve">   • Slicers for Region, Country, Channel, ProductCategory, Month, and Salesperson.</t>
  </si>
  <si>
    <t xml:space="preserve">   • KPIs: Total Revenue, Gross Profit, Margin %, Avg Order Value, On-Time % (LeadTimeDays ≤ 7).</t>
  </si>
  <si>
    <t xml:space="preserve">   • Visuals:</t>
  </si>
  <si>
    <t xml:space="preserve">       – Revenue by Month (line chart).</t>
  </si>
  <si>
    <t xml:space="preserve">       – Profit by Region and Channel (stacked column).</t>
  </si>
  <si>
    <t xml:space="preserve">       – Top 10 SKUs by Revenue (bar).</t>
  </si>
  <si>
    <t xml:space="preserve">       – Discount Outliers (box/whisker or scatter) — if Excel version permits, else alternative view.</t>
  </si>
  <si>
    <t xml:space="preserve">   • Dynamic titles reflecting applied filters.</t>
  </si>
  <si>
    <t>12) Tell a story:</t>
  </si>
  <si>
    <t xml:space="preserve">   • Write 5–8 bullet insights derived from the dashboard; include at least one insight per Region.</t>
  </si>
  <si>
    <t>Part E — Submission Checklist:</t>
  </si>
  <si>
    <t>13) Include a 'ReadMe' sheet summarizing: data issues found, cleaning rules, and assumptions.</t>
  </si>
  <si>
    <t>14) Ensure all measures are built with Excel formulas or Power Pivot (no hard-coded totals).</t>
  </si>
  <si>
    <t>15) Ensure your dashboard responds to slicers without broken references.</t>
  </si>
  <si>
    <r>
      <t xml:space="preserve">1) Create a staging table where you: </t>
    </r>
    <r>
      <rPr>
        <sz val="11"/>
        <color theme="4"/>
        <rFont val="Calibri"/>
        <family val="2"/>
        <scheme val="minor"/>
      </rPr>
      <t>A staging table was created by duplicating the raw data sheet to preserve data integrity. All steps were conducted on the staging table while keeping the original data unchanged.</t>
    </r>
  </si>
  <si>
    <r>
      <t xml:space="preserve">   • Fix data types (dates as Dates, numeric fields as numbers). - </t>
    </r>
    <r>
      <rPr>
        <sz val="11"/>
        <color theme="4"/>
        <rFont val="Calibri"/>
        <family val="2"/>
        <scheme val="minor"/>
      </rPr>
      <t>Chart, formulas, and Pivot Tables break if data types are wrong.</t>
    </r>
  </si>
  <si>
    <t>Unknown</t>
  </si>
  <si>
    <r>
      <t xml:space="preserve">   • Add a derived 'LeadTimeDays' = RequiredDate − OrderDate (in days). </t>
    </r>
    <r>
      <rPr>
        <sz val="11"/>
        <color theme="4"/>
        <rFont val="Calibri"/>
        <family val="2"/>
        <scheme val="minor"/>
      </rPr>
      <t>A derived column, LeadTimeDays, was created to measure the number of days between the OrderDate and the RequiredDate. This metric provides insight into order fulfillment timelines and enables analysis of delivery performance. Since date inconsistencies were resolved earlier, the calculated lead time is accurate and reliable.</t>
    </r>
  </si>
  <si>
    <t>Gross Revenue</t>
  </si>
  <si>
    <t>Cost of Goods</t>
  </si>
  <si>
    <t>Margin Pct</t>
  </si>
  <si>
    <t>Row Labels</t>
  </si>
  <si>
    <t>Grand Total</t>
  </si>
  <si>
    <t>Sum of Gross Revenue</t>
  </si>
  <si>
    <t>Count of OrderID</t>
  </si>
  <si>
    <t>Green - Top 3</t>
  </si>
  <si>
    <t>Red - Bottom 3</t>
  </si>
  <si>
    <t>Column Labels</t>
  </si>
  <si>
    <r>
      <t xml:space="preserve">   • Global Discount Cap (e.g., 0%–25%). </t>
    </r>
    <r>
      <rPr>
        <sz val="11"/>
        <color theme="4"/>
        <rFont val="Calibri"/>
        <family val="2"/>
        <scheme val="minor"/>
      </rPr>
      <t>Capped the discount at 20%</t>
    </r>
  </si>
  <si>
    <t>2023</t>
  </si>
  <si>
    <t>2024</t>
  </si>
  <si>
    <t>2025</t>
  </si>
  <si>
    <r>
      <t xml:space="preserve">   • Remove exact duplicate rows (define and document your duplicate criteria). - </t>
    </r>
    <r>
      <rPr>
        <sz val="11"/>
        <color theme="4"/>
        <rFont val="Calibri"/>
        <family val="2"/>
        <scheme val="minor"/>
      </rPr>
      <t>Rows were considered duplicates if Order ID were identical.</t>
    </r>
  </si>
  <si>
    <r>
      <t xml:space="preserve">   • Handle missing values for City, Salesperson, and Channel using reasonable business logic (document your approach). - </t>
    </r>
    <r>
      <rPr>
        <sz val="11"/>
        <color theme="4"/>
        <rFont val="Calibri"/>
        <family val="2"/>
        <scheme val="minor"/>
      </rPr>
      <t>Some records in the dataset contained missing values in key categorical fields, namely City, Salesperson, and Channel. These fields are essential for geographic, performance, and channel-level analysis, and leaving them blank would negatively affect reporting and dashboard accuracy.
To address this, missing values were handled using reasonable business logic rather than deleting records or making assumptions. Blank values were replaced with standardized placeholder label such as “Unknown”. This approach preserves all valid transactions while clearly indicating that the original information was not available.
By standardizing missing values, the dataset remains complete, consistent, and suitable for aggregation and comparison, without introducing misleading or incorrect data.</t>
    </r>
  </si>
  <si>
    <r>
      <t xml:space="preserve">   • Flag and correct suspicious UnitPrice values (e.g., negative prices) and discounts (e.g., &gt; 30%). </t>
    </r>
    <r>
      <rPr>
        <sz val="11"/>
        <color theme="4"/>
        <rFont val="Calibri"/>
        <family val="2"/>
        <scheme val="minor"/>
      </rPr>
      <t xml:space="preserve">Some records contained suspicious pricing values, including negative unit prices and discounts exceeding 30%. Negative unit prices were treated as data entry errors and corrected by Finding and Replacing them to positive values. Discounts above 30% were considered unusually high based on standard business practices and were capped at 30% to prevent distortion of revenue and margin calculations. These corrections ensured realistic pricing while preserving all valid transaction records. </t>
    </r>
  </si>
  <si>
    <t>Correct_Required_Date</t>
  </si>
  <si>
    <r>
      <t xml:space="preserve">   • Ensure RequiredDate is not earlier than OrderDate; where it is, impute a corrected RequiredDate (explain your rule). </t>
    </r>
    <r>
      <rPr>
        <sz val="11"/>
        <color theme="4"/>
        <rFont val="Calibri"/>
        <family val="2"/>
        <scheme val="minor"/>
      </rPr>
      <t xml:space="preserve">Some records contained RequiredDate values that were earlier than the corresponding OrderDate, which is logically invalid. These records were corrected by resetting the RequiredDate to a reasonable lead time of seven days after the OrderDate through the use of IF function and named the column "Correct_Required_Date". This ensured chronological consistency while maintaining realistic delivery expectations. </t>
    </r>
  </si>
  <si>
    <t>LeadtimeDays</t>
  </si>
  <si>
    <t>I used arithmetic functions to calculate the first three and IF function on the last part. After getting the figures, I copied and pasted the colunms in the same colunm as values to elimate formula in the data source.</t>
  </si>
  <si>
    <r>
      <t xml:space="preserve">   • Month (MMM-YYYY) from OrderDate. </t>
    </r>
    <r>
      <rPr>
        <sz val="11"/>
        <color theme="4"/>
        <rFont val="Calibri"/>
        <family val="2"/>
        <scheme val="minor"/>
      </rPr>
      <t>Achieved by selecting the data type as Date with the (MMM-YYYY) option.</t>
    </r>
  </si>
  <si>
    <t>Quarter</t>
  </si>
  <si>
    <r>
      <t xml:space="preserve">   • Quarter (e.g., Q1-2024). </t>
    </r>
    <r>
      <rPr>
        <sz val="11"/>
        <color theme="4"/>
        <rFont val="Calibri"/>
        <family val="2"/>
        <scheme val="minor"/>
      </rPr>
      <t>Since every three months equals one quarter, I divided the month number by 3 and rounded up</t>
    </r>
    <r>
      <rPr>
        <sz val="11"/>
        <color theme="1"/>
        <rFont val="Calibri"/>
        <family val="2"/>
        <scheme val="minor"/>
      </rPr>
      <t xml:space="preserve"> </t>
    </r>
    <r>
      <rPr>
        <sz val="11"/>
        <color theme="4"/>
        <rFont val="Calibri"/>
        <family val="2"/>
        <scheme val="minor"/>
      </rPr>
      <t>as shown</t>
    </r>
    <r>
      <rPr>
        <sz val="11"/>
        <color theme="1"/>
        <rFont val="Calibri"/>
        <family val="2"/>
        <scheme val="minor"/>
      </rPr>
      <t xml:space="preserve"> ="Q"&amp;ROUNDUP(MONTH(B2)/3,0)&amp;"-"&amp;YEAR(B2)</t>
    </r>
  </si>
  <si>
    <t>Priceband</t>
  </si>
  <si>
    <t>Qtr1</t>
  </si>
  <si>
    <t>Jan</t>
  </si>
  <si>
    <t>Feb</t>
  </si>
  <si>
    <t>Mar</t>
  </si>
  <si>
    <t>Qtr2</t>
  </si>
  <si>
    <t>Qtr3</t>
  </si>
  <si>
    <t>Qtr4</t>
  </si>
  <si>
    <t>Cohort</t>
  </si>
  <si>
    <r>
      <t xml:space="preserve">   • Classify SKUs into A (top 80%), B (next 15%), C (last 5%) of revenue per category. </t>
    </r>
    <r>
      <rPr>
        <sz val="11"/>
        <color theme="4"/>
        <rFont val="Calibri"/>
        <family val="2"/>
        <scheme val="minor"/>
      </rPr>
      <t>I used Product Category, SKU, and Gross Revenue, then sorted both product category and SKU from largest to smallest. After that, I highligted SKU top 80% green, 15% yellow, and the last 5% red for each product category.</t>
    </r>
    <r>
      <rPr>
        <sz val="11"/>
        <color theme="1"/>
        <rFont val="Calibri"/>
        <family val="2"/>
        <scheme val="minor"/>
      </rPr>
      <t xml:space="preserve"> </t>
    </r>
  </si>
  <si>
    <t xml:space="preserve">   • Identify the first month each Country appears and calculate monthly revenue tracked from that start (cohort analysis). </t>
  </si>
  <si>
    <t>Sum of Gross Profit</t>
  </si>
  <si>
    <t>Salesperson productivity</t>
  </si>
  <si>
    <t>ABC analysis by SKU within each ProductCategory using GrossRevenue</t>
  </si>
  <si>
    <t>80% - Green</t>
  </si>
  <si>
    <t>15% - Yellow</t>
  </si>
  <si>
    <t>5% - Red</t>
  </si>
  <si>
    <t>Channel mix &amp; cannibalization</t>
  </si>
  <si>
    <t>Service Level</t>
  </si>
  <si>
    <t>Count of Service Level</t>
  </si>
  <si>
    <t>Delayed</t>
  </si>
  <si>
    <t>On-time</t>
  </si>
  <si>
    <t>Service level proxy</t>
  </si>
  <si>
    <t>Created a new column "Service Level" to categorize leadtime into on-time and delayed using the IF function</t>
  </si>
  <si>
    <t>Price Compliance</t>
  </si>
  <si>
    <t>Count of Price Compliance</t>
  </si>
  <si>
    <t>Compliant Discount</t>
  </si>
  <si>
    <t>Non-compliant Discount</t>
  </si>
  <si>
    <r>
      <t xml:space="preserve"> </t>
    </r>
    <r>
      <rPr>
        <b/>
        <sz val="11"/>
        <color theme="1"/>
        <rFont val="Calibri"/>
        <family val="2"/>
        <scheme val="minor"/>
      </rPr>
      <t>Price compliance</t>
    </r>
  </si>
  <si>
    <t>Discount Cap</t>
  </si>
  <si>
    <t>Cost Inflation</t>
  </si>
  <si>
    <t>Quantity Uplift</t>
  </si>
  <si>
    <t>Value</t>
  </si>
  <si>
    <t>Paraemeter</t>
  </si>
  <si>
    <t>Input Cell</t>
  </si>
  <si>
    <t>New Discount</t>
  </si>
  <si>
    <t>New Quantity</t>
  </si>
  <si>
    <t>New Gross Revenue</t>
  </si>
  <si>
    <t xml:space="preserve"> Profit</t>
  </si>
  <si>
    <t>New Unit Cost</t>
  </si>
  <si>
    <t>New Unit Price</t>
  </si>
  <si>
    <t>New Profit</t>
  </si>
  <si>
    <t>I used Data Validation to restrict scenario inputs within realistic business limits, ensuring controlled and consistent what-if analysis across all transactions.</t>
  </si>
  <si>
    <r>
      <t xml:space="preserve">   • UnitCost inflation factor (e.g., 0%–15%). </t>
    </r>
    <r>
      <rPr>
        <sz val="11"/>
        <color theme="4"/>
        <rFont val="Calibri"/>
        <family val="2"/>
        <scheme val="minor"/>
      </rPr>
      <t>Applied a 10% inflation across the board.</t>
    </r>
  </si>
  <si>
    <r>
      <t xml:space="preserve">   • Quantity uplift (e.g., 0%–20%). </t>
    </r>
    <r>
      <rPr>
        <sz val="11"/>
        <color theme="4"/>
        <rFont val="Calibri"/>
        <family val="2"/>
        <scheme val="minor"/>
      </rPr>
      <t>Applied a 5% uplift across the board.</t>
    </r>
  </si>
  <si>
    <t xml:space="preserve">   Recalculate Revenue and Profit metrics under these scenarios and compare to the baseline. </t>
  </si>
  <si>
    <t>Create a single-page dashboard with:</t>
  </si>
  <si>
    <r>
      <t xml:space="preserve">   • Using LeadTimeDays, determine % of orders meeting a 7-day target by Country and Category. </t>
    </r>
    <r>
      <rPr>
        <sz val="11"/>
        <color theme="4"/>
        <rFont val="Calibri"/>
        <family val="2"/>
        <scheme val="minor"/>
      </rPr>
      <t>Created a new column "Service Level" to categorize leadtime into on-time and delayed using the IF function</t>
    </r>
  </si>
  <si>
    <t>Apr</t>
  </si>
  <si>
    <t>May</t>
  </si>
  <si>
    <t>Jun</t>
  </si>
  <si>
    <t>Jul</t>
  </si>
  <si>
    <t>Aug</t>
  </si>
  <si>
    <t>Sep</t>
  </si>
  <si>
    <t>Oct</t>
  </si>
  <si>
    <t>Nov</t>
  </si>
  <si>
    <t>Dec</t>
  </si>
  <si>
    <t>Sum of  Profit</t>
  </si>
  <si>
    <t>Month</t>
  </si>
  <si>
    <t>Sum of Cost of Goods</t>
  </si>
  <si>
    <t>Year</t>
  </si>
  <si>
    <t>Asia had the highest profit and direct channel contributed the highest percentage of this profit.</t>
  </si>
  <si>
    <t>Sum of New Gross Revenue</t>
  </si>
  <si>
    <t>Sum of New Profit</t>
  </si>
  <si>
    <t>Africa had the lowest delayed service delivery and on-time delivery, but also contributed the least to sales in terms of order numbers.</t>
  </si>
  <si>
    <t>Average of Cost of Goods</t>
  </si>
  <si>
    <t>On Average Americas has the cheapest cost of goods, therefore, a good region to consider for production. But if we were to consider the cheapest country, then Japan has the cheapest cost of goods on average.</t>
  </si>
  <si>
    <t>Tell a story:</t>
  </si>
  <si>
    <t>Part E — Submission Checklist</t>
  </si>
  <si>
    <t>The scenario Revenue is higher than the baseline revenue, but the profit is lower.</t>
  </si>
  <si>
    <t xml:space="preserve">In the Americas, online sales cannibalize retail sales, with each contributing 6.38% &amp; 2.80%, respectively. </t>
  </si>
  <si>
    <t>27.26% of the orders met the 7-day target.</t>
  </si>
  <si>
    <t>1. Africa had the lowest delayed service delivery and on-time delivery, but also contributed the least in terms of order numbers.</t>
  </si>
  <si>
    <t>2. On Average Americas has the cheapest cost of goods, therefore, a good region to consider for production. But if we were to consider the cheapest country, then Japan has the cheapest cost of goods on average.</t>
  </si>
  <si>
    <t>3. Asia had the highest profit and direct channel contributed the highest percentage of this profit.</t>
  </si>
  <si>
    <t>4. In terms of favorable sales channels, distributors are higher in Africa, direct in the Americas and Europe, and Retail in Asia.</t>
  </si>
  <si>
    <t>5. Asia contributed a higher percentage of the discount totals offered across the regions.</t>
  </si>
  <si>
    <t>6. 2024 was the year when the cost of goods was high, but it also had higher profits.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</si>
</sst>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0.00_);_(* \(#,##0.00\);_(* &quot;-&quot;??_);_(@_)"/>
    <numFmt numFmtId="164" formatCode="yyyy\-mm\-dd"/>
    <numFmt numFmtId="165" formatCode="0.000"/>
    <numFmt numFmtId="166" formatCode="[$-409]mmm\-yy;@"/>
  </numFmts>
  <fonts count="4" x14ac:knownFonts="1">
    <font>
      <sz val="11"/>
      <color theme="1"/>
      <name val="Calibri"/>
      <family val="2"/>
      <scheme val="minor"/>
    </font>
    <font>
      <b/>
      <sz val="11"/>
      <color theme="1"/>
      <name val="Calibri"/>
      <family val="2"/>
      <scheme val="minor"/>
    </font>
    <font>
      <sz val="11"/>
      <color theme="4"/>
      <name val="Calibri"/>
      <family val="2"/>
      <scheme val="minor"/>
    </font>
    <font>
      <b/>
      <sz val="11"/>
      <color theme="0"/>
      <name val="Calibri"/>
      <family val="2"/>
      <scheme val="minor"/>
    </font>
  </fonts>
  <fills count="6">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6"/>
        <bgColor indexed="64"/>
      </patternFill>
    </fill>
  </fills>
  <borders count="9">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thin">
        <color theme="0"/>
      </left>
      <right/>
      <top style="thin">
        <color theme="0"/>
      </top>
      <bottom/>
      <diagonal/>
    </border>
    <border>
      <left style="thin">
        <color auto="1"/>
      </left>
      <right/>
      <top style="thin">
        <color auto="1"/>
      </top>
      <bottom/>
      <diagonal/>
    </border>
    <border>
      <left style="thin">
        <color auto="1"/>
      </left>
      <right style="thin">
        <color auto="1"/>
      </right>
      <top style="thin">
        <color auto="1"/>
      </top>
      <bottom/>
      <diagonal/>
    </border>
    <border>
      <left style="thin">
        <color theme="0"/>
      </left>
      <right/>
      <top style="thin">
        <color auto="1"/>
      </top>
      <bottom/>
      <diagonal/>
    </border>
    <border>
      <left/>
      <right/>
      <top style="thin">
        <color theme="0"/>
      </top>
      <bottom/>
      <diagonal/>
    </border>
    <border>
      <left style="thin">
        <color auto="1"/>
      </left>
      <right/>
      <top/>
      <bottom/>
      <diagonal/>
    </border>
  </borders>
  <cellStyleXfs count="1">
    <xf numFmtId="0" fontId="0" fillId="0" borderId="0"/>
  </cellStyleXfs>
  <cellXfs count="57">
    <xf numFmtId="0" fontId="0" fillId="0" borderId="0" xfId="0"/>
    <xf numFmtId="0" fontId="1" fillId="0" borderId="1" xfId="0" applyFont="1" applyBorder="1" applyAlignment="1">
      <alignment horizontal="center" vertical="top"/>
    </xf>
    <xf numFmtId="164" fontId="0" fillId="0" borderId="0" xfId="0" applyNumberFormat="1"/>
    <xf numFmtId="49" fontId="0" fillId="0" borderId="0" xfId="0" applyNumberFormat="1"/>
    <xf numFmtId="14" fontId="0" fillId="0" borderId="0" xfId="0" applyNumberFormat="1"/>
    <xf numFmtId="2" fontId="0" fillId="0" borderId="0" xfId="0" applyNumberFormat="1"/>
    <xf numFmtId="10" fontId="0" fillId="0" borderId="0" xfId="0" applyNumberFormat="1"/>
    <xf numFmtId="1" fontId="0" fillId="0" borderId="0" xfId="0" applyNumberFormat="1"/>
    <xf numFmtId="0" fontId="0" fillId="0" borderId="0" xfId="0" applyAlignment="1">
      <alignment wrapText="1"/>
    </xf>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43" fontId="0" fillId="0" borderId="0" xfId="0" applyNumberFormat="1"/>
    <xf numFmtId="1" fontId="0" fillId="3" borderId="3" xfId="0" applyNumberFormat="1" applyFont="1" applyFill="1" applyBorder="1"/>
    <xf numFmtId="1" fontId="0" fillId="4" borderId="3" xfId="0" applyNumberFormat="1" applyFont="1" applyFill="1" applyBorder="1"/>
    <xf numFmtId="0" fontId="1" fillId="0" borderId="0" xfId="0" applyFont="1" applyAlignment="1">
      <alignment horizontal="center"/>
    </xf>
    <xf numFmtId="49" fontId="3" fillId="2" borderId="4" xfId="0" applyNumberFormat="1" applyFont="1" applyFill="1" applyBorder="1" applyAlignment="1">
      <alignment horizontal="center" vertical="top"/>
    </xf>
    <xf numFmtId="14" fontId="3" fillId="2" borderId="4" xfId="0" applyNumberFormat="1" applyFont="1" applyFill="1" applyBorder="1" applyAlignment="1">
      <alignment horizontal="center" vertical="top"/>
    </xf>
    <xf numFmtId="1" fontId="3" fillId="2" borderId="4" xfId="0" applyNumberFormat="1" applyFont="1" applyFill="1" applyBorder="1" applyAlignment="1">
      <alignment horizontal="center" vertical="top"/>
    </xf>
    <xf numFmtId="0" fontId="3" fillId="2" borderId="4" xfId="0" applyFont="1" applyFill="1" applyBorder="1" applyAlignment="1">
      <alignment horizontal="center" vertical="top"/>
    </xf>
    <xf numFmtId="2" fontId="3" fillId="2" borderId="4" xfId="0" applyNumberFormat="1" applyFont="1" applyFill="1" applyBorder="1" applyAlignment="1">
      <alignment horizontal="center" vertical="top"/>
    </xf>
    <xf numFmtId="1" fontId="3" fillId="2" borderId="5" xfId="0" applyNumberFormat="1" applyFont="1" applyFill="1" applyBorder="1" applyAlignment="1">
      <alignment horizontal="center" vertical="top"/>
    </xf>
    <xf numFmtId="49" fontId="0" fillId="3" borderId="2" xfId="0" applyNumberFormat="1" applyFont="1" applyFill="1" applyBorder="1"/>
    <xf numFmtId="14" fontId="0" fillId="3" borderId="6" xfId="0" applyNumberFormat="1" applyFont="1" applyFill="1" applyBorder="1"/>
    <xf numFmtId="1" fontId="0" fillId="3" borderId="6" xfId="0" applyNumberFormat="1" applyFont="1" applyFill="1" applyBorder="1"/>
    <xf numFmtId="0" fontId="0" fillId="3" borderId="6" xfId="0" applyFont="1" applyFill="1" applyBorder="1"/>
    <xf numFmtId="49" fontId="0" fillId="3" borderId="6" xfId="0" applyNumberFormat="1" applyFont="1" applyFill="1" applyBorder="1"/>
    <xf numFmtId="2" fontId="0" fillId="3" borderId="6" xfId="0" applyNumberFormat="1" applyFont="1" applyFill="1" applyBorder="1"/>
    <xf numFmtId="49" fontId="0" fillId="4" borderId="7" xfId="0" applyNumberFormat="1" applyFont="1" applyFill="1" applyBorder="1"/>
    <xf numFmtId="14" fontId="0" fillId="4" borderId="3" xfId="0" applyNumberFormat="1" applyFont="1" applyFill="1" applyBorder="1"/>
    <xf numFmtId="0" fontId="0" fillId="4" borderId="3" xfId="0" applyFont="1" applyFill="1" applyBorder="1"/>
    <xf numFmtId="49" fontId="0" fillId="4" borderId="3" xfId="0" applyNumberFormat="1" applyFont="1" applyFill="1" applyBorder="1"/>
    <xf numFmtId="2" fontId="0" fillId="4" borderId="3" xfId="0" applyNumberFormat="1" applyFont="1" applyFill="1" applyBorder="1"/>
    <xf numFmtId="49" fontId="0" fillId="3" borderId="7" xfId="0" applyNumberFormat="1" applyFont="1" applyFill="1" applyBorder="1"/>
    <xf numFmtId="14" fontId="0" fillId="3" borderId="3" xfId="0" applyNumberFormat="1" applyFont="1" applyFill="1" applyBorder="1"/>
    <xf numFmtId="0" fontId="0" fillId="3" borderId="3" xfId="0" applyFont="1" applyFill="1" applyBorder="1"/>
    <xf numFmtId="49" fontId="0" fillId="3" borderId="3" xfId="0" applyNumberFormat="1" applyFont="1" applyFill="1" applyBorder="1"/>
    <xf numFmtId="2" fontId="0" fillId="3" borderId="3" xfId="0" applyNumberFormat="1" applyFont="1" applyFill="1" applyBorder="1"/>
    <xf numFmtId="165" fontId="3" fillId="2" borderId="4" xfId="0" applyNumberFormat="1" applyFont="1" applyFill="1" applyBorder="1" applyAlignment="1">
      <alignment horizontal="center" vertical="top"/>
    </xf>
    <xf numFmtId="165" fontId="0" fillId="3" borderId="6" xfId="0" applyNumberFormat="1" applyFont="1" applyFill="1" applyBorder="1"/>
    <xf numFmtId="165" fontId="0" fillId="4" borderId="3" xfId="0" applyNumberFormat="1" applyFont="1" applyFill="1" applyBorder="1"/>
    <xf numFmtId="165" fontId="0" fillId="3" borderId="3" xfId="0" applyNumberFormat="1" applyFont="1" applyFill="1" applyBorder="1"/>
    <xf numFmtId="0" fontId="2" fillId="0" borderId="0" xfId="0" applyFont="1" applyAlignment="1">
      <alignment wrapText="1"/>
    </xf>
    <xf numFmtId="166" fontId="3" fillId="2" borderId="4" xfId="0" applyNumberFormat="1" applyFont="1" applyFill="1" applyBorder="1" applyAlignment="1">
      <alignment horizontal="center" vertical="top"/>
    </xf>
    <xf numFmtId="166" fontId="0" fillId="3" borderId="6" xfId="0" applyNumberFormat="1" applyFont="1" applyFill="1" applyBorder="1"/>
    <xf numFmtId="166" fontId="0" fillId="4" borderId="3" xfId="0" applyNumberFormat="1" applyFont="1" applyFill="1" applyBorder="1"/>
    <xf numFmtId="166" fontId="0" fillId="3" borderId="3" xfId="0" applyNumberFormat="1" applyFont="1" applyFill="1" applyBorder="1"/>
    <xf numFmtId="0" fontId="0" fillId="0" borderId="0" xfId="0" applyAlignment="1">
      <alignment horizontal="left" indent="2"/>
    </xf>
    <xf numFmtId="166" fontId="0" fillId="0" borderId="0" xfId="0" applyNumberFormat="1" applyAlignment="1">
      <alignment horizontal="left" indent="3"/>
    </xf>
    <xf numFmtId="0" fontId="1" fillId="0" borderId="0" xfId="0" applyFont="1"/>
    <xf numFmtId="2" fontId="3" fillId="2" borderId="8" xfId="0" applyNumberFormat="1" applyFont="1" applyFill="1" applyBorder="1" applyAlignment="1">
      <alignment horizontal="center" vertical="top"/>
    </xf>
    <xf numFmtId="0" fontId="2" fillId="0" borderId="0" xfId="0" applyFont="1"/>
    <xf numFmtId="166" fontId="0" fillId="0" borderId="0" xfId="0" applyNumberFormat="1" applyAlignment="1">
      <alignment horizontal="left"/>
    </xf>
    <xf numFmtId="0" fontId="0" fillId="5" borderId="0" xfId="0" applyFill="1"/>
  </cellXfs>
  <cellStyles count="1">
    <cellStyle name="Normal" xfId="0" builtinId="0"/>
  </cellStyles>
  <dxfs count="80">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font>
        <color rgb="FF9C0006"/>
      </font>
      <fill>
        <patternFill>
          <bgColor rgb="FFFFC7CE"/>
        </patternFill>
      </fill>
    </dxf>
    <dxf>
      <font>
        <color rgb="FF006100"/>
      </font>
      <fill>
        <patternFill>
          <bgColor rgb="FFC6EFCE"/>
        </patternFill>
      </fill>
    </dxf>
    <dxf>
      <fill>
        <patternFill>
          <bgColor rgb="FFFFC7CE"/>
        </patternFill>
      </fill>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fill>
        <patternFill patternType="solid">
          <bgColor rgb="FFFF0000"/>
        </patternFill>
      </fill>
    </dxf>
    <dxf>
      <fill>
        <patternFill patternType="solid">
          <bgColor rgb="FFFF0000"/>
        </patternFill>
      </fill>
    </dxf>
    <dxf>
      <fill>
        <patternFill patternType="solid">
          <bgColor rgb="FFFFFF00"/>
        </patternFill>
      </fill>
    </dxf>
    <dxf>
      <fill>
        <patternFill patternType="solid">
          <bgColor rgb="FFFFFF0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FF0000"/>
        </patternFill>
      </fill>
    </dxf>
    <dxf>
      <fill>
        <patternFill patternType="solid">
          <bgColor rgb="FFFF0000"/>
        </patternFill>
      </fill>
    </dxf>
    <dxf>
      <fill>
        <patternFill patternType="solid">
          <bgColor rgb="FFFFFF00"/>
        </patternFill>
      </fill>
    </dxf>
    <dxf>
      <fill>
        <patternFill patternType="solid">
          <bgColor rgb="FFFFFF00"/>
        </patternFill>
      </fill>
    </dxf>
    <dxf>
      <fill>
        <patternFill>
          <bgColor rgb="FF00B050"/>
        </patternFill>
      </fill>
    </dxf>
    <dxf>
      <fill>
        <patternFill>
          <bgColor rgb="FF00B050"/>
        </patternFill>
      </fill>
    </dxf>
    <dxf>
      <fill>
        <patternFill>
          <bgColor rgb="FF00B05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0000"/>
        </patternFill>
      </fill>
    </dxf>
    <dxf>
      <fill>
        <patternFill patternType="solid">
          <bgColor rgb="FFFF0000"/>
        </patternFill>
      </fill>
    </dxf>
    <dxf>
      <fill>
        <patternFill>
          <bgColor rgb="FFFFFF00"/>
        </patternFill>
      </fill>
    </dxf>
    <dxf>
      <fill>
        <patternFill>
          <bgColor rgb="FFFFFF0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FF0000"/>
        </patternFill>
      </fill>
    </dxf>
    <dxf>
      <fill>
        <patternFill patternType="solid">
          <bgColor rgb="FFFF0000"/>
        </patternFill>
      </fill>
    </dxf>
    <dxf>
      <fill>
        <patternFill patternType="solid">
          <bgColor rgb="FFFFFF00"/>
        </patternFill>
      </fill>
    </dxf>
    <dxf>
      <fill>
        <patternFill patternType="solid">
          <bgColor rgb="FFFFFF0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FFFF00"/>
        </patternFill>
      </fill>
    </dxf>
    <dxf>
      <fill>
        <patternFill patternType="solid">
          <bgColor rgb="FFFFFF00"/>
        </patternFill>
      </fill>
    </dxf>
    <dxf>
      <fill>
        <patternFill patternType="solid">
          <bgColor rgb="FFFF0000"/>
        </patternFill>
      </fill>
    </dxf>
    <dxf>
      <fill>
        <patternFill patternType="solid">
          <bgColor rgb="FFFF0000"/>
        </patternFill>
      </fill>
    </dxf>
    <dxf>
      <fill>
        <patternFill patternType="solid">
          <bgColor rgb="FFFFFF00"/>
        </patternFill>
      </fill>
    </dxf>
    <dxf>
      <fill>
        <patternFill patternType="solid">
          <bgColor rgb="FFFFFF0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FF0000"/>
        </patternFill>
      </fill>
    </dxf>
    <dxf>
      <fill>
        <patternFill patternType="solid">
          <bgColor rgb="FFFF0000"/>
        </patternFill>
      </fill>
    </dxf>
    <dxf>
      <fill>
        <patternFill patternType="solid">
          <bgColor rgb="FFFFFF00"/>
        </patternFill>
      </fill>
    </dxf>
    <dxf>
      <fill>
        <patternFill patternType="solid">
          <bgColor rgb="FFFFFF0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FF0000"/>
        </patternFill>
      </fill>
    </dxf>
    <dxf>
      <fill>
        <patternFill>
          <bgColor rgb="FFFFFF00"/>
        </patternFill>
      </fill>
    </dxf>
    <dxf>
      <fill>
        <patternFill>
          <bgColor rgb="FFFFFF00"/>
        </patternFill>
      </fill>
    </dxf>
    <dxf>
      <fill>
        <patternFill>
          <bgColor rgb="FF00B050"/>
        </patternFill>
      </fill>
    </dxf>
    <dxf>
      <fill>
        <patternFill>
          <bgColor rgb="FF00B050"/>
        </patternFill>
      </fill>
    </dxf>
    <dxf>
      <fill>
        <patternFill>
          <bgColor rgb="FF00B050"/>
        </patternFill>
      </fill>
    </dxf>
    <dxf>
      <fill>
        <patternFill patternType="solid">
          <bgColor rgb="FFFF0000"/>
        </patternFill>
      </fill>
    </dxf>
    <dxf>
      <fill>
        <patternFill patternType="solid">
          <bgColor rgb="FFFFFF00"/>
        </patternFill>
      </fill>
    </dxf>
    <dxf>
      <fill>
        <patternFill patternType="solid">
          <bgColor rgb="FF00B05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4.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6.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microsoft.com/office/2007/relationships/slicerCache" Target="slicerCaches/slicerCache5.xml"/><Relationship Id="rId28"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4.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Brief_Final.xlsx]Visuals!PivotTable1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a:t>
            </a:r>
            <a:r>
              <a:rPr lang="en-US" b="1" baseline="0"/>
              <a:t> Revenue by Month</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Visuals!$B$1</c:f>
              <c:strCache>
                <c:ptCount val="1"/>
                <c:pt idx="0">
                  <c:v>Total</c:v>
                </c:pt>
              </c:strCache>
            </c:strRef>
          </c:tx>
          <c:spPr>
            <a:ln w="28575" cap="rnd">
              <a:solidFill>
                <a:schemeClr val="accent1"/>
              </a:solidFill>
              <a:round/>
            </a:ln>
            <a:effectLst/>
          </c:spPr>
          <c:marker>
            <c:symbol val="none"/>
          </c:marker>
          <c:cat>
            <c:strRef>
              <c:f>Visuals!$A$2:$A$14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Visuals!$B$2:$B$14</c:f>
              <c:numCache>
                <c:formatCode>_(* #,##0.00_);_(* \(#,##0.00\);_(* "-"??_);_(@_)</c:formatCode>
                <c:ptCount val="12"/>
                <c:pt idx="0">
                  <c:v>488911.36176</c:v>
                </c:pt>
                <c:pt idx="1">
                  <c:v>677282.25381000014</c:v>
                </c:pt>
                <c:pt idx="2">
                  <c:v>498738.63784999994</c:v>
                </c:pt>
                <c:pt idx="3">
                  <c:v>570270.51699999999</c:v>
                </c:pt>
                <c:pt idx="4">
                  <c:v>830367.30819999997</c:v>
                </c:pt>
                <c:pt idx="5">
                  <c:v>827973.07824000006</c:v>
                </c:pt>
                <c:pt idx="6">
                  <c:v>767274.62873</c:v>
                </c:pt>
                <c:pt idx="7">
                  <c:v>723335.63210999977</c:v>
                </c:pt>
                <c:pt idx="8">
                  <c:v>571228.88926000008</c:v>
                </c:pt>
                <c:pt idx="9">
                  <c:v>395504.22655999998</c:v>
                </c:pt>
                <c:pt idx="10">
                  <c:v>480783.25222999987</c:v>
                </c:pt>
                <c:pt idx="11">
                  <c:v>543596.09927999997</c:v>
                </c:pt>
              </c:numCache>
            </c:numRef>
          </c:val>
          <c:smooth val="0"/>
          <c:extLst>
            <c:ext xmlns:c16="http://schemas.microsoft.com/office/drawing/2014/chart" uri="{C3380CC4-5D6E-409C-BE32-E72D297353CC}">
              <c16:uniqueId val="{00000000-B90F-4CA8-AA4C-8E62FAC7D816}"/>
            </c:ext>
          </c:extLst>
        </c:ser>
        <c:dLbls>
          <c:showLegendKey val="0"/>
          <c:showVal val="0"/>
          <c:showCatName val="0"/>
          <c:showSerName val="0"/>
          <c:showPercent val="0"/>
          <c:showBubbleSize val="0"/>
        </c:dLbls>
        <c:smooth val="0"/>
        <c:axId val="1829374480"/>
        <c:axId val="1829377392"/>
      </c:lineChart>
      <c:catAx>
        <c:axId val="1829374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9377392"/>
        <c:crosses val="autoZero"/>
        <c:auto val="1"/>
        <c:lblAlgn val="ctr"/>
        <c:lblOffset val="100"/>
        <c:noMultiLvlLbl val="0"/>
      </c:catAx>
      <c:valAx>
        <c:axId val="1829377392"/>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937448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3">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Brief_Final.xlsx]Visuals!PivotTable2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Profit</a:t>
            </a:r>
            <a:r>
              <a:rPr lang="en-US" b="1" baseline="0"/>
              <a:t> by Region &amp; Channel</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s>
    <c:plotArea>
      <c:layout/>
      <c:barChart>
        <c:barDir val="col"/>
        <c:grouping val="stacked"/>
        <c:varyColors val="0"/>
        <c:ser>
          <c:idx val="0"/>
          <c:order val="0"/>
          <c:tx>
            <c:strRef>
              <c:f>Visuals!$B$18:$B$19</c:f>
              <c:strCache>
                <c:ptCount val="1"/>
                <c:pt idx="0">
                  <c:v>Direct</c:v>
                </c:pt>
              </c:strCache>
            </c:strRef>
          </c:tx>
          <c:spPr>
            <a:solidFill>
              <a:schemeClr val="accent1"/>
            </a:solidFill>
            <a:ln>
              <a:noFill/>
            </a:ln>
            <a:effectLst/>
          </c:spPr>
          <c:invertIfNegative val="0"/>
          <c:cat>
            <c:strRef>
              <c:f>Visuals!$A$20:$A$24</c:f>
              <c:strCache>
                <c:ptCount val="4"/>
                <c:pt idx="0">
                  <c:v>Africa</c:v>
                </c:pt>
                <c:pt idx="1">
                  <c:v>Americas</c:v>
                </c:pt>
                <c:pt idx="2">
                  <c:v>Asia</c:v>
                </c:pt>
                <c:pt idx="3">
                  <c:v>Europe</c:v>
                </c:pt>
              </c:strCache>
            </c:strRef>
          </c:cat>
          <c:val>
            <c:numRef>
              <c:f>Visuals!$B$20:$B$24</c:f>
              <c:numCache>
                <c:formatCode>_(* #,##0.00_);_(* \(#,##0.00\);_(* "-"??_);_(@_)</c:formatCode>
                <c:ptCount val="4"/>
                <c:pt idx="0">
                  <c:v>114753.82736999998</c:v>
                </c:pt>
                <c:pt idx="1">
                  <c:v>213382.23493000004</c:v>
                </c:pt>
                <c:pt idx="2">
                  <c:v>229541.94635999994</c:v>
                </c:pt>
                <c:pt idx="3">
                  <c:v>228322.70002000002</c:v>
                </c:pt>
              </c:numCache>
            </c:numRef>
          </c:val>
          <c:extLst>
            <c:ext xmlns:c16="http://schemas.microsoft.com/office/drawing/2014/chart" uri="{C3380CC4-5D6E-409C-BE32-E72D297353CC}">
              <c16:uniqueId val="{00000000-2976-4238-A920-58090601ACF5}"/>
            </c:ext>
          </c:extLst>
        </c:ser>
        <c:ser>
          <c:idx val="1"/>
          <c:order val="1"/>
          <c:tx>
            <c:strRef>
              <c:f>Visuals!$C$18:$C$19</c:f>
              <c:strCache>
                <c:ptCount val="1"/>
                <c:pt idx="0">
                  <c:v>Distributor</c:v>
                </c:pt>
              </c:strCache>
            </c:strRef>
          </c:tx>
          <c:spPr>
            <a:solidFill>
              <a:schemeClr val="accent2"/>
            </a:solidFill>
            <a:ln>
              <a:noFill/>
            </a:ln>
            <a:effectLst/>
          </c:spPr>
          <c:invertIfNegative val="0"/>
          <c:cat>
            <c:strRef>
              <c:f>Visuals!$A$20:$A$24</c:f>
              <c:strCache>
                <c:ptCount val="4"/>
                <c:pt idx="0">
                  <c:v>Africa</c:v>
                </c:pt>
                <c:pt idx="1">
                  <c:v>Americas</c:v>
                </c:pt>
                <c:pt idx="2">
                  <c:v>Asia</c:v>
                </c:pt>
                <c:pt idx="3">
                  <c:v>Europe</c:v>
                </c:pt>
              </c:strCache>
            </c:strRef>
          </c:cat>
          <c:val>
            <c:numRef>
              <c:f>Visuals!$C$20:$C$24</c:f>
              <c:numCache>
                <c:formatCode>_(* #,##0.00_);_(* \(#,##0.00\);_(* "-"??_);_(@_)</c:formatCode>
                <c:ptCount val="4"/>
                <c:pt idx="0">
                  <c:v>69059.79926</c:v>
                </c:pt>
                <c:pt idx="1">
                  <c:v>133853.27601</c:v>
                </c:pt>
                <c:pt idx="2">
                  <c:v>151146.74599</c:v>
                </c:pt>
                <c:pt idx="3">
                  <c:v>58419.243300000002</c:v>
                </c:pt>
              </c:numCache>
            </c:numRef>
          </c:val>
          <c:extLst>
            <c:ext xmlns:c16="http://schemas.microsoft.com/office/drawing/2014/chart" uri="{C3380CC4-5D6E-409C-BE32-E72D297353CC}">
              <c16:uniqueId val="{00000000-C1C2-4A67-A89E-8292FDA11A38}"/>
            </c:ext>
          </c:extLst>
        </c:ser>
        <c:ser>
          <c:idx val="2"/>
          <c:order val="2"/>
          <c:tx>
            <c:strRef>
              <c:f>Visuals!$D$18:$D$19</c:f>
              <c:strCache>
                <c:ptCount val="1"/>
                <c:pt idx="0">
                  <c:v>Marketplace</c:v>
                </c:pt>
              </c:strCache>
            </c:strRef>
          </c:tx>
          <c:spPr>
            <a:solidFill>
              <a:schemeClr val="accent3"/>
            </a:solidFill>
            <a:ln>
              <a:noFill/>
            </a:ln>
            <a:effectLst/>
          </c:spPr>
          <c:invertIfNegative val="0"/>
          <c:cat>
            <c:strRef>
              <c:f>Visuals!$A$20:$A$24</c:f>
              <c:strCache>
                <c:ptCount val="4"/>
                <c:pt idx="0">
                  <c:v>Africa</c:v>
                </c:pt>
                <c:pt idx="1">
                  <c:v>Americas</c:v>
                </c:pt>
                <c:pt idx="2">
                  <c:v>Asia</c:v>
                </c:pt>
                <c:pt idx="3">
                  <c:v>Europe</c:v>
                </c:pt>
              </c:strCache>
            </c:strRef>
          </c:cat>
          <c:val>
            <c:numRef>
              <c:f>Visuals!$D$20:$D$24</c:f>
              <c:numCache>
                <c:formatCode>_(* #,##0.00_);_(* \(#,##0.00\);_(* "-"??_);_(@_)</c:formatCode>
                <c:ptCount val="4"/>
                <c:pt idx="0">
                  <c:v>2699.9740400000019</c:v>
                </c:pt>
                <c:pt idx="1">
                  <c:v>63182.299699999996</c:v>
                </c:pt>
                <c:pt idx="2">
                  <c:v>132709.51273000002</c:v>
                </c:pt>
                <c:pt idx="3">
                  <c:v>35348.873150000029</c:v>
                </c:pt>
              </c:numCache>
            </c:numRef>
          </c:val>
          <c:extLst>
            <c:ext xmlns:c16="http://schemas.microsoft.com/office/drawing/2014/chart" uri="{C3380CC4-5D6E-409C-BE32-E72D297353CC}">
              <c16:uniqueId val="{00000001-C1C2-4A67-A89E-8292FDA11A38}"/>
            </c:ext>
          </c:extLst>
        </c:ser>
        <c:ser>
          <c:idx val="3"/>
          <c:order val="3"/>
          <c:tx>
            <c:strRef>
              <c:f>Visuals!$E$18:$E$19</c:f>
              <c:strCache>
                <c:ptCount val="1"/>
                <c:pt idx="0">
                  <c:v>Online</c:v>
                </c:pt>
              </c:strCache>
            </c:strRef>
          </c:tx>
          <c:spPr>
            <a:solidFill>
              <a:schemeClr val="accent4"/>
            </a:solidFill>
            <a:ln>
              <a:noFill/>
            </a:ln>
            <a:effectLst/>
          </c:spPr>
          <c:invertIfNegative val="0"/>
          <c:cat>
            <c:strRef>
              <c:f>Visuals!$A$20:$A$24</c:f>
              <c:strCache>
                <c:ptCount val="4"/>
                <c:pt idx="0">
                  <c:v>Africa</c:v>
                </c:pt>
                <c:pt idx="1">
                  <c:v>Americas</c:v>
                </c:pt>
                <c:pt idx="2">
                  <c:v>Asia</c:v>
                </c:pt>
                <c:pt idx="3">
                  <c:v>Europe</c:v>
                </c:pt>
              </c:strCache>
            </c:strRef>
          </c:cat>
          <c:val>
            <c:numRef>
              <c:f>Visuals!$E$20:$E$24</c:f>
              <c:numCache>
                <c:formatCode>_(* #,##0.00_);_(* \(#,##0.00\);_(* "-"??_);_(@_)</c:formatCode>
                <c:ptCount val="4"/>
                <c:pt idx="0">
                  <c:v>50056.937190000004</c:v>
                </c:pt>
                <c:pt idx="1">
                  <c:v>183963.85606999998</c:v>
                </c:pt>
                <c:pt idx="2">
                  <c:v>149042.38968999998</c:v>
                </c:pt>
                <c:pt idx="3">
                  <c:v>102995.33366999998</c:v>
                </c:pt>
              </c:numCache>
            </c:numRef>
          </c:val>
          <c:extLst>
            <c:ext xmlns:c16="http://schemas.microsoft.com/office/drawing/2014/chart" uri="{C3380CC4-5D6E-409C-BE32-E72D297353CC}">
              <c16:uniqueId val="{00000002-C1C2-4A67-A89E-8292FDA11A38}"/>
            </c:ext>
          </c:extLst>
        </c:ser>
        <c:ser>
          <c:idx val="4"/>
          <c:order val="4"/>
          <c:tx>
            <c:strRef>
              <c:f>Visuals!$F$18:$F$19</c:f>
              <c:strCache>
                <c:ptCount val="1"/>
                <c:pt idx="0">
                  <c:v>Retail</c:v>
                </c:pt>
              </c:strCache>
            </c:strRef>
          </c:tx>
          <c:spPr>
            <a:solidFill>
              <a:schemeClr val="accent5"/>
            </a:solidFill>
            <a:ln>
              <a:noFill/>
            </a:ln>
            <a:effectLst/>
          </c:spPr>
          <c:invertIfNegative val="0"/>
          <c:cat>
            <c:strRef>
              <c:f>Visuals!$A$20:$A$24</c:f>
              <c:strCache>
                <c:ptCount val="4"/>
                <c:pt idx="0">
                  <c:v>Africa</c:v>
                </c:pt>
                <c:pt idx="1">
                  <c:v>Americas</c:v>
                </c:pt>
                <c:pt idx="2">
                  <c:v>Asia</c:v>
                </c:pt>
                <c:pt idx="3">
                  <c:v>Europe</c:v>
                </c:pt>
              </c:strCache>
            </c:strRef>
          </c:cat>
          <c:val>
            <c:numRef>
              <c:f>Visuals!$F$20:$F$24</c:f>
              <c:numCache>
                <c:formatCode>_(* #,##0.00_);_(* \(#,##0.00\);_(* "-"??_);_(@_)</c:formatCode>
                <c:ptCount val="4"/>
                <c:pt idx="0">
                  <c:v>50680.041749999975</c:v>
                </c:pt>
                <c:pt idx="1">
                  <c:v>46708.374649999991</c:v>
                </c:pt>
                <c:pt idx="2">
                  <c:v>158051.77209000004</c:v>
                </c:pt>
                <c:pt idx="3">
                  <c:v>77703.078510000007</c:v>
                </c:pt>
              </c:numCache>
            </c:numRef>
          </c:val>
          <c:extLst>
            <c:ext xmlns:c16="http://schemas.microsoft.com/office/drawing/2014/chart" uri="{C3380CC4-5D6E-409C-BE32-E72D297353CC}">
              <c16:uniqueId val="{00000003-C1C2-4A67-A89E-8292FDA11A38}"/>
            </c:ext>
          </c:extLst>
        </c:ser>
        <c:ser>
          <c:idx val="5"/>
          <c:order val="5"/>
          <c:tx>
            <c:strRef>
              <c:f>Visuals!$G$18:$G$19</c:f>
              <c:strCache>
                <c:ptCount val="1"/>
                <c:pt idx="0">
                  <c:v>Unknown</c:v>
                </c:pt>
              </c:strCache>
            </c:strRef>
          </c:tx>
          <c:spPr>
            <a:solidFill>
              <a:schemeClr val="accent6"/>
            </a:solidFill>
            <a:ln>
              <a:noFill/>
            </a:ln>
            <a:effectLst/>
          </c:spPr>
          <c:invertIfNegative val="0"/>
          <c:cat>
            <c:strRef>
              <c:f>Visuals!$A$20:$A$24</c:f>
              <c:strCache>
                <c:ptCount val="4"/>
                <c:pt idx="0">
                  <c:v>Africa</c:v>
                </c:pt>
                <c:pt idx="1">
                  <c:v>Americas</c:v>
                </c:pt>
                <c:pt idx="2">
                  <c:v>Asia</c:v>
                </c:pt>
                <c:pt idx="3">
                  <c:v>Europe</c:v>
                </c:pt>
              </c:strCache>
            </c:strRef>
          </c:cat>
          <c:val>
            <c:numRef>
              <c:f>Visuals!$G$20:$G$24</c:f>
              <c:numCache>
                <c:formatCode>_(* #,##0.00_);_(* \(#,##0.00\);_(* "-"??_);_(@_)</c:formatCode>
                <c:ptCount val="4"/>
                <c:pt idx="0">
                  <c:v>-149.63339999999971</c:v>
                </c:pt>
                <c:pt idx="2">
                  <c:v>20547.545489999997</c:v>
                </c:pt>
                <c:pt idx="3">
                  <c:v>1263.5064600000001</c:v>
                </c:pt>
              </c:numCache>
            </c:numRef>
          </c:val>
          <c:extLst>
            <c:ext xmlns:c16="http://schemas.microsoft.com/office/drawing/2014/chart" uri="{C3380CC4-5D6E-409C-BE32-E72D297353CC}">
              <c16:uniqueId val="{00000006-C1C2-4A67-A89E-8292FDA11A38}"/>
            </c:ext>
          </c:extLst>
        </c:ser>
        <c:dLbls>
          <c:showLegendKey val="0"/>
          <c:showVal val="0"/>
          <c:showCatName val="0"/>
          <c:showSerName val="0"/>
          <c:showPercent val="0"/>
          <c:showBubbleSize val="0"/>
        </c:dLbls>
        <c:gapWidth val="150"/>
        <c:overlap val="100"/>
        <c:axId val="1230167039"/>
        <c:axId val="1230166623"/>
      </c:barChart>
      <c:catAx>
        <c:axId val="1230167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166623"/>
        <c:crosses val="autoZero"/>
        <c:auto val="1"/>
        <c:lblAlgn val="ctr"/>
        <c:lblOffset val="100"/>
        <c:noMultiLvlLbl val="0"/>
      </c:catAx>
      <c:valAx>
        <c:axId val="1230166623"/>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16703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3">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Brief_Final.xlsx]Visuals!PivotTable3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10 SKU by Revenue</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bar"/>
        <c:grouping val="clustered"/>
        <c:varyColors val="0"/>
        <c:ser>
          <c:idx val="0"/>
          <c:order val="0"/>
          <c:tx>
            <c:strRef>
              <c:f>Visuals!$B$44</c:f>
              <c:strCache>
                <c:ptCount val="1"/>
                <c:pt idx="0">
                  <c:v>Total</c:v>
                </c:pt>
              </c:strCache>
            </c:strRef>
          </c:tx>
          <c:spPr>
            <a:solidFill>
              <a:schemeClr val="accent1"/>
            </a:solidFill>
            <a:ln>
              <a:noFill/>
            </a:ln>
            <a:effectLst/>
          </c:spPr>
          <c:invertIfNegative val="0"/>
          <c:cat>
            <c:strRef>
              <c:f>Visuals!$A$45:$A$55</c:f>
              <c:strCache>
                <c:ptCount val="10"/>
                <c:pt idx="0">
                  <c:v>CMP-2040</c:v>
                </c:pt>
                <c:pt idx="1">
                  <c:v>LAP-8214</c:v>
                </c:pt>
                <c:pt idx="2">
                  <c:v>PHN-9677</c:v>
                </c:pt>
                <c:pt idx="3">
                  <c:v>MON-5188</c:v>
                </c:pt>
                <c:pt idx="4">
                  <c:v>ACC-6626</c:v>
                </c:pt>
                <c:pt idx="5">
                  <c:v>NET-5987</c:v>
                </c:pt>
                <c:pt idx="6">
                  <c:v>CMP-3938</c:v>
                </c:pt>
                <c:pt idx="7">
                  <c:v>MON-6699</c:v>
                </c:pt>
                <c:pt idx="8">
                  <c:v>MON-2266</c:v>
                </c:pt>
                <c:pt idx="9">
                  <c:v>CMP-8851</c:v>
                </c:pt>
              </c:strCache>
            </c:strRef>
          </c:cat>
          <c:val>
            <c:numRef>
              <c:f>Visuals!$B$45:$B$55</c:f>
              <c:numCache>
                <c:formatCode>_(* #,##0.00_);_(* \(#,##0.00\);_(* "-"??_);_(@_)</c:formatCode>
                <c:ptCount val="10"/>
                <c:pt idx="0">
                  <c:v>65111.38614000001</c:v>
                </c:pt>
                <c:pt idx="1">
                  <c:v>65119.329599999997</c:v>
                </c:pt>
                <c:pt idx="2">
                  <c:v>68665.574250000005</c:v>
                </c:pt>
                <c:pt idx="3">
                  <c:v>72665.817450000002</c:v>
                </c:pt>
                <c:pt idx="4">
                  <c:v>79082.507010000001</c:v>
                </c:pt>
                <c:pt idx="5">
                  <c:v>82141.339799999987</c:v>
                </c:pt>
                <c:pt idx="6">
                  <c:v>84136.119600000005</c:v>
                </c:pt>
                <c:pt idx="7">
                  <c:v>85637.740319999997</c:v>
                </c:pt>
                <c:pt idx="8">
                  <c:v>87404.929919999995</c:v>
                </c:pt>
                <c:pt idx="9">
                  <c:v>139277.83032000001</c:v>
                </c:pt>
              </c:numCache>
            </c:numRef>
          </c:val>
          <c:extLst>
            <c:ext xmlns:c16="http://schemas.microsoft.com/office/drawing/2014/chart" uri="{C3380CC4-5D6E-409C-BE32-E72D297353CC}">
              <c16:uniqueId val="{00000000-138B-4BDB-8F53-01A722C25945}"/>
            </c:ext>
          </c:extLst>
        </c:ser>
        <c:dLbls>
          <c:showLegendKey val="0"/>
          <c:showVal val="0"/>
          <c:showCatName val="0"/>
          <c:showSerName val="0"/>
          <c:showPercent val="0"/>
          <c:showBubbleSize val="0"/>
        </c:dLbls>
        <c:gapWidth val="182"/>
        <c:axId val="1403394703"/>
        <c:axId val="1403387631"/>
      </c:barChart>
      <c:catAx>
        <c:axId val="14033947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3387631"/>
        <c:crosses val="autoZero"/>
        <c:auto val="1"/>
        <c:lblAlgn val="ctr"/>
        <c:lblOffset val="100"/>
        <c:noMultiLvlLbl val="0"/>
      </c:catAx>
      <c:valAx>
        <c:axId val="1403387631"/>
        <c:scaling>
          <c:orientation val="minMax"/>
        </c:scaling>
        <c:delete val="0"/>
        <c:axPos val="b"/>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3394703"/>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3">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Brief_Final.xlsx]Visuals!PivotTable4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Discount</a:t>
            </a:r>
            <a:r>
              <a:rPr lang="en-US" b="1" baseline="0"/>
              <a:t> Compiance by Country</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s>
    <c:plotArea>
      <c:layout/>
      <c:barChart>
        <c:barDir val="col"/>
        <c:grouping val="stacked"/>
        <c:varyColors val="0"/>
        <c:ser>
          <c:idx val="0"/>
          <c:order val="0"/>
          <c:tx>
            <c:strRef>
              <c:f>Visuals!$B$64:$B$65</c:f>
              <c:strCache>
                <c:ptCount val="1"/>
                <c:pt idx="0">
                  <c:v>Compliant Discount</c:v>
                </c:pt>
              </c:strCache>
            </c:strRef>
          </c:tx>
          <c:spPr>
            <a:solidFill>
              <a:schemeClr val="accent1"/>
            </a:solidFill>
            <a:ln>
              <a:noFill/>
            </a:ln>
            <a:effectLst/>
          </c:spPr>
          <c:invertIfNegative val="0"/>
          <c:cat>
            <c:strRef>
              <c:f>Visuals!$A$66:$A$74</c:f>
              <c:strCache>
                <c:ptCount val="8"/>
                <c:pt idx="0">
                  <c:v>Canada</c:v>
                </c:pt>
                <c:pt idx="1">
                  <c:v>Germany</c:v>
                </c:pt>
                <c:pt idx="2">
                  <c:v>China</c:v>
                </c:pt>
                <c:pt idx="3">
                  <c:v>France</c:v>
                </c:pt>
                <c:pt idx="4">
                  <c:v>Kenya</c:v>
                </c:pt>
                <c:pt idx="5">
                  <c:v>Japan</c:v>
                </c:pt>
                <c:pt idx="6">
                  <c:v>India</c:v>
                </c:pt>
                <c:pt idx="7">
                  <c:v>Brazil</c:v>
                </c:pt>
              </c:strCache>
            </c:strRef>
          </c:cat>
          <c:val>
            <c:numRef>
              <c:f>Visuals!$B$66:$B$74</c:f>
              <c:numCache>
                <c:formatCode>0.00%</c:formatCode>
                <c:ptCount val="8"/>
                <c:pt idx="0">
                  <c:v>8.2379862700228831E-2</c:v>
                </c:pt>
                <c:pt idx="1">
                  <c:v>0.10297482837528604</c:v>
                </c:pt>
                <c:pt idx="2">
                  <c:v>0.10068649885583524</c:v>
                </c:pt>
                <c:pt idx="3">
                  <c:v>0.11212814645308924</c:v>
                </c:pt>
                <c:pt idx="4">
                  <c:v>0.10526315789473684</c:v>
                </c:pt>
                <c:pt idx="5">
                  <c:v>0.11670480549199085</c:v>
                </c:pt>
                <c:pt idx="6">
                  <c:v>0.11899313501144165</c:v>
                </c:pt>
                <c:pt idx="7">
                  <c:v>0.12356979405034325</c:v>
                </c:pt>
              </c:numCache>
            </c:numRef>
          </c:val>
          <c:extLst>
            <c:ext xmlns:c16="http://schemas.microsoft.com/office/drawing/2014/chart" uri="{C3380CC4-5D6E-409C-BE32-E72D297353CC}">
              <c16:uniqueId val="{00000000-AAB2-4918-A4F1-66A494A6EAFB}"/>
            </c:ext>
          </c:extLst>
        </c:ser>
        <c:ser>
          <c:idx val="1"/>
          <c:order val="1"/>
          <c:tx>
            <c:strRef>
              <c:f>Visuals!$C$64:$C$65</c:f>
              <c:strCache>
                <c:ptCount val="1"/>
                <c:pt idx="0">
                  <c:v>Non-compliant Discount</c:v>
                </c:pt>
              </c:strCache>
            </c:strRef>
          </c:tx>
          <c:spPr>
            <a:solidFill>
              <a:schemeClr val="accent2"/>
            </a:solidFill>
            <a:ln>
              <a:noFill/>
            </a:ln>
            <a:effectLst/>
          </c:spPr>
          <c:invertIfNegative val="0"/>
          <c:cat>
            <c:strRef>
              <c:f>Visuals!$A$66:$A$74</c:f>
              <c:strCache>
                <c:ptCount val="8"/>
                <c:pt idx="0">
                  <c:v>Canada</c:v>
                </c:pt>
                <c:pt idx="1">
                  <c:v>Germany</c:v>
                </c:pt>
                <c:pt idx="2">
                  <c:v>China</c:v>
                </c:pt>
                <c:pt idx="3">
                  <c:v>France</c:v>
                </c:pt>
                <c:pt idx="4">
                  <c:v>Kenya</c:v>
                </c:pt>
                <c:pt idx="5">
                  <c:v>Japan</c:v>
                </c:pt>
                <c:pt idx="6">
                  <c:v>India</c:v>
                </c:pt>
                <c:pt idx="7">
                  <c:v>Brazil</c:v>
                </c:pt>
              </c:strCache>
            </c:strRef>
          </c:cat>
          <c:val>
            <c:numRef>
              <c:f>Visuals!$C$66:$C$74</c:f>
              <c:numCache>
                <c:formatCode>0.00%</c:formatCode>
                <c:ptCount val="8"/>
                <c:pt idx="0">
                  <c:v>1.8306636155606407E-2</c:v>
                </c:pt>
                <c:pt idx="1">
                  <c:v>1.3729977116704805E-2</c:v>
                </c:pt>
                <c:pt idx="2">
                  <c:v>1.6018306636155607E-2</c:v>
                </c:pt>
                <c:pt idx="3">
                  <c:v>1.1441647597254004E-2</c:v>
                </c:pt>
                <c:pt idx="4">
                  <c:v>2.2883295194508008E-2</c:v>
                </c:pt>
                <c:pt idx="5">
                  <c:v>1.8306636155606407E-2</c:v>
                </c:pt>
                <c:pt idx="6">
                  <c:v>1.8306636155606407E-2</c:v>
                </c:pt>
                <c:pt idx="7">
                  <c:v>1.8306636155606407E-2</c:v>
                </c:pt>
              </c:numCache>
            </c:numRef>
          </c:val>
          <c:extLst>
            <c:ext xmlns:c16="http://schemas.microsoft.com/office/drawing/2014/chart" uri="{C3380CC4-5D6E-409C-BE32-E72D297353CC}">
              <c16:uniqueId val="{00000003-AAB2-4918-A4F1-66A494A6EAFB}"/>
            </c:ext>
          </c:extLst>
        </c:ser>
        <c:dLbls>
          <c:showLegendKey val="0"/>
          <c:showVal val="0"/>
          <c:showCatName val="0"/>
          <c:showSerName val="0"/>
          <c:showPercent val="0"/>
          <c:showBubbleSize val="0"/>
        </c:dLbls>
        <c:gapWidth val="150"/>
        <c:overlap val="100"/>
        <c:axId val="1393792848"/>
        <c:axId val="1393792432"/>
      </c:barChart>
      <c:catAx>
        <c:axId val="1393792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792432"/>
        <c:crosses val="autoZero"/>
        <c:auto val="1"/>
        <c:lblAlgn val="ctr"/>
        <c:lblOffset val="100"/>
        <c:noMultiLvlLbl val="0"/>
      </c:catAx>
      <c:valAx>
        <c:axId val="13937924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79284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3">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Brief_Final.xlsx]Visuals 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Service</a:t>
            </a:r>
            <a:r>
              <a:rPr lang="en-US" b="1" baseline="0"/>
              <a:t> Level By Region</a:t>
            </a:r>
            <a:endParaRPr lang="en-US" b="1"/>
          </a:p>
        </c:rich>
      </c:tx>
      <c:layout>
        <c:manualLayout>
          <c:xMode val="edge"/>
          <c:yMode val="edge"/>
          <c:x val="0.30373600174978127"/>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s>
    <c:plotArea>
      <c:layout/>
      <c:barChart>
        <c:barDir val="col"/>
        <c:grouping val="clustered"/>
        <c:varyColors val="0"/>
        <c:ser>
          <c:idx val="0"/>
          <c:order val="0"/>
          <c:tx>
            <c:strRef>
              <c:f>'Visuals 2'!$C$1:$C$2</c:f>
              <c:strCache>
                <c:ptCount val="1"/>
                <c:pt idx="0">
                  <c:v>Delayed</c:v>
                </c:pt>
              </c:strCache>
            </c:strRef>
          </c:tx>
          <c:spPr>
            <a:solidFill>
              <a:schemeClr val="accent1"/>
            </a:solidFill>
            <a:ln>
              <a:noFill/>
            </a:ln>
            <a:effectLst/>
          </c:spPr>
          <c:invertIfNegative val="0"/>
          <c:cat>
            <c:strRef>
              <c:f>'Visuals 2'!$B$3:$B$7</c:f>
              <c:strCache>
                <c:ptCount val="4"/>
                <c:pt idx="0">
                  <c:v>Africa</c:v>
                </c:pt>
                <c:pt idx="1">
                  <c:v>Americas</c:v>
                </c:pt>
                <c:pt idx="2">
                  <c:v>Asia</c:v>
                </c:pt>
                <c:pt idx="3">
                  <c:v>Europe</c:v>
                </c:pt>
              </c:strCache>
            </c:strRef>
          </c:cat>
          <c:val>
            <c:numRef>
              <c:f>'Visuals 2'!$C$3:$C$7</c:f>
              <c:numCache>
                <c:formatCode>0.00%</c:formatCode>
                <c:ptCount val="4"/>
                <c:pt idx="0">
                  <c:v>8.924485125858124E-2</c:v>
                </c:pt>
                <c:pt idx="1">
                  <c:v>0.18077803203661327</c:v>
                </c:pt>
                <c:pt idx="2">
                  <c:v>0.30663615560640733</c:v>
                </c:pt>
                <c:pt idx="3">
                  <c:v>0.18306636155606407</c:v>
                </c:pt>
              </c:numCache>
            </c:numRef>
          </c:val>
          <c:extLst>
            <c:ext xmlns:c16="http://schemas.microsoft.com/office/drawing/2014/chart" uri="{C3380CC4-5D6E-409C-BE32-E72D297353CC}">
              <c16:uniqueId val="{00000000-F7A0-4EB7-A44D-53141C63586B}"/>
            </c:ext>
          </c:extLst>
        </c:ser>
        <c:ser>
          <c:idx val="1"/>
          <c:order val="1"/>
          <c:tx>
            <c:strRef>
              <c:f>'Visuals 2'!$D$1:$D$2</c:f>
              <c:strCache>
                <c:ptCount val="1"/>
                <c:pt idx="0">
                  <c:v>On-time</c:v>
                </c:pt>
              </c:strCache>
            </c:strRef>
          </c:tx>
          <c:spPr>
            <a:solidFill>
              <a:schemeClr val="accent2"/>
            </a:solidFill>
            <a:ln>
              <a:noFill/>
            </a:ln>
            <a:effectLst/>
          </c:spPr>
          <c:invertIfNegative val="0"/>
          <c:cat>
            <c:strRef>
              <c:f>'Visuals 2'!$B$3:$B$7</c:f>
              <c:strCache>
                <c:ptCount val="4"/>
                <c:pt idx="0">
                  <c:v>Africa</c:v>
                </c:pt>
                <c:pt idx="1">
                  <c:v>Americas</c:v>
                </c:pt>
                <c:pt idx="2">
                  <c:v>Asia</c:v>
                </c:pt>
                <c:pt idx="3">
                  <c:v>Europe</c:v>
                </c:pt>
              </c:strCache>
            </c:strRef>
          </c:cat>
          <c:val>
            <c:numRef>
              <c:f>'Visuals 2'!$D$3:$D$7</c:f>
              <c:numCache>
                <c:formatCode>0.00%</c:formatCode>
                <c:ptCount val="4"/>
                <c:pt idx="0">
                  <c:v>3.8901601830663615E-2</c:v>
                </c:pt>
                <c:pt idx="1">
                  <c:v>6.1784897025171627E-2</c:v>
                </c:pt>
                <c:pt idx="2">
                  <c:v>8.2379862700228831E-2</c:v>
                </c:pt>
                <c:pt idx="3">
                  <c:v>5.7208237986270026E-2</c:v>
                </c:pt>
              </c:numCache>
            </c:numRef>
          </c:val>
          <c:extLst>
            <c:ext xmlns:c16="http://schemas.microsoft.com/office/drawing/2014/chart" uri="{C3380CC4-5D6E-409C-BE32-E72D297353CC}">
              <c16:uniqueId val="{00000002-F7A0-4EB7-A44D-53141C63586B}"/>
            </c:ext>
          </c:extLst>
        </c:ser>
        <c:dLbls>
          <c:showLegendKey val="0"/>
          <c:showVal val="0"/>
          <c:showCatName val="0"/>
          <c:showSerName val="0"/>
          <c:showPercent val="0"/>
          <c:showBubbleSize val="0"/>
        </c:dLbls>
        <c:gapWidth val="219"/>
        <c:overlap val="-27"/>
        <c:axId val="1369016912"/>
        <c:axId val="1369019824"/>
      </c:barChart>
      <c:catAx>
        <c:axId val="1369016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9019824"/>
        <c:crosses val="autoZero"/>
        <c:auto val="1"/>
        <c:lblAlgn val="ctr"/>
        <c:lblOffset val="100"/>
        <c:noMultiLvlLbl val="0"/>
      </c:catAx>
      <c:valAx>
        <c:axId val="13690198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901691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3">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Brief_Final.xlsx]Visuals 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Cost</a:t>
            </a:r>
            <a:r>
              <a:rPr lang="en-US" baseline="0"/>
              <a:t> of Goods by Year</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marker>
          <c:symbol val="none"/>
        </c:marker>
      </c:pivotFmt>
      <c:pivotFmt>
        <c:idx val="4"/>
        <c:spPr>
          <a:solidFill>
            <a:schemeClr val="accent1"/>
          </a:solidFill>
          <a:ln w="19050">
            <a:solidFill>
              <a:schemeClr val="lt1"/>
            </a:solidFill>
          </a:ln>
          <a:effectLst/>
        </c:spPr>
        <c:marker>
          <c:symbol val="none"/>
        </c:marker>
      </c:pivotFmt>
    </c:pivotFmts>
    <c:plotArea>
      <c:layout/>
      <c:pieChart>
        <c:varyColors val="1"/>
        <c:ser>
          <c:idx val="0"/>
          <c:order val="0"/>
          <c:tx>
            <c:strRef>
              <c:f>'Visuals 2'!$C$15</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'Visuals 2'!$B$16:$B$19</c:f>
              <c:strCache>
                <c:ptCount val="3"/>
                <c:pt idx="0">
                  <c:v>2023</c:v>
                </c:pt>
                <c:pt idx="1">
                  <c:v>2024</c:v>
                </c:pt>
                <c:pt idx="2">
                  <c:v>2025</c:v>
                </c:pt>
              </c:strCache>
            </c:strRef>
          </c:cat>
          <c:val>
            <c:numRef>
              <c:f>'Visuals 2'!$C$16:$C$19</c:f>
              <c:numCache>
                <c:formatCode>_(* #,##0.00_);_(* \(#,##0.00\);_(* "-"??_);_(@_)</c:formatCode>
                <c:ptCount val="3"/>
                <c:pt idx="0">
                  <c:v>1756098.4900000016</c:v>
                </c:pt>
                <c:pt idx="1">
                  <c:v>2106216.52</c:v>
                </c:pt>
                <c:pt idx="2">
                  <c:v>1239667.2399999998</c:v>
                </c:pt>
              </c:numCache>
            </c:numRef>
          </c:val>
          <c:extLst>
            <c:ext xmlns:c16="http://schemas.microsoft.com/office/drawing/2014/chart" uri="{C3380CC4-5D6E-409C-BE32-E72D297353CC}">
              <c16:uniqueId val="{00000000-5F6E-4CDC-999C-67A829829BEE}"/>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3">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Brief_Final.xlsx]Visuals!PivotTable1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a:t>
            </a:r>
            <a:r>
              <a:rPr lang="en-US" b="1" baseline="0"/>
              <a:t> Revenue by Month</a:t>
            </a:r>
            <a:endParaRPr lang="en-US" b="1"/>
          </a:p>
        </c:rich>
      </c:tx>
      <c:layout>
        <c:manualLayout>
          <c:xMode val="edge"/>
          <c:yMode val="edge"/>
          <c:x val="0.29941724517483437"/>
          <c:y val="0.124123665689549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s>
    <c:plotArea>
      <c:layout>
        <c:manualLayout>
          <c:layoutTarget val="inner"/>
          <c:xMode val="edge"/>
          <c:yMode val="edge"/>
          <c:x val="0.20862817804434861"/>
          <c:y val="0.24939596092155147"/>
          <c:w val="0.58180284922170844"/>
          <c:h val="0.51415573053368324"/>
        </c:manualLayout>
      </c:layout>
      <c:lineChart>
        <c:grouping val="standard"/>
        <c:varyColors val="0"/>
        <c:ser>
          <c:idx val="0"/>
          <c:order val="0"/>
          <c:tx>
            <c:strRef>
              <c:f>Visuals!$B$1</c:f>
              <c:strCache>
                <c:ptCount val="1"/>
                <c:pt idx="0">
                  <c:v>Total</c:v>
                </c:pt>
              </c:strCache>
            </c:strRef>
          </c:tx>
          <c:spPr>
            <a:ln w="28575" cap="rnd">
              <a:solidFill>
                <a:schemeClr val="accent1"/>
              </a:solidFill>
              <a:round/>
            </a:ln>
            <a:effectLst/>
          </c:spPr>
          <c:marker>
            <c:symbol val="none"/>
          </c:marker>
          <c:cat>
            <c:strRef>
              <c:f>Visuals!$A$2:$A$14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Visuals!$B$2:$B$14</c:f>
              <c:numCache>
                <c:formatCode>_(* #,##0.00_);_(* \(#,##0.00\);_(* "-"??_);_(@_)</c:formatCode>
                <c:ptCount val="12"/>
                <c:pt idx="0">
                  <c:v>488911.36176</c:v>
                </c:pt>
                <c:pt idx="1">
                  <c:v>677282.25381000014</c:v>
                </c:pt>
                <c:pt idx="2">
                  <c:v>498738.63784999994</c:v>
                </c:pt>
                <c:pt idx="3">
                  <c:v>570270.51699999999</c:v>
                </c:pt>
                <c:pt idx="4">
                  <c:v>830367.30819999997</c:v>
                </c:pt>
                <c:pt idx="5">
                  <c:v>827973.07824000006</c:v>
                </c:pt>
                <c:pt idx="6">
                  <c:v>767274.62873</c:v>
                </c:pt>
                <c:pt idx="7">
                  <c:v>723335.63210999977</c:v>
                </c:pt>
                <c:pt idx="8">
                  <c:v>571228.88926000008</c:v>
                </c:pt>
                <c:pt idx="9">
                  <c:v>395504.22655999998</c:v>
                </c:pt>
                <c:pt idx="10">
                  <c:v>480783.25222999987</c:v>
                </c:pt>
                <c:pt idx="11">
                  <c:v>543596.09927999997</c:v>
                </c:pt>
              </c:numCache>
            </c:numRef>
          </c:val>
          <c:smooth val="0"/>
          <c:extLst>
            <c:ext xmlns:c16="http://schemas.microsoft.com/office/drawing/2014/chart" uri="{C3380CC4-5D6E-409C-BE32-E72D297353CC}">
              <c16:uniqueId val="{00000000-DD3E-4239-B8FF-6BF3B03EFDD9}"/>
            </c:ext>
          </c:extLst>
        </c:ser>
        <c:dLbls>
          <c:showLegendKey val="0"/>
          <c:showVal val="0"/>
          <c:showCatName val="0"/>
          <c:showSerName val="0"/>
          <c:showPercent val="0"/>
          <c:showBubbleSize val="0"/>
        </c:dLbls>
        <c:smooth val="0"/>
        <c:axId val="1829374480"/>
        <c:axId val="1829377392"/>
      </c:lineChart>
      <c:catAx>
        <c:axId val="1829374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9377392"/>
        <c:crosses val="autoZero"/>
        <c:auto val="1"/>
        <c:lblAlgn val="ctr"/>
        <c:lblOffset val="100"/>
        <c:noMultiLvlLbl val="0"/>
      </c:catAx>
      <c:valAx>
        <c:axId val="1829377392"/>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937448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3">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Brief_Final.xlsx]Visuals!PivotTable2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Profit</a:t>
            </a:r>
            <a:r>
              <a:rPr lang="en-US" b="1" baseline="0"/>
              <a:t> by Region &amp; Channel</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pivotFmt>
      <c:pivotFmt>
        <c:idx val="21"/>
        <c:spPr>
          <a:solidFill>
            <a:schemeClr val="accent1"/>
          </a:solidFill>
          <a:ln>
            <a:noFill/>
          </a:ln>
          <a:effectLst/>
        </c:spPr>
        <c:marker>
          <c:symbol val="none"/>
        </c:marker>
      </c:pivotFmt>
      <c:pivotFmt>
        <c:idx val="22"/>
        <c:spPr>
          <a:solidFill>
            <a:schemeClr val="accent1"/>
          </a:solidFill>
          <a:ln>
            <a:noFill/>
          </a:ln>
          <a:effectLst/>
        </c:spPr>
        <c:marker>
          <c:symbol val="none"/>
        </c:marker>
      </c:pivotFmt>
      <c:pivotFmt>
        <c:idx val="23"/>
        <c:spPr>
          <a:solidFill>
            <a:schemeClr val="accent1"/>
          </a:solidFill>
          <a:ln>
            <a:noFill/>
          </a:ln>
          <a:effectLst/>
        </c:spPr>
        <c:marker>
          <c:symbol val="none"/>
        </c:marker>
      </c:pivotFmt>
      <c:pivotFmt>
        <c:idx val="24"/>
        <c:spPr>
          <a:solidFill>
            <a:schemeClr val="accent1"/>
          </a:solidFill>
          <a:ln>
            <a:noFill/>
          </a:ln>
          <a:effectLst/>
        </c:spPr>
        <c:marker>
          <c:symbol val="none"/>
        </c:marker>
      </c:pivotFmt>
    </c:pivotFmts>
    <c:plotArea>
      <c:layout/>
      <c:barChart>
        <c:barDir val="col"/>
        <c:grouping val="stacked"/>
        <c:varyColors val="0"/>
        <c:ser>
          <c:idx val="0"/>
          <c:order val="0"/>
          <c:tx>
            <c:strRef>
              <c:f>Visuals!$B$18:$B$19</c:f>
              <c:strCache>
                <c:ptCount val="1"/>
                <c:pt idx="0">
                  <c:v>Direct</c:v>
                </c:pt>
              </c:strCache>
            </c:strRef>
          </c:tx>
          <c:spPr>
            <a:solidFill>
              <a:schemeClr val="accent1"/>
            </a:solidFill>
            <a:ln>
              <a:noFill/>
            </a:ln>
            <a:effectLst/>
          </c:spPr>
          <c:invertIfNegative val="0"/>
          <c:cat>
            <c:strRef>
              <c:f>Visuals!$A$20:$A$24</c:f>
              <c:strCache>
                <c:ptCount val="4"/>
                <c:pt idx="0">
                  <c:v>Africa</c:v>
                </c:pt>
                <c:pt idx="1">
                  <c:v>Americas</c:v>
                </c:pt>
                <c:pt idx="2">
                  <c:v>Asia</c:v>
                </c:pt>
                <c:pt idx="3">
                  <c:v>Europe</c:v>
                </c:pt>
              </c:strCache>
            </c:strRef>
          </c:cat>
          <c:val>
            <c:numRef>
              <c:f>Visuals!$B$20:$B$24</c:f>
              <c:numCache>
                <c:formatCode>_(* #,##0.00_);_(* \(#,##0.00\);_(* "-"??_);_(@_)</c:formatCode>
                <c:ptCount val="4"/>
                <c:pt idx="0">
                  <c:v>114753.82736999998</c:v>
                </c:pt>
                <c:pt idx="1">
                  <c:v>213382.23493000004</c:v>
                </c:pt>
                <c:pt idx="2">
                  <c:v>229541.94635999994</c:v>
                </c:pt>
                <c:pt idx="3">
                  <c:v>228322.70002000002</c:v>
                </c:pt>
              </c:numCache>
            </c:numRef>
          </c:val>
          <c:extLst>
            <c:ext xmlns:c16="http://schemas.microsoft.com/office/drawing/2014/chart" uri="{C3380CC4-5D6E-409C-BE32-E72D297353CC}">
              <c16:uniqueId val="{00000000-CFA8-4A12-B795-BE54F36DB37F}"/>
            </c:ext>
          </c:extLst>
        </c:ser>
        <c:ser>
          <c:idx val="1"/>
          <c:order val="1"/>
          <c:tx>
            <c:strRef>
              <c:f>Visuals!$C$18:$C$19</c:f>
              <c:strCache>
                <c:ptCount val="1"/>
                <c:pt idx="0">
                  <c:v>Distributor</c:v>
                </c:pt>
              </c:strCache>
            </c:strRef>
          </c:tx>
          <c:spPr>
            <a:solidFill>
              <a:schemeClr val="accent2"/>
            </a:solidFill>
            <a:ln>
              <a:noFill/>
            </a:ln>
            <a:effectLst/>
          </c:spPr>
          <c:invertIfNegative val="0"/>
          <c:cat>
            <c:strRef>
              <c:f>Visuals!$A$20:$A$24</c:f>
              <c:strCache>
                <c:ptCount val="4"/>
                <c:pt idx="0">
                  <c:v>Africa</c:v>
                </c:pt>
                <c:pt idx="1">
                  <c:v>Americas</c:v>
                </c:pt>
                <c:pt idx="2">
                  <c:v>Asia</c:v>
                </c:pt>
                <c:pt idx="3">
                  <c:v>Europe</c:v>
                </c:pt>
              </c:strCache>
            </c:strRef>
          </c:cat>
          <c:val>
            <c:numRef>
              <c:f>Visuals!$C$20:$C$24</c:f>
              <c:numCache>
                <c:formatCode>_(* #,##0.00_);_(* \(#,##0.00\);_(* "-"??_);_(@_)</c:formatCode>
                <c:ptCount val="4"/>
                <c:pt idx="0">
                  <c:v>69059.79926</c:v>
                </c:pt>
                <c:pt idx="1">
                  <c:v>133853.27601</c:v>
                </c:pt>
                <c:pt idx="2">
                  <c:v>151146.74599</c:v>
                </c:pt>
                <c:pt idx="3">
                  <c:v>58419.243300000002</c:v>
                </c:pt>
              </c:numCache>
            </c:numRef>
          </c:val>
          <c:extLst>
            <c:ext xmlns:c16="http://schemas.microsoft.com/office/drawing/2014/chart" uri="{C3380CC4-5D6E-409C-BE32-E72D297353CC}">
              <c16:uniqueId val="{00000000-2D3D-44E0-AADE-BE80EEBCE987}"/>
            </c:ext>
          </c:extLst>
        </c:ser>
        <c:ser>
          <c:idx val="2"/>
          <c:order val="2"/>
          <c:tx>
            <c:strRef>
              <c:f>Visuals!$D$18:$D$19</c:f>
              <c:strCache>
                <c:ptCount val="1"/>
                <c:pt idx="0">
                  <c:v>Marketplace</c:v>
                </c:pt>
              </c:strCache>
            </c:strRef>
          </c:tx>
          <c:spPr>
            <a:solidFill>
              <a:schemeClr val="accent3"/>
            </a:solidFill>
            <a:ln>
              <a:noFill/>
            </a:ln>
            <a:effectLst/>
          </c:spPr>
          <c:invertIfNegative val="0"/>
          <c:cat>
            <c:strRef>
              <c:f>Visuals!$A$20:$A$24</c:f>
              <c:strCache>
                <c:ptCount val="4"/>
                <c:pt idx="0">
                  <c:v>Africa</c:v>
                </c:pt>
                <c:pt idx="1">
                  <c:v>Americas</c:v>
                </c:pt>
                <c:pt idx="2">
                  <c:v>Asia</c:v>
                </c:pt>
                <c:pt idx="3">
                  <c:v>Europe</c:v>
                </c:pt>
              </c:strCache>
            </c:strRef>
          </c:cat>
          <c:val>
            <c:numRef>
              <c:f>Visuals!$D$20:$D$24</c:f>
              <c:numCache>
                <c:formatCode>_(* #,##0.00_);_(* \(#,##0.00\);_(* "-"??_);_(@_)</c:formatCode>
                <c:ptCount val="4"/>
                <c:pt idx="0">
                  <c:v>2699.9740400000019</c:v>
                </c:pt>
                <c:pt idx="1">
                  <c:v>63182.299699999996</c:v>
                </c:pt>
                <c:pt idx="2">
                  <c:v>132709.51273000002</c:v>
                </c:pt>
                <c:pt idx="3">
                  <c:v>35348.873150000029</c:v>
                </c:pt>
              </c:numCache>
            </c:numRef>
          </c:val>
          <c:extLst>
            <c:ext xmlns:c16="http://schemas.microsoft.com/office/drawing/2014/chart" uri="{C3380CC4-5D6E-409C-BE32-E72D297353CC}">
              <c16:uniqueId val="{00000001-2D3D-44E0-AADE-BE80EEBCE987}"/>
            </c:ext>
          </c:extLst>
        </c:ser>
        <c:ser>
          <c:idx val="3"/>
          <c:order val="3"/>
          <c:tx>
            <c:strRef>
              <c:f>Visuals!$E$18:$E$19</c:f>
              <c:strCache>
                <c:ptCount val="1"/>
                <c:pt idx="0">
                  <c:v>Online</c:v>
                </c:pt>
              </c:strCache>
            </c:strRef>
          </c:tx>
          <c:spPr>
            <a:solidFill>
              <a:schemeClr val="accent4"/>
            </a:solidFill>
            <a:ln>
              <a:noFill/>
            </a:ln>
            <a:effectLst/>
          </c:spPr>
          <c:invertIfNegative val="0"/>
          <c:cat>
            <c:strRef>
              <c:f>Visuals!$A$20:$A$24</c:f>
              <c:strCache>
                <c:ptCount val="4"/>
                <c:pt idx="0">
                  <c:v>Africa</c:v>
                </c:pt>
                <c:pt idx="1">
                  <c:v>Americas</c:v>
                </c:pt>
                <c:pt idx="2">
                  <c:v>Asia</c:v>
                </c:pt>
                <c:pt idx="3">
                  <c:v>Europe</c:v>
                </c:pt>
              </c:strCache>
            </c:strRef>
          </c:cat>
          <c:val>
            <c:numRef>
              <c:f>Visuals!$E$20:$E$24</c:f>
              <c:numCache>
                <c:formatCode>_(* #,##0.00_);_(* \(#,##0.00\);_(* "-"??_);_(@_)</c:formatCode>
                <c:ptCount val="4"/>
                <c:pt idx="0">
                  <c:v>50056.937190000004</c:v>
                </c:pt>
                <c:pt idx="1">
                  <c:v>183963.85606999998</c:v>
                </c:pt>
                <c:pt idx="2">
                  <c:v>149042.38968999998</c:v>
                </c:pt>
                <c:pt idx="3">
                  <c:v>102995.33366999998</c:v>
                </c:pt>
              </c:numCache>
            </c:numRef>
          </c:val>
          <c:extLst>
            <c:ext xmlns:c16="http://schemas.microsoft.com/office/drawing/2014/chart" uri="{C3380CC4-5D6E-409C-BE32-E72D297353CC}">
              <c16:uniqueId val="{00000002-2D3D-44E0-AADE-BE80EEBCE987}"/>
            </c:ext>
          </c:extLst>
        </c:ser>
        <c:ser>
          <c:idx val="4"/>
          <c:order val="4"/>
          <c:tx>
            <c:strRef>
              <c:f>Visuals!$F$18:$F$19</c:f>
              <c:strCache>
                <c:ptCount val="1"/>
                <c:pt idx="0">
                  <c:v>Retail</c:v>
                </c:pt>
              </c:strCache>
            </c:strRef>
          </c:tx>
          <c:spPr>
            <a:solidFill>
              <a:schemeClr val="accent5"/>
            </a:solidFill>
            <a:ln>
              <a:noFill/>
            </a:ln>
            <a:effectLst/>
          </c:spPr>
          <c:invertIfNegative val="0"/>
          <c:cat>
            <c:strRef>
              <c:f>Visuals!$A$20:$A$24</c:f>
              <c:strCache>
                <c:ptCount val="4"/>
                <c:pt idx="0">
                  <c:v>Africa</c:v>
                </c:pt>
                <c:pt idx="1">
                  <c:v>Americas</c:v>
                </c:pt>
                <c:pt idx="2">
                  <c:v>Asia</c:v>
                </c:pt>
                <c:pt idx="3">
                  <c:v>Europe</c:v>
                </c:pt>
              </c:strCache>
            </c:strRef>
          </c:cat>
          <c:val>
            <c:numRef>
              <c:f>Visuals!$F$20:$F$24</c:f>
              <c:numCache>
                <c:formatCode>_(* #,##0.00_);_(* \(#,##0.00\);_(* "-"??_);_(@_)</c:formatCode>
                <c:ptCount val="4"/>
                <c:pt idx="0">
                  <c:v>50680.041749999975</c:v>
                </c:pt>
                <c:pt idx="1">
                  <c:v>46708.374649999991</c:v>
                </c:pt>
                <c:pt idx="2">
                  <c:v>158051.77209000004</c:v>
                </c:pt>
                <c:pt idx="3">
                  <c:v>77703.078510000007</c:v>
                </c:pt>
              </c:numCache>
            </c:numRef>
          </c:val>
          <c:extLst>
            <c:ext xmlns:c16="http://schemas.microsoft.com/office/drawing/2014/chart" uri="{C3380CC4-5D6E-409C-BE32-E72D297353CC}">
              <c16:uniqueId val="{00000003-2D3D-44E0-AADE-BE80EEBCE987}"/>
            </c:ext>
          </c:extLst>
        </c:ser>
        <c:ser>
          <c:idx val="5"/>
          <c:order val="5"/>
          <c:tx>
            <c:strRef>
              <c:f>Visuals!$G$18:$G$19</c:f>
              <c:strCache>
                <c:ptCount val="1"/>
                <c:pt idx="0">
                  <c:v>Unknown</c:v>
                </c:pt>
              </c:strCache>
            </c:strRef>
          </c:tx>
          <c:spPr>
            <a:solidFill>
              <a:schemeClr val="accent6"/>
            </a:solidFill>
            <a:ln>
              <a:noFill/>
            </a:ln>
            <a:effectLst/>
          </c:spPr>
          <c:invertIfNegative val="0"/>
          <c:cat>
            <c:strRef>
              <c:f>Visuals!$A$20:$A$24</c:f>
              <c:strCache>
                <c:ptCount val="4"/>
                <c:pt idx="0">
                  <c:v>Africa</c:v>
                </c:pt>
                <c:pt idx="1">
                  <c:v>Americas</c:v>
                </c:pt>
                <c:pt idx="2">
                  <c:v>Asia</c:v>
                </c:pt>
                <c:pt idx="3">
                  <c:v>Europe</c:v>
                </c:pt>
              </c:strCache>
            </c:strRef>
          </c:cat>
          <c:val>
            <c:numRef>
              <c:f>Visuals!$G$20:$G$24</c:f>
              <c:numCache>
                <c:formatCode>_(* #,##0.00_);_(* \(#,##0.00\);_(* "-"??_);_(@_)</c:formatCode>
                <c:ptCount val="4"/>
                <c:pt idx="0">
                  <c:v>-149.63339999999971</c:v>
                </c:pt>
                <c:pt idx="2">
                  <c:v>20547.545489999997</c:v>
                </c:pt>
                <c:pt idx="3">
                  <c:v>1263.5064600000001</c:v>
                </c:pt>
              </c:numCache>
            </c:numRef>
          </c:val>
          <c:extLst>
            <c:ext xmlns:c16="http://schemas.microsoft.com/office/drawing/2014/chart" uri="{C3380CC4-5D6E-409C-BE32-E72D297353CC}">
              <c16:uniqueId val="{00000006-2D3D-44E0-AADE-BE80EEBCE987}"/>
            </c:ext>
          </c:extLst>
        </c:ser>
        <c:dLbls>
          <c:showLegendKey val="0"/>
          <c:showVal val="0"/>
          <c:showCatName val="0"/>
          <c:showSerName val="0"/>
          <c:showPercent val="0"/>
          <c:showBubbleSize val="0"/>
        </c:dLbls>
        <c:gapWidth val="150"/>
        <c:overlap val="100"/>
        <c:axId val="1230167039"/>
        <c:axId val="1230166623"/>
      </c:barChart>
      <c:catAx>
        <c:axId val="1230167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166623"/>
        <c:crosses val="autoZero"/>
        <c:auto val="1"/>
        <c:lblAlgn val="ctr"/>
        <c:lblOffset val="100"/>
        <c:noMultiLvlLbl val="0"/>
      </c:catAx>
      <c:valAx>
        <c:axId val="1230166623"/>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16703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3">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Brief_Final.xlsx]Visuals!PivotTable3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10 SKU by Revenue</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bar"/>
        <c:grouping val="clustered"/>
        <c:varyColors val="0"/>
        <c:ser>
          <c:idx val="0"/>
          <c:order val="0"/>
          <c:tx>
            <c:strRef>
              <c:f>Visuals!$B$44</c:f>
              <c:strCache>
                <c:ptCount val="1"/>
                <c:pt idx="0">
                  <c:v>Total</c:v>
                </c:pt>
              </c:strCache>
            </c:strRef>
          </c:tx>
          <c:spPr>
            <a:solidFill>
              <a:schemeClr val="accent1"/>
            </a:solidFill>
            <a:ln>
              <a:noFill/>
            </a:ln>
            <a:effectLst/>
          </c:spPr>
          <c:invertIfNegative val="0"/>
          <c:cat>
            <c:strRef>
              <c:f>Visuals!$A$45:$A$55</c:f>
              <c:strCache>
                <c:ptCount val="10"/>
                <c:pt idx="0">
                  <c:v>CMP-2040</c:v>
                </c:pt>
                <c:pt idx="1">
                  <c:v>LAP-8214</c:v>
                </c:pt>
                <c:pt idx="2">
                  <c:v>PHN-9677</c:v>
                </c:pt>
                <c:pt idx="3">
                  <c:v>MON-5188</c:v>
                </c:pt>
                <c:pt idx="4">
                  <c:v>ACC-6626</c:v>
                </c:pt>
                <c:pt idx="5">
                  <c:v>NET-5987</c:v>
                </c:pt>
                <c:pt idx="6">
                  <c:v>CMP-3938</c:v>
                </c:pt>
                <c:pt idx="7">
                  <c:v>MON-6699</c:v>
                </c:pt>
                <c:pt idx="8">
                  <c:v>MON-2266</c:v>
                </c:pt>
                <c:pt idx="9">
                  <c:v>CMP-8851</c:v>
                </c:pt>
              </c:strCache>
            </c:strRef>
          </c:cat>
          <c:val>
            <c:numRef>
              <c:f>Visuals!$B$45:$B$55</c:f>
              <c:numCache>
                <c:formatCode>_(* #,##0.00_);_(* \(#,##0.00\);_(* "-"??_);_(@_)</c:formatCode>
                <c:ptCount val="10"/>
                <c:pt idx="0">
                  <c:v>65111.38614000001</c:v>
                </c:pt>
                <c:pt idx="1">
                  <c:v>65119.329599999997</c:v>
                </c:pt>
                <c:pt idx="2">
                  <c:v>68665.574250000005</c:v>
                </c:pt>
                <c:pt idx="3">
                  <c:v>72665.817450000002</c:v>
                </c:pt>
                <c:pt idx="4">
                  <c:v>79082.507010000001</c:v>
                </c:pt>
                <c:pt idx="5">
                  <c:v>82141.339799999987</c:v>
                </c:pt>
                <c:pt idx="6">
                  <c:v>84136.119600000005</c:v>
                </c:pt>
                <c:pt idx="7">
                  <c:v>85637.740319999997</c:v>
                </c:pt>
                <c:pt idx="8">
                  <c:v>87404.929919999995</c:v>
                </c:pt>
                <c:pt idx="9">
                  <c:v>139277.83032000001</c:v>
                </c:pt>
              </c:numCache>
            </c:numRef>
          </c:val>
          <c:extLst>
            <c:ext xmlns:c16="http://schemas.microsoft.com/office/drawing/2014/chart" uri="{C3380CC4-5D6E-409C-BE32-E72D297353CC}">
              <c16:uniqueId val="{00000000-F977-4FDC-888C-34A7988D234E}"/>
            </c:ext>
          </c:extLst>
        </c:ser>
        <c:dLbls>
          <c:showLegendKey val="0"/>
          <c:showVal val="0"/>
          <c:showCatName val="0"/>
          <c:showSerName val="0"/>
          <c:showPercent val="0"/>
          <c:showBubbleSize val="0"/>
        </c:dLbls>
        <c:gapWidth val="182"/>
        <c:axId val="1403394703"/>
        <c:axId val="1403387631"/>
      </c:barChart>
      <c:catAx>
        <c:axId val="14033947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3387631"/>
        <c:crosses val="autoZero"/>
        <c:auto val="1"/>
        <c:lblAlgn val="ctr"/>
        <c:lblOffset val="100"/>
        <c:noMultiLvlLbl val="0"/>
      </c:catAx>
      <c:valAx>
        <c:axId val="1403387631"/>
        <c:scaling>
          <c:orientation val="minMax"/>
        </c:scaling>
        <c:delete val="0"/>
        <c:axPos val="b"/>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3394703"/>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3">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Brief_Final.xlsx]Visuals 2!PivotTable1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Service</a:t>
            </a:r>
            <a:r>
              <a:rPr lang="en-US" b="1" baseline="0"/>
              <a:t> Level By Region</a:t>
            </a:r>
            <a:endParaRPr lang="en-US" b="1"/>
          </a:p>
        </c:rich>
      </c:tx>
      <c:layout>
        <c:manualLayout>
          <c:xMode val="edge"/>
          <c:yMode val="edge"/>
          <c:x val="0.30373600174978127"/>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s>
    <c:plotArea>
      <c:layout/>
      <c:barChart>
        <c:barDir val="col"/>
        <c:grouping val="clustered"/>
        <c:varyColors val="0"/>
        <c:ser>
          <c:idx val="0"/>
          <c:order val="0"/>
          <c:tx>
            <c:strRef>
              <c:f>'Visuals 2'!$C$1:$C$2</c:f>
              <c:strCache>
                <c:ptCount val="1"/>
                <c:pt idx="0">
                  <c:v>Delayed</c:v>
                </c:pt>
              </c:strCache>
            </c:strRef>
          </c:tx>
          <c:spPr>
            <a:solidFill>
              <a:schemeClr val="accent1"/>
            </a:solidFill>
            <a:ln>
              <a:noFill/>
            </a:ln>
            <a:effectLst/>
          </c:spPr>
          <c:invertIfNegative val="0"/>
          <c:cat>
            <c:strRef>
              <c:f>'Visuals 2'!$B$3:$B$7</c:f>
              <c:strCache>
                <c:ptCount val="4"/>
                <c:pt idx="0">
                  <c:v>Africa</c:v>
                </c:pt>
                <c:pt idx="1">
                  <c:v>Americas</c:v>
                </c:pt>
                <c:pt idx="2">
                  <c:v>Asia</c:v>
                </c:pt>
                <c:pt idx="3">
                  <c:v>Europe</c:v>
                </c:pt>
              </c:strCache>
            </c:strRef>
          </c:cat>
          <c:val>
            <c:numRef>
              <c:f>'Visuals 2'!$C$3:$C$7</c:f>
              <c:numCache>
                <c:formatCode>0.00%</c:formatCode>
                <c:ptCount val="4"/>
                <c:pt idx="0">
                  <c:v>8.924485125858124E-2</c:v>
                </c:pt>
                <c:pt idx="1">
                  <c:v>0.18077803203661327</c:v>
                </c:pt>
                <c:pt idx="2">
                  <c:v>0.30663615560640733</c:v>
                </c:pt>
                <c:pt idx="3">
                  <c:v>0.18306636155606407</c:v>
                </c:pt>
              </c:numCache>
            </c:numRef>
          </c:val>
          <c:extLst>
            <c:ext xmlns:c16="http://schemas.microsoft.com/office/drawing/2014/chart" uri="{C3380CC4-5D6E-409C-BE32-E72D297353CC}">
              <c16:uniqueId val="{00000000-8ACB-4002-8720-079BF5CC48BF}"/>
            </c:ext>
          </c:extLst>
        </c:ser>
        <c:ser>
          <c:idx val="1"/>
          <c:order val="1"/>
          <c:tx>
            <c:strRef>
              <c:f>'Visuals 2'!$D$1:$D$2</c:f>
              <c:strCache>
                <c:ptCount val="1"/>
                <c:pt idx="0">
                  <c:v>On-time</c:v>
                </c:pt>
              </c:strCache>
            </c:strRef>
          </c:tx>
          <c:spPr>
            <a:solidFill>
              <a:schemeClr val="accent2"/>
            </a:solidFill>
            <a:ln>
              <a:noFill/>
            </a:ln>
            <a:effectLst/>
          </c:spPr>
          <c:invertIfNegative val="0"/>
          <c:cat>
            <c:strRef>
              <c:f>'Visuals 2'!$B$3:$B$7</c:f>
              <c:strCache>
                <c:ptCount val="4"/>
                <c:pt idx="0">
                  <c:v>Africa</c:v>
                </c:pt>
                <c:pt idx="1">
                  <c:v>Americas</c:v>
                </c:pt>
                <c:pt idx="2">
                  <c:v>Asia</c:v>
                </c:pt>
                <c:pt idx="3">
                  <c:v>Europe</c:v>
                </c:pt>
              </c:strCache>
            </c:strRef>
          </c:cat>
          <c:val>
            <c:numRef>
              <c:f>'Visuals 2'!$D$3:$D$7</c:f>
              <c:numCache>
                <c:formatCode>0.00%</c:formatCode>
                <c:ptCount val="4"/>
                <c:pt idx="0">
                  <c:v>3.8901601830663615E-2</c:v>
                </c:pt>
                <c:pt idx="1">
                  <c:v>6.1784897025171627E-2</c:v>
                </c:pt>
                <c:pt idx="2">
                  <c:v>8.2379862700228831E-2</c:v>
                </c:pt>
                <c:pt idx="3">
                  <c:v>5.7208237986270026E-2</c:v>
                </c:pt>
              </c:numCache>
            </c:numRef>
          </c:val>
          <c:extLst>
            <c:ext xmlns:c16="http://schemas.microsoft.com/office/drawing/2014/chart" uri="{C3380CC4-5D6E-409C-BE32-E72D297353CC}">
              <c16:uniqueId val="{00000002-8ACB-4002-8720-079BF5CC48BF}"/>
            </c:ext>
          </c:extLst>
        </c:ser>
        <c:dLbls>
          <c:showLegendKey val="0"/>
          <c:showVal val="0"/>
          <c:showCatName val="0"/>
          <c:showSerName val="0"/>
          <c:showPercent val="0"/>
          <c:showBubbleSize val="0"/>
        </c:dLbls>
        <c:gapWidth val="219"/>
        <c:overlap val="-27"/>
        <c:axId val="1369016912"/>
        <c:axId val="1369019824"/>
      </c:barChart>
      <c:catAx>
        <c:axId val="1369016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9019824"/>
        <c:crosses val="autoZero"/>
        <c:auto val="1"/>
        <c:lblAlgn val="ctr"/>
        <c:lblOffset val="100"/>
        <c:noMultiLvlLbl val="0"/>
      </c:catAx>
      <c:valAx>
        <c:axId val="13690198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901691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3">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Brief_Final.xlsx]Visuals 2!PivotTable2</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Cost</a:t>
            </a:r>
            <a:r>
              <a:rPr lang="en-US" b="1" baseline="0"/>
              <a:t> of Goods by Year</a:t>
            </a:r>
            <a:endParaRPr lang="en-US" b="1"/>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pivotFmt>
    </c:pivotFmts>
    <c:plotArea>
      <c:layout/>
      <c:pieChart>
        <c:varyColors val="1"/>
        <c:ser>
          <c:idx val="0"/>
          <c:order val="0"/>
          <c:tx>
            <c:strRef>
              <c:f>'Visuals 2'!$C$15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738-46AE-8119-BD9E3839DE9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738-46AE-8119-BD9E3839DE9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738-46AE-8119-BD9E3839DE90}"/>
              </c:ext>
            </c:extLst>
          </c:dPt>
          <c:cat>
            <c:strRef>
              <c:f>'Visuals 2'!$B$16:$B$19</c:f>
              <c:strCache>
                <c:ptCount val="3"/>
                <c:pt idx="0">
                  <c:v>2023</c:v>
                </c:pt>
                <c:pt idx="1">
                  <c:v>2024</c:v>
                </c:pt>
                <c:pt idx="2">
                  <c:v>2025</c:v>
                </c:pt>
              </c:strCache>
            </c:strRef>
          </c:cat>
          <c:val>
            <c:numRef>
              <c:f>'Visuals 2'!$C$16:$C$19</c:f>
              <c:numCache>
                <c:formatCode>_(* #,##0.00_);_(* \(#,##0.00\);_(* "-"??_);_(@_)</c:formatCode>
                <c:ptCount val="3"/>
                <c:pt idx="0">
                  <c:v>1756098.4900000016</c:v>
                </c:pt>
                <c:pt idx="1">
                  <c:v>2106216.52</c:v>
                </c:pt>
                <c:pt idx="2">
                  <c:v>1239667.2399999998</c:v>
                </c:pt>
              </c:numCache>
            </c:numRef>
          </c:val>
          <c:extLst>
            <c:ext xmlns:c16="http://schemas.microsoft.com/office/drawing/2014/chart" uri="{C3380CC4-5D6E-409C-BE32-E72D297353CC}">
              <c16:uniqueId val="{00000006-E738-46AE-8119-BD9E3839DE90}"/>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3">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Brief_Final.xlsx]Visuals!PivotTable4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Discount</a:t>
            </a:r>
            <a:r>
              <a:rPr lang="en-US" b="1" baseline="0"/>
              <a:t> Compiance by Country</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s>
    <c:plotArea>
      <c:layout/>
      <c:barChart>
        <c:barDir val="col"/>
        <c:grouping val="stacked"/>
        <c:varyColors val="0"/>
        <c:ser>
          <c:idx val="0"/>
          <c:order val="0"/>
          <c:tx>
            <c:strRef>
              <c:f>Visuals!$B$64:$B$65</c:f>
              <c:strCache>
                <c:ptCount val="1"/>
                <c:pt idx="0">
                  <c:v>Compliant Discount</c:v>
                </c:pt>
              </c:strCache>
            </c:strRef>
          </c:tx>
          <c:spPr>
            <a:solidFill>
              <a:schemeClr val="accent1"/>
            </a:solidFill>
            <a:ln>
              <a:noFill/>
            </a:ln>
            <a:effectLst/>
          </c:spPr>
          <c:invertIfNegative val="0"/>
          <c:cat>
            <c:strRef>
              <c:f>Visuals!$A$66:$A$74</c:f>
              <c:strCache>
                <c:ptCount val="8"/>
                <c:pt idx="0">
                  <c:v>Canada</c:v>
                </c:pt>
                <c:pt idx="1">
                  <c:v>Germany</c:v>
                </c:pt>
                <c:pt idx="2">
                  <c:v>China</c:v>
                </c:pt>
                <c:pt idx="3">
                  <c:v>France</c:v>
                </c:pt>
                <c:pt idx="4">
                  <c:v>Kenya</c:v>
                </c:pt>
                <c:pt idx="5">
                  <c:v>Japan</c:v>
                </c:pt>
                <c:pt idx="6">
                  <c:v>India</c:v>
                </c:pt>
                <c:pt idx="7">
                  <c:v>Brazil</c:v>
                </c:pt>
              </c:strCache>
            </c:strRef>
          </c:cat>
          <c:val>
            <c:numRef>
              <c:f>Visuals!$B$66:$B$74</c:f>
              <c:numCache>
                <c:formatCode>0.00%</c:formatCode>
                <c:ptCount val="8"/>
                <c:pt idx="0">
                  <c:v>8.2379862700228831E-2</c:v>
                </c:pt>
                <c:pt idx="1">
                  <c:v>0.10297482837528604</c:v>
                </c:pt>
                <c:pt idx="2">
                  <c:v>0.10068649885583524</c:v>
                </c:pt>
                <c:pt idx="3">
                  <c:v>0.11212814645308924</c:v>
                </c:pt>
                <c:pt idx="4">
                  <c:v>0.10526315789473684</c:v>
                </c:pt>
                <c:pt idx="5">
                  <c:v>0.11670480549199085</c:v>
                </c:pt>
                <c:pt idx="6">
                  <c:v>0.11899313501144165</c:v>
                </c:pt>
                <c:pt idx="7">
                  <c:v>0.12356979405034325</c:v>
                </c:pt>
              </c:numCache>
            </c:numRef>
          </c:val>
          <c:extLst>
            <c:ext xmlns:c16="http://schemas.microsoft.com/office/drawing/2014/chart" uri="{C3380CC4-5D6E-409C-BE32-E72D297353CC}">
              <c16:uniqueId val="{00000000-30D4-4701-B0AC-EF092929DF0C}"/>
            </c:ext>
          </c:extLst>
        </c:ser>
        <c:ser>
          <c:idx val="1"/>
          <c:order val="1"/>
          <c:tx>
            <c:strRef>
              <c:f>Visuals!$C$64:$C$65</c:f>
              <c:strCache>
                <c:ptCount val="1"/>
                <c:pt idx="0">
                  <c:v>Non-compliant Discount</c:v>
                </c:pt>
              </c:strCache>
            </c:strRef>
          </c:tx>
          <c:spPr>
            <a:solidFill>
              <a:schemeClr val="accent2"/>
            </a:solidFill>
            <a:ln>
              <a:noFill/>
            </a:ln>
            <a:effectLst/>
          </c:spPr>
          <c:invertIfNegative val="0"/>
          <c:cat>
            <c:strRef>
              <c:f>Visuals!$A$66:$A$74</c:f>
              <c:strCache>
                <c:ptCount val="8"/>
                <c:pt idx="0">
                  <c:v>Canada</c:v>
                </c:pt>
                <c:pt idx="1">
                  <c:v>Germany</c:v>
                </c:pt>
                <c:pt idx="2">
                  <c:v>China</c:v>
                </c:pt>
                <c:pt idx="3">
                  <c:v>France</c:v>
                </c:pt>
                <c:pt idx="4">
                  <c:v>Kenya</c:v>
                </c:pt>
                <c:pt idx="5">
                  <c:v>Japan</c:v>
                </c:pt>
                <c:pt idx="6">
                  <c:v>India</c:v>
                </c:pt>
                <c:pt idx="7">
                  <c:v>Brazil</c:v>
                </c:pt>
              </c:strCache>
            </c:strRef>
          </c:cat>
          <c:val>
            <c:numRef>
              <c:f>Visuals!$C$66:$C$74</c:f>
              <c:numCache>
                <c:formatCode>0.00%</c:formatCode>
                <c:ptCount val="8"/>
                <c:pt idx="0">
                  <c:v>1.8306636155606407E-2</c:v>
                </c:pt>
                <c:pt idx="1">
                  <c:v>1.3729977116704805E-2</c:v>
                </c:pt>
                <c:pt idx="2">
                  <c:v>1.6018306636155607E-2</c:v>
                </c:pt>
                <c:pt idx="3">
                  <c:v>1.1441647597254004E-2</c:v>
                </c:pt>
                <c:pt idx="4">
                  <c:v>2.2883295194508008E-2</c:v>
                </c:pt>
                <c:pt idx="5">
                  <c:v>1.8306636155606407E-2</c:v>
                </c:pt>
                <c:pt idx="6">
                  <c:v>1.8306636155606407E-2</c:v>
                </c:pt>
                <c:pt idx="7">
                  <c:v>1.8306636155606407E-2</c:v>
                </c:pt>
              </c:numCache>
            </c:numRef>
          </c:val>
          <c:extLst>
            <c:ext xmlns:c16="http://schemas.microsoft.com/office/drawing/2014/chart" uri="{C3380CC4-5D6E-409C-BE32-E72D297353CC}">
              <c16:uniqueId val="{00000003-30D4-4701-B0AC-EF092929DF0C}"/>
            </c:ext>
          </c:extLst>
        </c:ser>
        <c:dLbls>
          <c:showLegendKey val="0"/>
          <c:showVal val="0"/>
          <c:showCatName val="0"/>
          <c:showSerName val="0"/>
          <c:showPercent val="0"/>
          <c:showBubbleSize val="0"/>
        </c:dLbls>
        <c:gapWidth val="150"/>
        <c:overlap val="100"/>
        <c:axId val="1393792848"/>
        <c:axId val="1393792432"/>
      </c:barChart>
      <c:catAx>
        <c:axId val="1393792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792432"/>
        <c:crosses val="autoZero"/>
        <c:auto val="1"/>
        <c:lblAlgn val="ctr"/>
        <c:lblOffset val="100"/>
        <c:noMultiLvlLbl val="0"/>
      </c:catAx>
      <c:valAx>
        <c:axId val="13937924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79284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3">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563880</xdr:colOff>
      <xdr:row>0</xdr:row>
      <xdr:rowOff>11430</xdr:rowOff>
    </xdr:from>
    <xdr:to>
      <xdr:col>10</xdr:col>
      <xdr:colOff>259080</xdr:colOff>
      <xdr:row>15</xdr:row>
      <xdr:rowOff>11430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1013460</xdr:colOff>
      <xdr:row>24</xdr:row>
      <xdr:rowOff>140970</xdr:rowOff>
    </xdr:from>
    <xdr:to>
      <xdr:col>7</xdr:col>
      <xdr:colOff>381000</xdr:colOff>
      <xdr:row>39</xdr:row>
      <xdr:rowOff>140970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110490</xdr:colOff>
      <xdr:row>42</xdr:row>
      <xdr:rowOff>163830</xdr:rowOff>
    </xdr:from>
    <xdr:to>
      <xdr:col>7</xdr:col>
      <xdr:colOff>544830</xdr:colOff>
      <xdr:row>57</xdr:row>
      <xdr:rowOff>163830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662940</xdr:colOff>
      <xdr:row>91</xdr:row>
      <xdr:rowOff>160020</xdr:rowOff>
    </xdr:from>
    <xdr:to>
      <xdr:col>4</xdr:col>
      <xdr:colOff>259080</xdr:colOff>
      <xdr:row>105</xdr:row>
      <xdr:rowOff>66675</xdr:rowOff>
    </xdr:to>
    <mc:AlternateContent xmlns:mc="http://schemas.openxmlformats.org/markup-compatibility/2006" xmlns:a14="http://schemas.microsoft.com/office/drawing/2010/main">
      <mc:Choice Requires="a14">
        <xdr:graphicFrame macro="">
          <xdr:nvGraphicFramePr>
            <xdr:cNvPr id="5" name="OrderDate"/>
            <xdr:cNvGraphicFramePr/>
          </xdr:nvGraphicFramePr>
          <xdr:xfrm>
            <a:off x="0" y="0"/>
            <a:ext cx="0" cy="0"/>
          </xdr:xfrm>
          <a:graphic>
            <a:graphicData uri="http://schemas.microsoft.com/office/drawing/2010/slicer">
              <sle:slicer xmlns:sle="http://schemas.microsoft.com/office/drawing/2010/slicer" name="OrderDate"/>
            </a:graphicData>
          </a:graphic>
        </xdr:graphicFrame>
      </mc:Choice>
      <mc:Fallback xmlns="">
        <xdr:sp macro="" textlink="">
          <xdr:nvSpPr>
            <xdr:cNvPr id="0" name=""/>
            <xdr:cNvSpPr>
              <a:spLocks noTextEdit="1"/>
            </xdr:cNvSpPr>
          </xdr:nvSpPr>
          <xdr:spPr>
            <a:xfrm>
              <a:off x="2895600" y="168021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845820</xdr:colOff>
      <xdr:row>78</xdr:row>
      <xdr:rowOff>83820</xdr:rowOff>
    </xdr:from>
    <xdr:to>
      <xdr:col>1</xdr:col>
      <xdr:colOff>1059180</xdr:colOff>
      <xdr:row>91</xdr:row>
      <xdr:rowOff>173355</xdr:rowOff>
    </xdr:to>
    <mc:AlternateContent xmlns:mc="http://schemas.openxmlformats.org/markup-compatibility/2006" xmlns:a14="http://schemas.microsoft.com/office/drawing/2010/main">
      <mc:Choice Requires="a14">
        <xdr:graphicFrame macro="">
          <xdr:nvGraphicFramePr>
            <xdr:cNvPr id="6"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45820" y="143484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647700</xdr:colOff>
      <xdr:row>78</xdr:row>
      <xdr:rowOff>68580</xdr:rowOff>
    </xdr:from>
    <xdr:to>
      <xdr:col>4</xdr:col>
      <xdr:colOff>243840</xdr:colOff>
      <xdr:row>91</xdr:row>
      <xdr:rowOff>158115</xdr:rowOff>
    </xdr:to>
    <mc:AlternateContent xmlns:mc="http://schemas.openxmlformats.org/markup-compatibility/2006" xmlns:a14="http://schemas.microsoft.com/office/drawing/2010/main">
      <mc:Choice Requires="a14">
        <xdr:graphicFrame macro="">
          <xdr:nvGraphicFramePr>
            <xdr:cNvPr id="7" name="Country"/>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2880360" y="143332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144780</xdr:colOff>
      <xdr:row>78</xdr:row>
      <xdr:rowOff>45720</xdr:rowOff>
    </xdr:from>
    <xdr:to>
      <xdr:col>7</xdr:col>
      <xdr:colOff>472440</xdr:colOff>
      <xdr:row>91</xdr:row>
      <xdr:rowOff>135255</xdr:rowOff>
    </xdr:to>
    <mc:AlternateContent xmlns:mc="http://schemas.openxmlformats.org/markup-compatibility/2006" xmlns:a14="http://schemas.microsoft.com/office/drawing/2010/main">
      <mc:Choice Requires="a14">
        <xdr:graphicFrame macro="">
          <xdr:nvGraphicFramePr>
            <xdr:cNvPr id="9" name="Channel"/>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4861560" y="143103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175260</xdr:colOff>
      <xdr:row>91</xdr:row>
      <xdr:rowOff>152400</xdr:rowOff>
    </xdr:from>
    <xdr:to>
      <xdr:col>7</xdr:col>
      <xdr:colOff>502920</xdr:colOff>
      <xdr:row>105</xdr:row>
      <xdr:rowOff>59055</xdr:rowOff>
    </xdr:to>
    <mc:AlternateContent xmlns:mc="http://schemas.openxmlformats.org/markup-compatibility/2006" xmlns:a14="http://schemas.microsoft.com/office/drawing/2010/main">
      <mc:Choice Requires="a14">
        <xdr:graphicFrame macro="">
          <xdr:nvGraphicFramePr>
            <xdr:cNvPr id="10" name="Salesperson"/>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4892040" y="167944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838200</xdr:colOff>
      <xdr:row>92</xdr:row>
      <xdr:rowOff>0</xdr:rowOff>
    </xdr:from>
    <xdr:to>
      <xdr:col>1</xdr:col>
      <xdr:colOff>1051560</xdr:colOff>
      <xdr:row>105</xdr:row>
      <xdr:rowOff>89535</xdr:rowOff>
    </xdr:to>
    <mc:AlternateContent xmlns:mc="http://schemas.openxmlformats.org/markup-compatibility/2006" xmlns:a14="http://schemas.microsoft.com/office/drawing/2010/main">
      <mc:Choice Requires="a14">
        <xdr:graphicFrame macro="">
          <xdr:nvGraphicFramePr>
            <xdr:cNvPr id="11" name="ProductCategory"/>
            <xdr:cNvGraphicFramePr/>
          </xdr:nvGraphicFramePr>
          <xdr:xfrm>
            <a:off x="0" y="0"/>
            <a:ext cx="0" cy="0"/>
          </xdr:xfrm>
          <a:graphic>
            <a:graphicData uri="http://schemas.microsoft.com/office/drawing/2010/slicer">
              <sle:slicer xmlns:sle="http://schemas.microsoft.com/office/drawing/2010/slicer" name="ProductCategory"/>
            </a:graphicData>
          </a:graphic>
        </xdr:graphicFrame>
      </mc:Choice>
      <mc:Fallback xmlns="">
        <xdr:sp macro="" textlink="">
          <xdr:nvSpPr>
            <xdr:cNvPr id="0" name=""/>
            <xdr:cNvSpPr>
              <a:spLocks noTextEdit="1"/>
            </xdr:cNvSpPr>
          </xdr:nvSpPr>
          <xdr:spPr>
            <a:xfrm>
              <a:off x="838200" y="168249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495300</xdr:colOff>
      <xdr:row>60</xdr:row>
      <xdr:rowOff>163830</xdr:rowOff>
    </xdr:from>
    <xdr:to>
      <xdr:col>10</xdr:col>
      <xdr:colOff>472440</xdr:colOff>
      <xdr:row>75</xdr:row>
      <xdr:rowOff>163830</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259080</xdr:colOff>
      <xdr:row>0</xdr:row>
      <xdr:rowOff>0</xdr:rowOff>
    </xdr:from>
    <xdr:to>
      <xdr:col>11</xdr:col>
      <xdr:colOff>129540</xdr:colOff>
      <xdr:row>11</xdr:row>
      <xdr:rowOff>167640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228600</xdr:colOff>
      <xdr:row>12</xdr:row>
      <xdr:rowOff>34290</xdr:rowOff>
    </xdr:from>
    <xdr:to>
      <xdr:col>11</xdr:col>
      <xdr:colOff>99060</xdr:colOff>
      <xdr:row>27</xdr:row>
      <xdr:rowOff>34290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65690</xdr:rowOff>
    </xdr:from>
    <xdr:to>
      <xdr:col>22</xdr:col>
      <xdr:colOff>26276</xdr:colOff>
      <xdr:row>4</xdr:row>
      <xdr:rowOff>78827</xdr:rowOff>
    </xdr:to>
    <xdr:sp macro="" textlink="">
      <xdr:nvSpPr>
        <xdr:cNvPr id="2" name="Rounded Rectangle 1"/>
        <xdr:cNvSpPr/>
      </xdr:nvSpPr>
      <xdr:spPr>
        <a:xfrm>
          <a:off x="472966" y="65690"/>
          <a:ext cx="13453241" cy="748861"/>
        </a:xfrm>
        <a:prstGeom prst="roundRect">
          <a:avLst/>
        </a:prstGeom>
        <a:solidFill>
          <a:schemeClr val="accent3">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tx1"/>
              </a:solidFill>
            </a:rPr>
            <a:t>ELECTRONICS DISRIBUTOR SALES DASHBOARD</a:t>
          </a:r>
        </a:p>
      </xdr:txBody>
    </xdr:sp>
    <xdr:clientData/>
  </xdr:twoCellAnchor>
  <xdr:twoCellAnchor>
    <xdr:from>
      <xdr:col>0</xdr:col>
      <xdr:colOff>0</xdr:colOff>
      <xdr:row>4</xdr:row>
      <xdr:rowOff>161859</xdr:rowOff>
    </xdr:from>
    <xdr:to>
      <xdr:col>4</xdr:col>
      <xdr:colOff>352623</xdr:colOff>
      <xdr:row>10</xdr:row>
      <xdr:rowOff>89688</xdr:rowOff>
    </xdr:to>
    <xdr:sp macro="" textlink="">
      <xdr:nvSpPr>
        <xdr:cNvPr id="3" name="Rounded Rectangle 2"/>
        <xdr:cNvSpPr/>
      </xdr:nvSpPr>
      <xdr:spPr>
        <a:xfrm>
          <a:off x="551794" y="897583"/>
          <a:ext cx="2822553" cy="1031415"/>
        </a:xfrm>
        <a:prstGeom prst="roundRect">
          <a:avLst/>
        </a:prstGeom>
        <a:solidFill>
          <a:schemeClr val="accent3">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tx1"/>
              </a:solidFill>
            </a:rPr>
            <a:t>TOTAL REVENUE</a:t>
          </a:r>
        </a:p>
        <a:p>
          <a:pPr algn="ctr"/>
          <a:r>
            <a:rPr lang="en-US" sz="1600" b="1">
              <a:solidFill>
                <a:schemeClr val="tx1"/>
              </a:solidFill>
            </a:rPr>
            <a:t>10,919,008.63</a:t>
          </a:r>
        </a:p>
      </xdr:txBody>
    </xdr:sp>
    <xdr:clientData/>
  </xdr:twoCellAnchor>
  <xdr:twoCellAnchor>
    <xdr:from>
      <xdr:col>5</xdr:col>
      <xdr:colOff>26276</xdr:colOff>
      <xdr:row>4</xdr:row>
      <xdr:rowOff>169480</xdr:rowOff>
    </xdr:from>
    <xdr:to>
      <xdr:col>9</xdr:col>
      <xdr:colOff>223344</xdr:colOff>
      <xdr:row>10</xdr:row>
      <xdr:rowOff>69369</xdr:rowOff>
    </xdr:to>
    <xdr:sp macro="" textlink="">
      <xdr:nvSpPr>
        <xdr:cNvPr id="4" name="Rounded Rectangle 3"/>
        <xdr:cNvSpPr/>
      </xdr:nvSpPr>
      <xdr:spPr>
        <a:xfrm>
          <a:off x="3652345" y="905204"/>
          <a:ext cx="2614447" cy="1003475"/>
        </a:xfrm>
        <a:prstGeom prst="roundRect">
          <a:avLst/>
        </a:prstGeom>
        <a:solidFill>
          <a:schemeClr val="accent3">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tx1"/>
              </a:solidFill>
            </a:rPr>
            <a:t>GROSS</a:t>
          </a:r>
          <a:r>
            <a:rPr lang="en-US" sz="1600" b="1" baseline="0">
              <a:solidFill>
                <a:schemeClr val="tx1"/>
              </a:solidFill>
            </a:rPr>
            <a:t> PROFIT</a:t>
          </a:r>
        </a:p>
        <a:p>
          <a:pPr algn="ctr"/>
          <a:r>
            <a:rPr lang="en-US" sz="1400" b="1" i="0" u="none" strike="noStrike">
              <a:solidFill>
                <a:schemeClr val="tx1"/>
              </a:solidFill>
              <a:effectLst/>
              <a:latin typeface="+mn-lt"/>
              <a:ea typeface="+mn-ea"/>
              <a:cs typeface="+mn-cs"/>
            </a:rPr>
            <a:t>   3,422,813.42 </a:t>
          </a:r>
          <a:endParaRPr lang="en-US" sz="1400" b="1">
            <a:solidFill>
              <a:schemeClr val="tx1"/>
            </a:solidFill>
          </a:endParaRPr>
        </a:p>
      </xdr:txBody>
    </xdr:sp>
    <xdr:clientData/>
  </xdr:twoCellAnchor>
  <xdr:twoCellAnchor>
    <xdr:from>
      <xdr:col>9</xdr:col>
      <xdr:colOff>381001</xdr:colOff>
      <xdr:row>5</xdr:row>
      <xdr:rowOff>19444</xdr:rowOff>
    </xdr:from>
    <xdr:to>
      <xdr:col>13</xdr:col>
      <xdr:colOff>397291</xdr:colOff>
      <xdr:row>10</xdr:row>
      <xdr:rowOff>75324</xdr:rowOff>
    </xdr:to>
    <xdr:sp macro="" textlink="">
      <xdr:nvSpPr>
        <xdr:cNvPr id="5" name="Rounded Rectangle 4"/>
        <xdr:cNvSpPr/>
      </xdr:nvSpPr>
      <xdr:spPr>
        <a:xfrm>
          <a:off x="6424449" y="939099"/>
          <a:ext cx="2433670" cy="975535"/>
        </a:xfrm>
        <a:prstGeom prst="roundRect">
          <a:avLst/>
        </a:prstGeom>
        <a:solidFill>
          <a:schemeClr val="accent3">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tx1"/>
              </a:solidFill>
            </a:rPr>
            <a:t>MARGIN</a:t>
          </a:r>
          <a:r>
            <a:rPr lang="en-US" sz="1100" b="1" i="0" u="none" strike="noStrike">
              <a:solidFill>
                <a:schemeClr val="lt1"/>
              </a:solidFill>
              <a:effectLst/>
              <a:latin typeface="+mn-lt"/>
              <a:ea typeface="+mn-ea"/>
              <a:cs typeface="+mn-cs"/>
            </a:rPr>
            <a:t> </a:t>
          </a:r>
        </a:p>
        <a:p>
          <a:pPr algn="ctr"/>
          <a:r>
            <a:rPr lang="en-US" sz="1400" b="1" i="0" u="none" strike="noStrike">
              <a:solidFill>
                <a:schemeClr val="tx1"/>
              </a:solidFill>
              <a:effectLst/>
              <a:latin typeface="+mn-lt"/>
              <a:ea typeface="+mn-ea"/>
              <a:cs typeface="+mn-cs"/>
            </a:rPr>
            <a:t>27%</a:t>
          </a:r>
          <a:endParaRPr lang="en-US" sz="1400" b="1">
            <a:solidFill>
              <a:schemeClr val="tx1"/>
            </a:solidFill>
          </a:endParaRPr>
        </a:p>
      </xdr:txBody>
    </xdr:sp>
    <xdr:clientData/>
  </xdr:twoCellAnchor>
  <xdr:twoCellAnchor>
    <xdr:from>
      <xdr:col>14</xdr:col>
      <xdr:colOff>1</xdr:colOff>
      <xdr:row>4</xdr:row>
      <xdr:rowOff>144517</xdr:rowOff>
    </xdr:from>
    <xdr:to>
      <xdr:col>18</xdr:col>
      <xdr:colOff>28641</xdr:colOff>
      <xdr:row>10</xdr:row>
      <xdr:rowOff>65690</xdr:rowOff>
    </xdr:to>
    <xdr:sp macro="" textlink="">
      <xdr:nvSpPr>
        <xdr:cNvPr id="6" name="Rounded Rectangle 5"/>
        <xdr:cNvSpPr/>
      </xdr:nvSpPr>
      <xdr:spPr>
        <a:xfrm>
          <a:off x="9065173" y="880241"/>
          <a:ext cx="2446020" cy="1024759"/>
        </a:xfrm>
        <a:prstGeom prst="roundRect">
          <a:avLst/>
        </a:prstGeom>
        <a:solidFill>
          <a:schemeClr val="accent3">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tx1"/>
              </a:solidFill>
            </a:rPr>
            <a:t>AVERAGE ORDER</a:t>
          </a:r>
          <a:r>
            <a:rPr lang="en-US" sz="1600" b="1" baseline="0">
              <a:solidFill>
                <a:schemeClr val="tx1"/>
              </a:solidFill>
            </a:rPr>
            <a:t> VALUE</a:t>
          </a:r>
        </a:p>
        <a:p>
          <a:pPr algn="ctr"/>
          <a:r>
            <a:rPr lang="en-US" sz="1600" b="1" baseline="0">
              <a:solidFill>
                <a:schemeClr val="tx1"/>
              </a:solidFill>
            </a:rPr>
            <a:t>17,304.29</a:t>
          </a:r>
          <a:endParaRPr lang="en-US" sz="1600" b="1">
            <a:solidFill>
              <a:schemeClr val="tx1"/>
            </a:solidFill>
          </a:endParaRPr>
        </a:p>
      </xdr:txBody>
    </xdr:sp>
    <xdr:clientData/>
  </xdr:twoCellAnchor>
  <xdr:twoCellAnchor>
    <xdr:from>
      <xdr:col>18</xdr:col>
      <xdr:colOff>189974</xdr:colOff>
      <xdr:row>4</xdr:row>
      <xdr:rowOff>163961</xdr:rowOff>
    </xdr:from>
    <xdr:to>
      <xdr:col>22</xdr:col>
      <xdr:colOff>121395</xdr:colOff>
      <xdr:row>9</xdr:row>
      <xdr:rowOff>179201</xdr:rowOff>
    </xdr:to>
    <xdr:sp macro="" textlink="">
      <xdr:nvSpPr>
        <xdr:cNvPr id="7" name="Rounded Rectangle 6"/>
        <xdr:cNvSpPr/>
      </xdr:nvSpPr>
      <xdr:spPr>
        <a:xfrm>
          <a:off x="11672526" y="899685"/>
          <a:ext cx="2348800" cy="934895"/>
        </a:xfrm>
        <a:prstGeom prst="roundRect">
          <a:avLst/>
        </a:prstGeom>
        <a:solidFill>
          <a:schemeClr val="accent3">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tx1"/>
              </a:solidFill>
            </a:rPr>
            <a:t>ON-TIME </a:t>
          </a:r>
        </a:p>
        <a:p>
          <a:pPr algn="ctr"/>
          <a:r>
            <a:rPr lang="en-US" sz="1600" b="1">
              <a:solidFill>
                <a:schemeClr val="tx1"/>
              </a:solidFill>
            </a:rPr>
            <a:t>27.26%</a:t>
          </a:r>
        </a:p>
      </xdr:txBody>
    </xdr:sp>
    <xdr:clientData/>
  </xdr:twoCellAnchor>
  <xdr:twoCellAnchor>
    <xdr:from>
      <xdr:col>0</xdr:col>
      <xdr:colOff>0</xdr:colOff>
      <xdr:row>10</xdr:row>
      <xdr:rowOff>155028</xdr:rowOff>
    </xdr:from>
    <xdr:to>
      <xdr:col>11</xdr:col>
      <xdr:colOff>78153</xdr:colOff>
      <xdr:row>25</xdr:row>
      <xdr:rowOff>155028</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78154</xdr:colOff>
      <xdr:row>10</xdr:row>
      <xdr:rowOff>155028</xdr:rowOff>
    </xdr:from>
    <xdr:to>
      <xdr:col>22</xdr:col>
      <xdr:colOff>137779</xdr:colOff>
      <xdr:row>25</xdr:row>
      <xdr:rowOff>155028</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26</xdr:row>
      <xdr:rowOff>41119</xdr:rowOff>
    </xdr:from>
    <xdr:to>
      <xdr:col>11</xdr:col>
      <xdr:colOff>117229</xdr:colOff>
      <xdr:row>41</xdr:row>
      <xdr:rowOff>41119</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156307</xdr:colOff>
      <xdr:row>41</xdr:row>
      <xdr:rowOff>13137</xdr:rowOff>
    </xdr:from>
    <xdr:to>
      <xdr:col>22</xdr:col>
      <xdr:colOff>144517</xdr:colOff>
      <xdr:row>56</xdr:row>
      <xdr:rowOff>136769</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41</xdr:row>
      <xdr:rowOff>91293</xdr:rowOff>
    </xdr:from>
    <xdr:to>
      <xdr:col>11</xdr:col>
      <xdr:colOff>156306</xdr:colOff>
      <xdr:row>56</xdr:row>
      <xdr:rowOff>156307</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136769</xdr:colOff>
      <xdr:row>26</xdr:row>
      <xdr:rowOff>13138</xdr:rowOff>
    </xdr:from>
    <xdr:to>
      <xdr:col>22</xdr:col>
      <xdr:colOff>131379</xdr:colOff>
      <xdr:row>41</xdr:row>
      <xdr:rowOff>5458</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22</xdr:col>
      <xdr:colOff>137160</xdr:colOff>
      <xdr:row>10</xdr:row>
      <xdr:rowOff>167640</xdr:rowOff>
    </xdr:from>
    <xdr:to>
      <xdr:col>25</xdr:col>
      <xdr:colOff>137160</xdr:colOff>
      <xdr:row>24</xdr:row>
      <xdr:rowOff>76724</xdr:rowOff>
    </xdr:to>
    <mc:AlternateContent xmlns:mc="http://schemas.openxmlformats.org/markup-compatibility/2006">
      <mc:Choice xmlns:a14="http://schemas.microsoft.com/office/drawing/2010/main" Requires="a14">
        <xdr:graphicFrame macro="">
          <xdr:nvGraphicFramePr>
            <xdr:cNvPr id="20"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3548360" y="1996440"/>
              <a:ext cx="1828800" cy="24694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106680</xdr:colOff>
      <xdr:row>24</xdr:row>
      <xdr:rowOff>45720</xdr:rowOff>
    </xdr:from>
    <xdr:to>
      <xdr:col>28</xdr:col>
      <xdr:colOff>106679</xdr:colOff>
      <xdr:row>36</xdr:row>
      <xdr:rowOff>30480</xdr:rowOff>
    </xdr:to>
    <mc:AlternateContent xmlns:mc="http://schemas.openxmlformats.org/markup-compatibility/2006">
      <mc:Choice xmlns:a14="http://schemas.microsoft.com/office/drawing/2010/main" Requires="a14">
        <xdr:graphicFrame macro="">
          <xdr:nvGraphicFramePr>
            <xdr:cNvPr id="21" name="Country 1"/>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15346680" y="4434840"/>
              <a:ext cx="1828799" cy="21793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152400</xdr:colOff>
      <xdr:row>24</xdr:row>
      <xdr:rowOff>30480</xdr:rowOff>
    </xdr:from>
    <xdr:to>
      <xdr:col>25</xdr:col>
      <xdr:colOff>152400</xdr:colOff>
      <xdr:row>36</xdr:row>
      <xdr:rowOff>21609</xdr:rowOff>
    </xdr:to>
    <mc:AlternateContent xmlns:mc="http://schemas.openxmlformats.org/markup-compatibility/2006">
      <mc:Choice xmlns:a14="http://schemas.microsoft.com/office/drawing/2010/main" Requires="a14">
        <xdr:graphicFrame macro="">
          <xdr:nvGraphicFramePr>
            <xdr:cNvPr id="22" name="Channel 1"/>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dr:sp macro="" textlink="">
          <xdr:nvSpPr>
            <xdr:cNvPr id="0" name=""/>
            <xdr:cNvSpPr>
              <a:spLocks noTextEdit="1"/>
            </xdr:cNvSpPr>
          </xdr:nvSpPr>
          <xdr:spPr>
            <a:xfrm>
              <a:off x="13563600" y="4419600"/>
              <a:ext cx="1828800" cy="21856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106680</xdr:colOff>
      <xdr:row>10</xdr:row>
      <xdr:rowOff>167640</xdr:rowOff>
    </xdr:from>
    <xdr:to>
      <xdr:col>28</xdr:col>
      <xdr:colOff>106679</xdr:colOff>
      <xdr:row>24</xdr:row>
      <xdr:rowOff>91440</xdr:rowOff>
    </xdr:to>
    <mc:AlternateContent xmlns:mc="http://schemas.openxmlformats.org/markup-compatibility/2006">
      <mc:Choice xmlns:a14="http://schemas.microsoft.com/office/drawing/2010/main" Requires="a14">
        <xdr:graphicFrame macro="">
          <xdr:nvGraphicFramePr>
            <xdr:cNvPr id="23" name="ProductCategory 1"/>
            <xdr:cNvGraphicFramePr/>
          </xdr:nvGraphicFramePr>
          <xdr:xfrm>
            <a:off x="0" y="0"/>
            <a:ext cx="0" cy="0"/>
          </xdr:xfrm>
          <a:graphic>
            <a:graphicData uri="http://schemas.microsoft.com/office/drawing/2010/slicer">
              <sle:slicer xmlns:sle="http://schemas.microsoft.com/office/drawing/2010/slicer" name="ProductCategory 1"/>
            </a:graphicData>
          </a:graphic>
        </xdr:graphicFrame>
      </mc:Choice>
      <mc:Fallback>
        <xdr:sp macro="" textlink="">
          <xdr:nvSpPr>
            <xdr:cNvPr id="0" name=""/>
            <xdr:cNvSpPr>
              <a:spLocks noTextEdit="1"/>
            </xdr:cNvSpPr>
          </xdr:nvSpPr>
          <xdr:spPr>
            <a:xfrm>
              <a:off x="15346680" y="1996440"/>
              <a:ext cx="1828799" cy="2484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167641</xdr:colOff>
      <xdr:row>36</xdr:row>
      <xdr:rowOff>30480</xdr:rowOff>
    </xdr:from>
    <xdr:to>
      <xdr:col>25</xdr:col>
      <xdr:colOff>152401</xdr:colOff>
      <xdr:row>49</xdr:row>
      <xdr:rowOff>127169</xdr:rowOff>
    </xdr:to>
    <mc:AlternateContent xmlns:mc="http://schemas.openxmlformats.org/markup-compatibility/2006">
      <mc:Choice xmlns:a14="http://schemas.microsoft.com/office/drawing/2010/main" Requires="a14">
        <xdr:graphicFrame macro="">
          <xdr:nvGraphicFramePr>
            <xdr:cNvPr id="24" name="OrderDate 1"/>
            <xdr:cNvGraphicFramePr/>
          </xdr:nvGraphicFramePr>
          <xdr:xfrm>
            <a:off x="0" y="0"/>
            <a:ext cx="0" cy="0"/>
          </xdr:xfrm>
          <a:graphic>
            <a:graphicData uri="http://schemas.microsoft.com/office/drawing/2010/slicer">
              <sle:slicer xmlns:sle="http://schemas.microsoft.com/office/drawing/2010/slicer" name="OrderDate 1"/>
            </a:graphicData>
          </a:graphic>
        </xdr:graphicFrame>
      </mc:Choice>
      <mc:Fallback>
        <xdr:sp macro="" textlink="">
          <xdr:nvSpPr>
            <xdr:cNvPr id="0" name=""/>
            <xdr:cNvSpPr>
              <a:spLocks noTextEdit="1"/>
            </xdr:cNvSpPr>
          </xdr:nvSpPr>
          <xdr:spPr>
            <a:xfrm>
              <a:off x="13578841" y="6614160"/>
              <a:ext cx="1813560" cy="24741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137160</xdr:colOff>
      <xdr:row>36</xdr:row>
      <xdr:rowOff>30480</xdr:rowOff>
    </xdr:from>
    <xdr:to>
      <xdr:col>28</xdr:col>
      <xdr:colOff>137159</xdr:colOff>
      <xdr:row>49</xdr:row>
      <xdr:rowOff>112981</xdr:rowOff>
    </xdr:to>
    <mc:AlternateContent xmlns:mc="http://schemas.openxmlformats.org/markup-compatibility/2006">
      <mc:Choice xmlns:a14="http://schemas.microsoft.com/office/drawing/2010/main" Requires="a14">
        <xdr:graphicFrame macro="">
          <xdr:nvGraphicFramePr>
            <xdr:cNvPr id="25" name="Salesperson 1"/>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dr:sp macro="" textlink="">
          <xdr:nvSpPr>
            <xdr:cNvPr id="0" name=""/>
            <xdr:cNvSpPr>
              <a:spLocks noTextEdit="1"/>
            </xdr:cNvSpPr>
          </xdr:nvSpPr>
          <xdr:spPr>
            <a:xfrm>
              <a:off x="15377160" y="6614160"/>
              <a:ext cx="1828799" cy="24599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r:id="rId1" refreshedBy="USER" refreshedDate="46053.867956249996" createdVersion="6" refreshedVersion="6" minRefreshableVersion="3" recordCount="631">
  <cacheSource type="worksheet">
    <worksheetSource ref="A1:W632" sheet="Staging_Table_1"/>
  </cacheSource>
  <cacheFields count="24">
    <cacheField name="OrderID" numFmtId="49">
      <sharedItems/>
    </cacheField>
    <cacheField name="OrderDate" numFmtId="166">
      <sharedItems containsSemiMixedTypes="0" containsNonDate="0" containsDate="1" containsString="0" minDate="2023-01-02T00:00:00" maxDate="2025-09-16T00:00:00" count="468">
        <d v="2024-03-11T00:00:00"/>
        <d v="2024-10-23T00:00:00"/>
        <d v="2023-02-28T00:00:00"/>
        <d v="2025-03-29T00:00:00"/>
        <d v="2023-12-06T00:00:00"/>
        <d v="2023-01-02T00:00:00"/>
        <d v="2024-12-27T00:00:00"/>
        <d v="2023-01-15T00:00:00"/>
        <d v="2024-05-04T00:00:00"/>
        <d v="2025-05-21T00:00:00"/>
        <d v="2024-01-28T00:00:00"/>
        <d v="2025-01-03T00:00:00"/>
        <d v="2025-03-06T00:00:00"/>
        <d v="2024-01-20T00:00:00"/>
        <d v="2025-09-01T00:00:00"/>
        <d v="2023-04-23T00:00:00"/>
        <d v="2024-12-10T00:00:00"/>
        <d v="2025-09-08T00:00:00"/>
        <d v="2025-07-20T00:00:00"/>
        <d v="2024-07-25T00:00:00"/>
        <d v="2023-05-11T00:00:00"/>
        <d v="2025-06-14T00:00:00"/>
        <d v="2024-05-18T00:00:00"/>
        <d v="2023-02-07T00:00:00"/>
        <d v="2024-06-30T00:00:00"/>
        <d v="2024-11-30T00:00:00"/>
        <d v="2024-07-19T00:00:00"/>
        <d v="2023-04-14T00:00:00"/>
        <d v="2025-04-07T00:00:00"/>
        <d v="2023-02-23T00:00:00"/>
        <d v="2025-07-24T00:00:00"/>
        <d v="2024-04-18T00:00:00"/>
        <d v="2024-08-23T00:00:00"/>
        <d v="2023-03-27T00:00:00"/>
        <d v="2024-03-07T00:00:00"/>
        <d v="2025-06-24T00:00:00"/>
        <d v="2024-04-19T00:00:00"/>
        <d v="2023-06-17T00:00:00"/>
        <d v="2024-08-27T00:00:00"/>
        <d v="2024-01-11T00:00:00"/>
        <d v="2024-10-25T00:00:00"/>
        <d v="2025-05-29T00:00:00"/>
        <d v="2024-05-20T00:00:00"/>
        <d v="2023-04-19T00:00:00"/>
        <d v="2023-06-23T00:00:00"/>
        <d v="2024-05-14T00:00:00"/>
        <d v="2024-10-14T00:00:00"/>
        <d v="2023-07-10T00:00:00"/>
        <d v="2024-11-06T00:00:00"/>
        <d v="2024-10-17T00:00:00"/>
        <d v="2023-03-31T00:00:00"/>
        <d v="2025-01-21T00:00:00"/>
        <d v="2023-08-30T00:00:00"/>
        <d v="2025-04-06T00:00:00"/>
        <d v="2025-02-09T00:00:00"/>
        <d v="2024-12-17T00:00:00"/>
        <d v="2025-06-09T00:00:00"/>
        <d v="2025-05-02T00:00:00"/>
        <d v="2024-03-10T00:00:00"/>
        <d v="2025-09-10T00:00:00"/>
        <d v="2025-04-27T00:00:00"/>
        <d v="2024-11-02T00:00:00"/>
        <d v="2023-02-15T00:00:00"/>
        <d v="2023-12-03T00:00:00"/>
        <d v="2023-03-19T00:00:00"/>
        <d v="2024-05-22T00:00:00"/>
        <d v="2023-08-19T00:00:00"/>
        <d v="2023-04-21T00:00:00"/>
        <d v="2024-03-18T00:00:00"/>
        <d v="2025-04-09T00:00:00"/>
        <d v="2024-04-12T00:00:00"/>
        <d v="2024-12-15T00:00:00"/>
        <d v="2023-05-20T00:00:00"/>
        <d v="2023-09-18T00:00:00"/>
        <d v="2024-08-28T00:00:00"/>
        <d v="2023-06-14T00:00:00"/>
        <d v="2024-11-21T00:00:00"/>
        <d v="2023-02-08T00:00:00"/>
        <d v="2025-05-14T00:00:00"/>
        <d v="2025-04-23T00:00:00"/>
        <d v="2025-03-25T00:00:00"/>
        <d v="2023-12-22T00:00:00"/>
        <d v="2024-04-06T00:00:00"/>
        <d v="2025-08-07T00:00:00"/>
        <d v="2024-01-21T00:00:00"/>
        <d v="2023-06-29T00:00:00"/>
        <d v="2025-04-28T00:00:00"/>
        <d v="2023-06-24T00:00:00"/>
        <d v="2024-10-04T00:00:00"/>
        <d v="2023-04-06T00:00:00"/>
        <d v="2025-08-01T00:00:00"/>
        <d v="2024-05-28T00:00:00"/>
        <d v="2025-07-22T00:00:00"/>
        <d v="2025-01-27T00:00:00"/>
        <d v="2024-01-13T00:00:00"/>
        <d v="2025-03-31T00:00:00"/>
        <d v="2024-12-05T00:00:00"/>
        <d v="2024-09-14T00:00:00"/>
        <d v="2024-05-21T00:00:00"/>
        <d v="2024-08-14T00:00:00"/>
        <d v="2024-10-16T00:00:00"/>
        <d v="2024-06-02T00:00:00"/>
        <d v="2024-06-09T00:00:00"/>
        <d v="2024-06-10T00:00:00"/>
        <d v="2024-06-29T00:00:00"/>
        <d v="2025-01-17T00:00:00"/>
        <d v="2023-11-20T00:00:00"/>
        <d v="2023-03-02T00:00:00"/>
        <d v="2025-06-03T00:00:00"/>
        <d v="2023-06-09T00:00:00"/>
        <d v="2025-07-09T00:00:00"/>
        <d v="2025-06-19T00:00:00"/>
        <d v="2023-11-19T00:00:00"/>
        <d v="2023-12-29T00:00:00"/>
        <d v="2023-08-21T00:00:00"/>
        <d v="2023-08-12T00:00:00"/>
        <d v="2024-06-07T00:00:00"/>
        <d v="2025-08-05T00:00:00"/>
        <d v="2024-05-30T00:00:00"/>
        <d v="2023-01-22T00:00:00"/>
        <d v="2025-02-12T00:00:00"/>
        <d v="2025-03-03T00:00:00"/>
        <d v="2023-01-27T00:00:00"/>
        <d v="2025-01-09T00:00:00"/>
        <d v="2024-12-21T00:00:00"/>
        <d v="2023-04-12T00:00:00"/>
        <d v="2024-12-14T00:00:00"/>
        <d v="2024-11-20T00:00:00"/>
        <d v="2024-02-14T00:00:00"/>
        <d v="2023-05-02T00:00:00"/>
        <d v="2024-12-23T00:00:00"/>
        <d v="2023-07-26T00:00:00"/>
        <d v="2024-06-15T00:00:00"/>
        <d v="2023-07-05T00:00:00"/>
        <d v="2023-11-30T00:00:00"/>
        <d v="2025-09-11T00:00:00"/>
        <d v="2024-04-04T00:00:00"/>
        <d v="2023-09-14T00:00:00"/>
        <d v="2024-09-23T00:00:00"/>
        <d v="2025-04-16T00:00:00"/>
        <d v="2023-07-03T00:00:00"/>
        <d v="2023-12-07T00:00:00"/>
        <d v="2024-02-18T00:00:00"/>
        <d v="2023-10-31T00:00:00"/>
        <d v="2024-08-07T00:00:00"/>
        <d v="2024-02-01T00:00:00"/>
        <d v="2025-02-15T00:00:00"/>
        <d v="2023-02-20T00:00:00"/>
        <d v="2024-10-30T00:00:00"/>
        <d v="2024-04-03T00:00:00"/>
        <d v="2023-03-25T00:00:00"/>
        <d v="2024-06-04T00:00:00"/>
        <d v="2023-02-19T00:00:00"/>
        <d v="2023-04-18T00:00:00"/>
        <d v="2024-05-23T00:00:00"/>
        <d v="2023-10-07T00:00:00"/>
        <d v="2024-10-09T00:00:00"/>
        <d v="2024-07-15T00:00:00"/>
        <d v="2023-09-21T00:00:00"/>
        <d v="2023-02-24T00:00:00"/>
        <d v="2025-04-14T00:00:00"/>
        <d v="2023-08-27T00:00:00"/>
        <d v="2024-02-03T00:00:00"/>
        <d v="2023-04-05T00:00:00"/>
        <d v="2025-08-21T00:00:00"/>
        <d v="2025-09-15T00:00:00"/>
        <d v="2024-10-03T00:00:00"/>
        <d v="2025-02-02T00:00:00"/>
        <d v="2024-10-22T00:00:00"/>
        <d v="2023-06-22T00:00:00"/>
        <d v="2025-01-13T00:00:00"/>
        <d v="2023-07-19T00:00:00"/>
        <d v="2024-05-19T00:00:00"/>
        <d v="2023-08-08T00:00:00"/>
        <d v="2024-08-12T00:00:00"/>
        <d v="2023-10-15T00:00:00"/>
        <d v="2023-05-04T00:00:00"/>
        <d v="2024-09-22T00:00:00"/>
        <d v="2024-02-11T00:00:00"/>
        <d v="2023-01-30T00:00:00"/>
        <d v="2023-01-13T00:00:00"/>
        <d v="2024-01-12T00:00:00"/>
        <d v="2023-08-15T00:00:00"/>
        <d v="2023-01-20T00:00:00"/>
        <d v="2025-02-04T00:00:00"/>
        <d v="2023-07-02T00:00:00"/>
        <d v="2024-09-10T00:00:00"/>
        <d v="2025-07-21T00:00:00"/>
        <d v="2024-10-02T00:00:00"/>
        <d v="2025-07-14T00:00:00"/>
        <d v="2024-09-09T00:00:00"/>
        <d v="2025-01-29T00:00:00"/>
        <d v="2023-11-10T00:00:00"/>
        <d v="2024-02-29T00:00:00"/>
        <d v="2023-12-20T00:00:00"/>
        <d v="2024-10-11T00:00:00"/>
        <d v="2024-09-19T00:00:00"/>
        <d v="2025-08-25T00:00:00"/>
        <d v="2023-09-25T00:00:00"/>
        <d v="2023-08-26T00:00:00"/>
        <d v="2025-07-16T00:00:00"/>
        <d v="2023-12-19T00:00:00"/>
        <d v="2023-07-30T00:00:00"/>
        <d v="2023-10-04T00:00:00"/>
        <d v="2025-08-10T00:00:00"/>
        <d v="2023-03-07T00:00:00"/>
        <d v="2023-05-23T00:00:00"/>
        <d v="2025-04-24T00:00:00"/>
        <d v="2024-09-03T00:00:00"/>
        <d v="2024-09-05T00:00:00"/>
        <d v="2023-03-14T00:00:00"/>
        <d v="2024-09-13T00:00:00"/>
        <d v="2025-07-17T00:00:00"/>
        <d v="2023-11-28T00:00:00"/>
        <d v="2024-03-30T00:00:00"/>
        <d v="2023-09-19T00:00:00"/>
        <d v="2025-05-16T00:00:00"/>
        <d v="2025-08-02T00:00:00"/>
        <d v="2024-12-04T00:00:00"/>
        <d v="2024-03-06T00:00:00"/>
        <d v="2024-02-16T00:00:00"/>
        <d v="2025-04-22T00:00:00"/>
        <d v="2024-11-08T00:00:00"/>
        <d v="2025-09-12T00:00:00"/>
        <d v="2024-09-02T00:00:00"/>
        <d v="2023-03-04T00:00:00"/>
        <d v="2024-03-15T00:00:00"/>
        <d v="2024-07-29T00:00:00"/>
        <d v="2024-10-27T00:00:00"/>
        <d v="2024-04-29T00:00:00"/>
        <d v="2023-10-05T00:00:00"/>
        <d v="2025-06-27T00:00:00"/>
        <d v="2023-10-11T00:00:00"/>
        <d v="2023-05-27T00:00:00"/>
        <d v="2023-08-04T00:00:00"/>
        <d v="2025-06-21T00:00:00"/>
        <d v="2025-09-02T00:00:00"/>
        <d v="2024-10-08T00:00:00"/>
        <d v="2023-05-07T00:00:00"/>
        <d v="2023-12-24T00:00:00"/>
        <d v="2024-01-10T00:00:00"/>
        <d v="2023-08-03T00:00:00"/>
        <d v="2025-02-19T00:00:00"/>
        <d v="2024-03-31T00:00:00"/>
        <d v="2023-07-24T00:00:00"/>
        <d v="2024-03-16T00:00:00"/>
        <d v="2024-01-25T00:00:00"/>
        <d v="2024-03-27T00:00:00"/>
        <d v="2024-06-16T00:00:00"/>
        <d v="2023-10-30T00:00:00"/>
        <d v="2023-06-15T00:00:00"/>
        <d v="2025-03-14T00:00:00"/>
        <d v="2025-05-17T00:00:00"/>
        <d v="2025-04-04T00:00:00"/>
        <d v="2024-09-07T00:00:00"/>
        <d v="2023-07-18T00:00:00"/>
        <d v="2025-08-28T00:00:00"/>
        <d v="2025-03-30T00:00:00"/>
        <d v="2023-10-21T00:00:00"/>
        <d v="2023-08-23T00:00:00"/>
        <d v="2025-04-11T00:00:00"/>
        <d v="2025-06-01T00:00:00"/>
        <d v="2024-03-02T00:00:00"/>
        <d v="2023-06-20T00:00:00"/>
        <d v="2024-03-26T00:00:00"/>
        <d v="2025-01-22T00:00:00"/>
        <d v="2025-05-10T00:00:00"/>
        <d v="2025-06-22T00:00:00"/>
        <d v="2024-06-19T00:00:00"/>
        <d v="2025-05-18T00:00:00"/>
        <d v="2023-01-10T00:00:00"/>
        <d v="2024-12-29T00:00:00"/>
        <d v="2024-11-04T00:00:00"/>
        <d v="2024-06-08T00:00:00"/>
        <d v="2023-05-06T00:00:00"/>
        <d v="2023-11-14T00:00:00"/>
        <d v="2025-04-01T00:00:00"/>
        <d v="2023-03-23T00:00:00"/>
        <d v="2024-01-02T00:00:00"/>
        <d v="2023-06-10T00:00:00"/>
        <d v="2025-05-19T00:00:00"/>
        <d v="2023-10-22T00:00:00"/>
        <d v="2025-01-11T00:00:00"/>
        <d v="2025-09-14T00:00:00"/>
        <d v="2023-11-15T00:00:00"/>
        <d v="2024-04-09T00:00:00"/>
        <d v="2024-07-11T00:00:00"/>
        <d v="2023-07-25T00:00:00"/>
        <d v="2023-07-14T00:00:00"/>
        <d v="2023-04-13T00:00:00"/>
        <d v="2024-10-29T00:00:00"/>
        <d v="2024-02-17T00:00:00"/>
        <d v="2024-07-13T00:00:00"/>
        <d v="2023-12-01T00:00:00"/>
        <d v="2023-12-21T00:00:00"/>
        <d v="2025-06-17T00:00:00"/>
        <d v="2023-12-02T00:00:00"/>
        <d v="2024-08-08T00:00:00"/>
        <d v="2024-11-07T00:00:00"/>
        <d v="2024-01-01T00:00:00"/>
        <d v="2025-08-14T00:00:00"/>
        <d v="2024-11-25T00:00:00"/>
        <d v="2024-01-18T00:00:00"/>
        <d v="2024-06-23T00:00:00"/>
        <d v="2025-06-25T00:00:00"/>
        <d v="2023-07-01T00:00:00"/>
        <d v="2024-03-09T00:00:00"/>
        <d v="2023-06-05T00:00:00"/>
        <d v="2025-03-21T00:00:00"/>
        <d v="2025-03-15T00:00:00"/>
        <d v="2023-12-26T00:00:00"/>
        <d v="2023-02-05T00:00:00"/>
        <d v="2024-05-17T00:00:00"/>
        <d v="2024-03-03T00:00:00"/>
        <d v="2023-03-13T00:00:00"/>
        <d v="2025-01-07T00:00:00"/>
        <d v="2025-02-06T00:00:00"/>
        <d v="2025-01-31T00:00:00"/>
        <d v="2025-07-23T00:00:00"/>
        <d v="2024-07-18T00:00:00"/>
        <d v="2025-05-12T00:00:00"/>
        <d v="2024-05-07T00:00:00"/>
        <d v="2023-09-30T00:00:00"/>
        <d v="2023-10-26T00:00:00"/>
        <d v="2025-06-15T00:00:00"/>
        <d v="2024-08-10T00:00:00"/>
        <d v="2023-10-09T00:00:00"/>
        <d v="2023-05-29T00:00:00"/>
        <d v="2025-05-27T00:00:00"/>
        <d v="2024-12-12T00:00:00"/>
        <d v="2024-09-06T00:00:00"/>
        <d v="2025-04-12T00:00:00"/>
        <d v="2024-11-05T00:00:00"/>
        <d v="2024-07-24T00:00:00"/>
        <d v="2025-01-20T00:00:00"/>
        <d v="2023-03-06T00:00:00"/>
        <d v="2024-12-20T00:00:00"/>
        <d v="2025-02-21T00:00:00"/>
        <d v="2025-03-08T00:00:00"/>
        <d v="2023-12-16T00:00:00"/>
        <d v="2024-08-30T00:00:00"/>
        <d v="2023-03-17T00:00:00"/>
        <d v="2023-08-25T00:00:00"/>
        <d v="2024-06-06T00:00:00"/>
        <d v="2023-08-29T00:00:00"/>
        <d v="2025-06-05T00:00:00"/>
        <d v="2024-01-16T00:00:00"/>
        <d v="2023-10-12T00:00:00"/>
        <d v="2025-02-25T00:00:00"/>
        <d v="2025-07-03T00:00:00"/>
        <d v="2024-02-19T00:00:00"/>
        <d v="2024-02-27T00:00:00"/>
        <d v="2024-08-18T00:00:00"/>
        <d v="2024-02-25T00:00:00"/>
        <d v="2025-05-07T00:00:00"/>
        <d v="2024-11-01T00:00:00"/>
        <d v="2024-12-28T00:00:00"/>
        <d v="2023-10-18T00:00:00"/>
        <d v="2024-12-24T00:00:00"/>
        <d v="2023-12-30T00:00:00"/>
        <d v="2023-02-21T00:00:00"/>
        <d v="2023-05-17T00:00:00"/>
        <d v="2024-03-23T00:00:00"/>
        <d v="2023-09-20T00:00:00"/>
        <d v="2024-08-22T00:00:00"/>
        <d v="2024-09-25T00:00:00"/>
        <d v="2023-06-13T00:00:00"/>
        <d v="2024-06-03T00:00:00"/>
        <d v="2024-06-11T00:00:00"/>
        <d v="2023-07-22T00:00:00"/>
        <d v="2023-01-19T00:00:00"/>
        <d v="2024-05-01T00:00:00"/>
        <d v="2023-05-24T00:00:00"/>
        <d v="2023-12-05T00:00:00"/>
        <d v="2024-05-05T00:00:00"/>
        <d v="2023-07-09T00:00:00"/>
        <d v="2025-04-10T00:00:00"/>
        <d v="2025-07-27T00:00:00"/>
        <d v="2024-11-22T00:00:00"/>
        <d v="2023-12-18T00:00:00"/>
        <d v="2025-03-23T00:00:00"/>
        <d v="2023-05-14T00:00:00"/>
        <d v="2024-02-06T00:00:00"/>
        <d v="2025-08-13T00:00:00"/>
        <d v="2024-05-10T00:00:00"/>
        <d v="2023-07-16T00:00:00"/>
        <d v="2023-04-16T00:00:00"/>
        <d v="2025-08-30T00:00:00"/>
        <d v="2023-08-10T00:00:00"/>
        <d v="2024-12-08T00:00:00"/>
        <d v="2023-10-25T00:00:00"/>
        <d v="2024-11-17T00:00:00"/>
        <d v="2024-05-12T00:00:00"/>
        <d v="2025-05-15T00:00:00"/>
        <d v="2024-04-21T00:00:00"/>
        <d v="2024-08-19T00:00:00"/>
        <d v="2024-03-01T00:00:00"/>
        <d v="2024-05-27T00:00:00"/>
        <d v="2024-08-04T00:00:00"/>
        <d v="2024-04-26T00:00:00"/>
        <d v="2025-03-24T00:00:00"/>
        <d v="2025-03-10T00:00:00"/>
        <d v="2024-04-05T00:00:00"/>
        <d v="2024-10-24T00:00:00"/>
        <d v="2024-11-12T00:00:00"/>
        <d v="2023-05-10T00:00:00"/>
        <d v="2024-10-10T00:00:00"/>
        <d v="2023-06-01T00:00:00"/>
        <d v="2025-01-04T00:00:00"/>
        <d v="2023-05-01T00:00:00"/>
        <d v="2024-07-09T00:00:00"/>
        <d v="2024-04-24T00:00:00"/>
        <d v="2024-04-16T00:00:00"/>
        <d v="2025-02-07T00:00:00"/>
        <d v="2023-01-12T00:00:00"/>
        <d v="2024-06-05T00:00:00"/>
        <d v="2023-08-24T00:00:00"/>
        <d v="2025-03-11T00:00:00"/>
        <d v="2023-08-17T00:00:00"/>
        <d v="2025-01-10T00:00:00"/>
        <d v="2024-08-16T00:00:00"/>
        <d v="2023-07-07T00:00:00"/>
        <d v="2023-12-28T00:00:00"/>
        <d v="2023-01-26T00:00:00"/>
        <d v="2023-07-08T00:00:00"/>
        <d v="2023-02-11T00:00:00"/>
        <d v="2025-08-20T00:00:00"/>
        <d v="2024-03-04T00:00:00"/>
        <d v="2023-09-08T00:00:00"/>
        <d v="2024-12-07T00:00:00"/>
        <d v="2025-08-06T00:00:00"/>
        <d v="2023-03-03T00:00:00"/>
        <d v="2025-02-16T00:00:00"/>
        <d v="2024-08-31T00:00:00"/>
        <d v="2024-01-08T00:00:00"/>
        <d v="2024-01-24T00:00:00"/>
        <d v="2024-02-08T00:00:00"/>
        <d v="2025-06-26T00:00:00"/>
        <d v="2024-02-20T00:00:00"/>
        <d v="2025-04-13T00:00:00"/>
        <d v="2023-04-26T00:00:00"/>
        <d v="2025-08-03T00:00:00"/>
        <d v="2023-08-02T00:00:00"/>
        <d v="2024-11-11T00:00:00"/>
        <d v="2025-07-11T00:00:00"/>
        <d v="2023-06-03T00:00:00"/>
        <d v="2023-01-29T00:00:00"/>
        <d v="2024-08-03T00:00:00"/>
        <d v="2025-04-17T00:00:00"/>
        <d v="2023-05-03T00:00:00"/>
        <d v="2024-03-13T00:00:00"/>
        <d v="2023-04-03T00:00:00"/>
        <d v="2023-02-27T00:00:00"/>
        <d v="2024-07-31T00:00:00"/>
        <d v="2025-02-17T00:00:00"/>
        <d v="2023-01-07T00:00:00"/>
        <d v="2024-08-17T00:00:00"/>
        <d v="2025-08-11T00:00:00"/>
        <d v="2023-04-10T00:00:00"/>
        <d v="2023-09-17T00:00:00"/>
        <d v="2023-04-22T00:00:00"/>
        <d v="2024-11-27T00:00:00"/>
        <d v="2024-10-19T00:00:00"/>
        <d v="2024-06-25T00:00:00"/>
        <d v="2024-10-13T00:00:00"/>
        <d v="2024-07-28T00:00:00"/>
        <d v="2025-07-19T00:00:00"/>
        <d v="2025-02-28T00:00:00"/>
      </sharedItems>
      <fieldGroup par="23" base="1">
        <rangePr groupBy="months" startDate="2023-01-02T00:00:00" endDate="2025-09-16T00:00:00"/>
        <groupItems count="14">
          <s v="&lt;1/2/2023"/>
          <s v="Jan"/>
          <s v="Feb"/>
          <s v="Mar"/>
          <s v="Apr"/>
          <s v="May"/>
          <s v="Jun"/>
          <s v="Jul"/>
          <s v="Aug"/>
          <s v="Sep"/>
          <s v="Oct"/>
          <s v="Nov"/>
          <s v="Dec"/>
          <s v="&gt;9/16/2025"/>
        </groupItems>
      </fieldGroup>
    </cacheField>
    <cacheField name="Quarter" numFmtId="166">
      <sharedItems/>
    </cacheField>
    <cacheField name="Correct_Required_Date" numFmtId="14">
      <sharedItems containsSemiMixedTypes="0" containsNonDate="0" containsDate="1" containsString="0" minDate="2023-01-05T00:00:00" maxDate="2025-10-06T00:00:00"/>
    </cacheField>
    <cacheField name="LeadtimeDays" numFmtId="1">
      <sharedItems containsSemiMixedTypes="0" containsString="0" containsNumber="1" containsInteger="1" minValue="0" maxValue="30"/>
    </cacheField>
    <cacheField name="Region" numFmtId="0">
      <sharedItems count="4">
        <s v="Africa"/>
        <s v="Asia"/>
        <s v="Americas"/>
        <s v="Europe"/>
      </sharedItems>
    </cacheField>
    <cacheField name="Country" numFmtId="0">
      <sharedItems count="12">
        <s v="Kenya"/>
        <s v="Nigeria"/>
        <s v="Japan"/>
        <s v="Canada"/>
        <s v="India"/>
        <s v="Brazil"/>
        <s v="Germany"/>
        <s v="France"/>
        <s v="United Kingdom"/>
        <s v="China"/>
        <s v="USA"/>
        <s v="South Africa"/>
      </sharedItems>
    </cacheField>
    <cacheField name="City" numFmtId="0">
      <sharedItems/>
    </cacheField>
    <cacheField name="CustomerSegment" numFmtId="0">
      <sharedItems/>
    </cacheField>
    <cacheField name="Channel" numFmtId="0">
      <sharedItems count="6">
        <s v="Retail"/>
        <s v="Online"/>
        <s v="Marketplace"/>
        <s v="Distributor"/>
        <s v="Direct"/>
        <s v="Unknown"/>
      </sharedItems>
    </cacheField>
    <cacheField name="Salesperson" numFmtId="0">
      <sharedItems count="16">
        <s v="C. Otieno"/>
        <s v="J. Njeri"/>
        <s v="I. Johnson"/>
        <s v="G. Dubois"/>
        <s v="L. Okafor"/>
        <s v="B. Chen"/>
        <s v="E. Garcia"/>
        <s v="O. Wang"/>
        <s v="A. Patel"/>
        <s v="F. Müller"/>
        <s v="H. Kim"/>
        <s v="K. Singh"/>
        <s v="M. Rossi"/>
        <s v="N. Brown"/>
        <s v="D. Smith"/>
        <s v="Unknown"/>
      </sharedItems>
    </cacheField>
    <cacheField name="ProductCategory" numFmtId="0">
      <sharedItems count="7">
        <s v="Components"/>
        <s v="Printers"/>
        <s v="Networking"/>
        <s v="Phones"/>
        <s v="Laptops"/>
        <s v="Monitors"/>
        <s v="Accessories"/>
      </sharedItems>
    </cacheField>
    <cacheField name="SKU" numFmtId="49">
      <sharedItems count="629">
        <s v="CMP-8270"/>
        <s v="PRN-9322"/>
        <s v="NET-9666"/>
        <s v="PHN-4556"/>
        <s v="PRN-8041"/>
        <s v="LAP-8555"/>
        <s v="MON-8629"/>
        <s v="PRN-6276"/>
        <s v="MON-6892"/>
        <s v="CMP-3731"/>
        <s v="ACC-7938"/>
        <s v="PHN-7019"/>
        <s v="CMP-3693"/>
        <s v="PRN-8392"/>
        <s v="ACC-1663"/>
        <s v="LAP-1698"/>
        <s v="PRN-6791"/>
        <s v="PHN-1197"/>
        <s v="ACC-8098"/>
        <s v="LAP-3385"/>
        <s v="LAP-9815"/>
        <s v="NET-3255"/>
        <s v="ACC-3961"/>
        <s v="LAP-4987"/>
        <s v="CMP-2693"/>
        <s v="ACC-8683"/>
        <s v="PRN-4170"/>
        <s v="PHN-6854"/>
        <s v="PHN-1784"/>
        <s v="NET-9716"/>
        <s v="CMP-6919"/>
        <s v="PHN-4854"/>
        <s v="NET-7966"/>
        <s v="LAP-9932"/>
        <s v="CMP-1559"/>
        <s v="PRN-4506"/>
        <s v="CMP-7617"/>
        <s v="CMP-8390"/>
        <s v="PRN-7303"/>
        <s v="PRN-6536"/>
        <s v="MON-9967"/>
        <s v="NET-1412"/>
        <s v="PRN-3143"/>
        <s v="PRN-9787"/>
        <s v="CMP-5946"/>
        <s v="NET-2062"/>
        <s v="PRN-2542"/>
        <s v="NET-2365"/>
        <s v="NET-5268"/>
        <s v="PRN-1504"/>
        <s v="ACC-6348"/>
        <s v="MON-4330"/>
        <s v="LAP-7819"/>
        <s v="LAP-3779"/>
        <s v="NET-9989"/>
        <s v="MON-4925"/>
        <s v="LAP-6989"/>
        <s v="ACC-5780"/>
        <s v="ACC-1770"/>
        <s v="ACC-2252"/>
        <s v="CMP-8002"/>
        <s v="CMP-6971"/>
        <s v="PHN-8350"/>
        <s v="MON-5188"/>
        <s v="LAP-3393"/>
        <s v="PHN-4644"/>
        <s v="ACC-9150"/>
        <s v="MON-6870"/>
        <s v="MON-2296"/>
        <s v="CMP-7371"/>
        <s v="ACC-2761"/>
        <s v="LAP-4517"/>
        <s v="LAP-8489"/>
        <s v="NET-1846"/>
        <s v="CMP-5208"/>
        <s v="CMP-1009"/>
        <s v="ACC-4490"/>
        <s v="ACC-9162"/>
        <s v="CMP-5820"/>
        <s v="MON-7943"/>
        <s v="NET-5018"/>
        <s v="PRN-9669"/>
        <s v="CMP-2865"/>
        <s v="MON-3371"/>
        <s v="NET-7166"/>
        <s v="CMP-4531"/>
        <s v="CMP-8196"/>
        <s v="CMP-2854"/>
        <s v="MON-8973"/>
        <s v="MON-2990"/>
        <s v="NET-1966"/>
        <s v="PHN-3482"/>
        <s v="PRN-6490"/>
        <s v="ACC-9038"/>
        <s v="PHN-6954"/>
        <s v="PRN-8970"/>
        <s v="MON-1822"/>
        <s v="ACC-5177"/>
        <s v="NET-1804"/>
        <s v="LAP-3679"/>
        <s v="PHN-8368"/>
        <s v="CMP-8141"/>
        <s v="LAP-7136"/>
        <s v="ACC-2386"/>
        <s v="LAP-5150"/>
        <s v="CMP-8101"/>
        <s v="PHN-8970"/>
        <s v="PHN-2341"/>
        <s v="NET-6387"/>
        <s v="ACC-9820"/>
        <s v="CMP-6392"/>
        <s v="LAP-9230"/>
        <s v="NET-4241"/>
        <s v="ACC-4511"/>
        <s v="NET-3033"/>
        <s v="MON-2828"/>
        <s v="PRN-6429"/>
        <s v="LAP-8214"/>
        <s v="MON-9194"/>
        <s v="LAP-2218"/>
        <s v="NET-6370"/>
        <s v="MON-3745"/>
        <s v="PHN-7924"/>
        <s v="NET-8561"/>
        <s v="CMP-2136"/>
        <s v="CMP-6352"/>
        <s v="CMP-2040"/>
        <s v="CMP-6346"/>
        <s v="PHN-4356"/>
        <s v="NET-4155"/>
        <s v="MON-5179"/>
        <s v="ACC-4056"/>
        <s v="LAP-9782"/>
        <s v="PHN-2875"/>
        <s v="PRN-4788"/>
        <s v="MON-3043"/>
        <s v="CMP-3720"/>
        <s v="PHN-8014"/>
        <s v="PRN-4911"/>
        <s v="ACC-1021"/>
        <s v="MON-2266"/>
        <s v="PHN-8057"/>
        <s v="ACC-7078"/>
        <s v="PRN-4453"/>
        <s v="NET-2394"/>
        <s v="LAP-1525"/>
        <s v="LAP-3278"/>
        <s v="ACC-6543"/>
        <s v="PRN-4432"/>
        <s v="PHN-4568"/>
        <s v="PRN-6178"/>
        <s v="LAP-6342"/>
        <s v="PRN-8175"/>
        <s v="PRN-7089"/>
        <s v="ACC-4124"/>
        <s v="NET-7924"/>
        <s v="NET-8761"/>
        <s v="CMP-3875"/>
        <s v="ACC-3989"/>
        <s v="PHN-9234"/>
        <s v="MON-9906"/>
        <s v="CMP-4610"/>
        <s v="PHN-5445"/>
        <s v="MON-9227"/>
        <s v="PRN-4097"/>
        <s v="MON-6699"/>
        <s v="LAP-1482"/>
        <s v="MON-2100"/>
        <s v="MON-7602"/>
        <s v="CMP-1072"/>
        <s v="ACC-2735"/>
        <s v="CMP-5211"/>
        <s v="CMP-1632"/>
        <s v="LAP-7099"/>
        <s v="PRN-3785"/>
        <s v="MON-6962"/>
        <s v="PRN-5107"/>
        <s v="CMP-9264"/>
        <s v="MON-5259"/>
        <s v="PRN-8137"/>
        <s v="ACC-6777"/>
        <s v="PHN-7488"/>
        <s v="ACC-9591"/>
        <s v="MON-5517"/>
        <s v="MON-8758"/>
        <s v="ACC-3385"/>
        <s v="MON-1593"/>
        <s v="MON-7869"/>
        <s v="MON-4271"/>
        <s v="LAP-5531"/>
        <s v="MON-7511"/>
        <s v="LAP-7979"/>
        <s v="PRN-4983"/>
        <s v="NET-5941"/>
        <s v="MON-6341"/>
        <s v="PHN-9789"/>
        <s v="PHN-5082"/>
        <s v="NET-3460"/>
        <s v="PRN-7019"/>
        <s v="PHN-3159"/>
        <s v="PRN-8604"/>
        <s v="PHN-2013"/>
        <s v="NET-6036"/>
        <s v="MON-4959"/>
        <s v="MON-1663"/>
        <s v="CMP-7256"/>
        <s v="ACC-1659"/>
        <s v="PRN-6068"/>
        <s v="ACC-8999"/>
        <s v="CMP-3978"/>
        <s v="MON-7868"/>
        <s v="PRN-3014"/>
        <s v="PHN-1671"/>
        <s v="ACC-5260"/>
        <s v="NET-7588"/>
        <s v="MON-1572"/>
        <s v="MON-2537"/>
        <s v="PRN-5666"/>
        <s v="PRN-2749"/>
        <s v="CMP-4970"/>
        <s v="ACC-3551"/>
        <s v="CMP-7063"/>
        <s v="NET-1612"/>
        <s v="LAP-9766"/>
        <s v="PHN-7274"/>
        <s v="NET-1645"/>
        <s v="ACC-5079"/>
        <s v="PRN-2098"/>
        <s v="PRN-7049"/>
        <s v="CMP-6925"/>
        <s v="PHN-2787"/>
        <s v="PRN-1141"/>
        <s v="MON-5249"/>
        <s v="CMP-8230"/>
        <s v="PRN-7816"/>
        <s v="PHN-8804"/>
        <s v="CMP-8851"/>
        <s v="PHN-2447"/>
        <s v="LAP-2846"/>
        <s v="PRN-5005"/>
        <s v="PHN-3800"/>
        <s v="LAP-4828"/>
        <s v="PRN-5492"/>
        <s v="PHN-7132"/>
        <s v="PHN-4741"/>
        <s v="LAP-2774"/>
        <s v="MON-2842"/>
        <s v="NET-2628"/>
        <s v="MON-2998"/>
        <s v="CMP-7563"/>
        <s v="LAP-6160"/>
        <s v="MON-4361"/>
        <s v="PRN-2829"/>
        <s v="MON-8939"/>
        <s v="LAP-5009"/>
        <s v="CMP-4807"/>
        <s v="NET-2439"/>
        <s v="MON-7626"/>
        <s v="ACC-3567"/>
        <s v="CMP-4630"/>
        <s v="ACC-1882"/>
        <s v="NET-9125"/>
        <s v="PHN-3819"/>
        <s v="LAP-3490"/>
        <s v="PRN-1276"/>
        <s v="MON-9733"/>
        <s v="CMP-9392"/>
        <s v="PHN-3014"/>
        <s v="PRN-6776"/>
        <s v="ACC-3951"/>
        <s v="MON-1436"/>
        <s v="MON-8651"/>
        <s v="MON-3307"/>
        <s v="PRN-8758"/>
        <s v="LAP-7056"/>
        <s v="NET-5523"/>
        <s v="ACC-8094"/>
        <s v="PHN-6832"/>
        <s v="LAP-2378"/>
        <s v="MON-5424"/>
        <s v="NET-8430"/>
        <s v="PHN-1234"/>
        <s v="LAP-9016"/>
        <s v="LAP-9931"/>
        <s v="PHN-6818"/>
        <s v="PHN-3803"/>
        <s v="NET-9835"/>
        <s v="ACC-6223"/>
        <s v="CMP-8659"/>
        <s v="ACC-4483"/>
        <s v="PRN-8763"/>
        <s v="ACC-8557"/>
        <s v="ACC-1492"/>
        <s v="CMP-3743"/>
        <s v="LAP-1619"/>
        <s v="PRN-7976"/>
        <s v="MON-4326"/>
        <s v="MON-5444"/>
        <s v="ACC-5422"/>
        <s v="CMP-9307"/>
        <s v="PRN-6520"/>
        <s v="NET-1699"/>
        <s v="PHN-5316"/>
        <s v="LAP-4607"/>
        <s v="MON-5276"/>
        <s v="ACC-9533"/>
        <s v="NET-3749"/>
        <s v="PRN-2991"/>
        <s v="LAP-4551"/>
        <s v="MON-6310"/>
        <s v="NET-1166"/>
        <s v="ACC-2903"/>
        <s v="PRN-2293"/>
        <s v="MON-1389"/>
        <s v="CMP-4093"/>
        <s v="PHN-6131"/>
        <s v="NET-4104"/>
        <s v="MON-9319"/>
        <s v="ACC-2988"/>
        <s v="PHN-9399"/>
        <s v="NET-4554"/>
        <s v="NET-5195"/>
        <s v="CMP-9801"/>
        <s v="CMP-3093"/>
        <s v="ACC-2364"/>
        <s v="CMP-5138"/>
        <s v="PHN-2337"/>
        <s v="MON-2993"/>
        <s v="LAP-9024"/>
        <s v="PHN-6307"/>
        <s v="NET-9003"/>
        <s v="ACC-3068"/>
        <s v="ACC-1060"/>
        <s v="PHN-3854"/>
        <s v="PRN-1086"/>
        <s v="PHN-7815"/>
        <s v="PRN-5384"/>
        <s v="ACC-8178"/>
        <s v="MON-1018"/>
        <s v="ACC-1238"/>
        <s v="NET-1816"/>
        <s v="PRN-4893"/>
        <s v="PHN-1717"/>
        <s v="NET-9575"/>
        <s v="LAP-3604"/>
        <s v="ACC-6626"/>
        <s v="PHN-1670"/>
        <s v="CMP-4792"/>
        <s v="LAP-1990"/>
        <s v="PRN-7410"/>
        <s v="MON-4278"/>
        <s v="ACC-5334"/>
        <s v="NET-8957"/>
        <s v="PRN-9960"/>
        <s v="ACC-3103"/>
        <s v="PRN-9490"/>
        <s v="NET-3850"/>
        <s v="ACC-7047"/>
        <s v="PRN-6660"/>
        <s v="ACC-7838"/>
        <s v="PHN-5383"/>
        <s v="LAP-3904"/>
        <s v="MON-5749"/>
        <s v="PRN-3690"/>
        <s v="CMP-7055"/>
        <s v="PHN-6866"/>
        <s v="CMP-3259"/>
        <s v="LAP-6750"/>
        <s v="PRN-3775"/>
        <s v="LAP-2942"/>
        <s v="PHN-2036"/>
        <s v="MON-4373"/>
        <s v="PRN-8657"/>
        <s v="PHN-7974"/>
        <s v="PHN-4915"/>
        <s v="NET-3535"/>
        <s v="CMP-2574"/>
        <s v="NET-7901"/>
        <s v="NET-5482"/>
        <s v="NET-1336"/>
        <s v="PRN-5876"/>
        <s v="NET-3828"/>
        <s v="MON-7622"/>
        <s v="LAP-2806"/>
        <s v="PRN-8850"/>
        <s v="LAP-9100"/>
        <s v="LAP-5763"/>
        <s v="LAP-7320"/>
        <s v="MON-5891"/>
        <s v="PRN-1183"/>
        <s v="CMP-2096"/>
        <s v="PHN-3398"/>
        <s v="CMP-8545"/>
        <s v="ACC-1249"/>
        <s v="MON-9662"/>
        <s v="LAP-8347"/>
        <s v="CMP-6898"/>
        <s v="MON-3504"/>
        <s v="NET-3432"/>
        <s v="PRN-5591"/>
        <s v="CMP-2015"/>
        <s v="LAP-9901"/>
        <s v="CMP-8658"/>
        <s v="MON-2073"/>
        <s v="PRN-9378"/>
        <s v="PHN-5887"/>
        <s v="LAP-8119"/>
        <s v="ACC-9644"/>
        <s v="LAP-7009"/>
        <s v="PRN-1725"/>
        <s v="PHN-8483"/>
        <s v="PHN-3971"/>
        <s v="NET-6578"/>
        <s v="PRN-9975"/>
        <s v="ACC-1075"/>
        <s v="ACC-2902"/>
        <s v="PRN-5815"/>
        <s v="MON-4195"/>
        <s v="PHN-8478"/>
        <s v="PHN-1044"/>
        <s v="LAP-8910"/>
        <s v="PHN-2859"/>
        <s v="PRN-6308"/>
        <s v="LAP-8469"/>
        <s v="LAP-7553"/>
        <s v="PHN-3077"/>
        <s v="MON-3350"/>
        <s v="PHN-5683"/>
        <s v="PRN-2409"/>
        <s v="LAP-8825"/>
        <s v="MON-8697"/>
        <s v="MON-4789"/>
        <s v="NET-7998"/>
        <s v="PHN-8891"/>
        <s v="NET-9832"/>
        <s v="CMP-8604"/>
        <s v="ACC-6594"/>
        <s v="NET-2499"/>
        <s v="PRN-1923"/>
        <s v="PHN-4346"/>
        <s v="ACC-1375"/>
        <s v="PRN-4892"/>
        <s v="PRN-9557"/>
        <s v="PRN-8008"/>
        <s v="LAP-1946"/>
        <s v="MON-7106"/>
        <s v="MON-5386"/>
        <s v="PHN-2436"/>
        <s v="PRN-2301"/>
        <s v="ACC-3645"/>
        <s v="CMP-6811"/>
        <s v="PHN-5675"/>
        <s v="MON-6882"/>
        <s v="ACC-8620"/>
        <s v="PHN-6506"/>
        <s v="MON-5086"/>
        <s v="LAP-4899"/>
        <s v="CMP-3313"/>
        <s v="CMP-6649"/>
        <s v="ACC-5206"/>
        <s v="PRN-6911"/>
        <s v="NET-5270"/>
        <s v="CMP-5658"/>
        <s v="CMP-3938"/>
        <s v="ACC-7671"/>
        <s v="NET-6014"/>
        <s v="CMP-4159"/>
        <s v="PRN-3159"/>
        <s v="PRN-9488"/>
        <s v="PRN-7079"/>
        <s v="CMP-1220"/>
        <s v="MON-2462"/>
        <s v="PHN-9465"/>
        <s v="PRN-1271"/>
        <s v="LAP-1066"/>
        <s v="CMP-8675"/>
        <s v="LAP-1178"/>
        <s v="ACC-1731"/>
        <s v="NET-1893"/>
        <s v="PRN-3917"/>
        <s v="LAP-3220"/>
        <s v="PHN-2462"/>
        <s v="NET-2894"/>
        <s v="CMP-2335"/>
        <s v="PHN-5938"/>
        <s v="PRN-1371"/>
        <s v="PRN-5813"/>
        <s v="PHN-6480"/>
        <s v="ACC-2990"/>
        <s v="CMP-5435"/>
        <s v="ACC-1596"/>
        <s v="PHN-7852"/>
        <s v="ACC-7240"/>
        <s v="MON-8867"/>
        <s v="NET-1228"/>
        <s v="NET-1145"/>
        <s v="ACC-2867"/>
        <s v="MON-9274"/>
        <s v="MON-4830"/>
        <s v="PHN-9107"/>
        <s v="PRN-1060"/>
        <s v="NET-8329"/>
        <s v="NET-6269"/>
        <s v="CMP-6529"/>
        <s v="PHN-8776"/>
        <s v="NET-3728"/>
        <s v="LAP-3565"/>
        <s v="LAP-5078"/>
        <s v="MON-2465"/>
        <s v="CMP-3223"/>
        <s v="CMP-8127"/>
        <s v="PHN-1924"/>
        <s v="CMP-1156"/>
        <s v="LAP-3905"/>
        <s v="PRN-1786"/>
        <s v="ACC-3349"/>
        <s v="NET-4228"/>
        <s v="CMP-5633"/>
        <s v="CMP-5825"/>
        <s v="LAP-6499"/>
        <s v="ACC-3721"/>
        <s v="MON-6190"/>
        <s v="CMP-2410"/>
        <s v="PRN-2641"/>
        <s v="PRN-1882"/>
        <s v="PRN-1641"/>
        <s v="LAP-1739"/>
        <s v="PRN-4732"/>
        <s v="NET-9569"/>
        <s v="PHN-3007"/>
        <s v="MON-9216"/>
        <s v="PHN-8072"/>
        <s v="LAP-1308"/>
        <s v="LAP-7353"/>
        <s v="NET-6533"/>
        <s v="ACC-9445"/>
        <s v="PRN-1654"/>
        <s v="NET-8787"/>
        <s v="LAP-1989"/>
        <s v="MON-8688"/>
        <s v="ACC-8242"/>
        <s v="LAP-4666"/>
        <s v="NET-5196"/>
        <s v="MON-8422"/>
        <s v="ACC-3415"/>
        <s v="PRN-9624"/>
        <s v="MON-6287"/>
        <s v="NET-4491"/>
        <s v="MON-4317"/>
        <s v="NET-7349"/>
        <s v="ACC-5150"/>
        <s v="ACC-5144"/>
        <s v="PHN-6111"/>
        <s v="ACC-9283"/>
        <s v="PRN-2407"/>
        <s v="MON-7099"/>
        <s v="ACC-7354"/>
        <s v="PRN-6585"/>
        <s v="CMP-9498"/>
        <s v="PHN-1919"/>
        <s v="MON-6053"/>
        <s v="NET-2502"/>
        <s v="LAP-5689"/>
        <s v="CMP-5911"/>
        <s v="LAP-7523"/>
        <s v="MON-1118"/>
        <s v="NET-9177"/>
        <s v="CMP-6495"/>
        <s v="ACC-4587"/>
        <s v="PHN-4395"/>
        <s v="LAP-3581"/>
        <s v="MON-6065"/>
        <s v="CMP-4945"/>
        <s v="NET-3785"/>
        <s v="NET-3689"/>
        <s v="ACC-3833"/>
        <s v="NET-2932"/>
        <s v="PHN-7636"/>
        <s v="CMP-1223"/>
        <s v="MON-7207"/>
        <s v="LAP-4483"/>
        <s v="LAP-1969"/>
        <s v="PHN-4566"/>
        <s v="PHN-5366"/>
        <s v="CMP-9001"/>
        <s v="PHN-9677"/>
        <s v="ACC-1604"/>
        <s v="ACC-4815"/>
        <s v="CMP-5311"/>
        <s v="NET-1282"/>
        <s v="MON-1564"/>
        <s v="ACC-7906"/>
        <s v="LAP-6577"/>
        <s v="CMP-5065"/>
        <s v="PRN-4787"/>
        <s v="PRN-9867"/>
        <s v="MON-2849"/>
        <s v="LAP-8633"/>
        <s v="PRN-9793"/>
        <s v="NET-6218"/>
        <s v="PRN-6131"/>
        <s v="PRN-5067"/>
        <s v="LAP-4932"/>
        <s v="ACC-7713"/>
        <s v="PHN-7379"/>
        <s v="PRN-5569"/>
        <s v="CMP-1470"/>
        <s v="PRN-9249"/>
        <s v="PRN-4906"/>
        <s v="MON-8129"/>
        <s v="NET-5987"/>
        <s v="NET-5423"/>
        <s v="PRN-5264"/>
        <s v="NET-8856"/>
        <s v="MON-4215"/>
        <s v="PRN-5753"/>
        <s v="CMP-5006"/>
        <s v="ACC-4766"/>
        <s v="NET-8610"/>
        <s v="NET-4675"/>
        <s v="ACC-1028"/>
        <s v="NET-4735"/>
        <s v="NET-2460"/>
        <s v="CMP-1555"/>
        <s v="MON-3773"/>
        <s v="PHN-4677"/>
        <s v="CMP-1940"/>
        <s v="PHN-9184"/>
        <s v="LAP-3017"/>
      </sharedItems>
    </cacheField>
    <cacheField name="UnitCost" numFmtId="2">
      <sharedItems containsSemiMixedTypes="0" containsString="0" containsNumber="1" minValue="5.34" maxValue="1495.79"/>
    </cacheField>
    <cacheField name="UnitPrice" numFmtId="2">
      <sharedItems containsSemiMixedTypes="0" containsString="0" containsNumber="1" minValue="4.22" maxValue="3661.07"/>
    </cacheField>
    <cacheField name="Priceband" numFmtId="2">
      <sharedItems/>
    </cacheField>
    <cacheField name="DiscountPct" numFmtId="165">
      <sharedItems containsSemiMixedTypes="0" containsString="0" containsNumber="1" minValue="0" maxValue="0.3"/>
    </cacheField>
    <cacheField name="Quantity" numFmtId="1">
      <sharedItems containsSemiMixedTypes="0" containsString="0" containsNumber="1" containsInteger="1" minValue="2" maxValue="61"/>
    </cacheField>
    <cacheField name="Gross Revenue" numFmtId="2">
      <sharedItems containsSemiMixedTypes="0" containsString="0" containsNumber="1" minValue="18.659839999999999" maxValue="139277.83032000001"/>
    </cacheField>
    <cacheField name="Cost of Goods" numFmtId="2">
      <sharedItems containsSemiMixedTypes="0" containsString="0" containsNumber="1" minValue="22" maxValue="83258.290000000008"/>
    </cacheField>
    <cacheField name="Gross Profit" numFmtId="2">
      <sharedItems containsSemiMixedTypes="0" containsString="0" containsNumber="1" minValue="-68355.013999999996" maxValue="65188.659999999996"/>
    </cacheField>
    <cacheField name="Margin Pct" numFmtId="2">
      <sharedItems containsSemiMixedTypes="0" containsString="0" containsNumber="1" minValue="-250.39750756449047" maxValue="0.59672531214528945"/>
    </cacheField>
    <cacheField name="Quarters" numFmtId="0" databaseField="0">
      <fieldGroup base="1">
        <rangePr groupBy="quarters" startDate="2023-01-02T00:00:00" endDate="2025-09-16T00:00:00"/>
        <groupItems count="6">
          <s v="&lt;1/2/2023"/>
          <s v="Qtr1"/>
          <s v="Qtr2"/>
          <s v="Qtr3"/>
          <s v="Qtr4"/>
          <s v="&gt;9/16/2025"/>
        </groupItems>
      </fieldGroup>
    </cacheField>
    <cacheField name="Years" numFmtId="0" databaseField="0">
      <fieldGroup base="1">
        <rangePr groupBy="years" startDate="2023-01-02T00:00:00" endDate="2025-09-16T00:00:00"/>
        <groupItems count="5">
          <s v="&lt;1/2/2023"/>
          <s v="2023"/>
          <s v="2024"/>
          <s v="2025"/>
          <s v="&gt;9/16/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USER" refreshedDate="46053.966720254626" createdVersion="6" refreshedVersion="6" minRefreshableVersion="3" recordCount="631">
  <cacheSource type="worksheet">
    <worksheetSource ref="A1:X632" sheet="Staging_Table_1"/>
  </cacheSource>
  <cacheFields count="23">
    <cacheField name="OrderID" numFmtId="49">
      <sharedItems/>
    </cacheField>
    <cacheField name="OrderDate" numFmtId="166">
      <sharedItems containsSemiMixedTypes="0" containsNonDate="0" containsDate="1" containsString="0" minDate="2023-01-02T00:00:00" maxDate="2025-09-16T00:00:00"/>
    </cacheField>
    <cacheField name="Quarter" numFmtId="166">
      <sharedItems/>
    </cacheField>
    <cacheField name="Correct_Required_Date" numFmtId="14">
      <sharedItems containsSemiMixedTypes="0" containsNonDate="0" containsDate="1" containsString="0" minDate="2023-01-05T00:00:00" maxDate="2025-10-06T00:00:00"/>
    </cacheField>
    <cacheField name="LeadtimeDays" numFmtId="1">
      <sharedItems containsSemiMixedTypes="0" containsString="0" containsNumber="1" containsInteger="1" minValue="0" maxValue="30"/>
    </cacheField>
    <cacheField name="Region" numFmtId="0">
      <sharedItems/>
    </cacheField>
    <cacheField name="Country" numFmtId="0">
      <sharedItems count="12">
        <s v="Kenya"/>
        <s v="Nigeria"/>
        <s v="Japan"/>
        <s v="Canada"/>
        <s v="India"/>
        <s v="Brazil"/>
        <s v="Germany"/>
        <s v="France"/>
        <s v="United Kingdom"/>
        <s v="China"/>
        <s v="USA"/>
        <s v="South Africa"/>
      </sharedItems>
    </cacheField>
    <cacheField name="City" numFmtId="0">
      <sharedItems/>
    </cacheField>
    <cacheField name="CustomerSegment" numFmtId="0">
      <sharedItems/>
    </cacheField>
    <cacheField name="Channel" numFmtId="0">
      <sharedItems/>
    </cacheField>
    <cacheField name="Salesperson" numFmtId="0">
      <sharedItems/>
    </cacheField>
    <cacheField name="ProductCategory" numFmtId="0">
      <sharedItems count="7">
        <s v="Components"/>
        <s v="Printers"/>
        <s v="Networking"/>
        <s v="Phones"/>
        <s v="Laptops"/>
        <s v="Monitors"/>
        <s v="Accessories"/>
      </sharedItems>
    </cacheField>
    <cacheField name="SKU" numFmtId="49">
      <sharedItems/>
    </cacheField>
    <cacheField name="UnitCost" numFmtId="2">
      <sharedItems containsSemiMixedTypes="0" containsString="0" containsNumber="1" minValue="5.34" maxValue="1495.79"/>
    </cacheField>
    <cacheField name="UnitPrice" numFmtId="2">
      <sharedItems containsSemiMixedTypes="0" containsString="0" containsNumber="1" minValue="4.22" maxValue="3661.07"/>
    </cacheField>
    <cacheField name="Priceband" numFmtId="2">
      <sharedItems/>
    </cacheField>
    <cacheField name="DiscountPct" numFmtId="165">
      <sharedItems containsSemiMixedTypes="0" containsString="0" containsNumber="1" minValue="0" maxValue="0.3"/>
    </cacheField>
    <cacheField name="Quantity" numFmtId="1">
      <sharedItems containsSemiMixedTypes="0" containsString="0" containsNumber="1" containsInteger="1" minValue="2" maxValue="61"/>
    </cacheField>
    <cacheField name="Gross Revenue" numFmtId="2">
      <sharedItems containsSemiMixedTypes="0" containsString="0" containsNumber="1" minValue="18.659839999999999" maxValue="139277.83032000001"/>
    </cacheField>
    <cacheField name="Cost of Goods" numFmtId="2">
      <sharedItems containsSemiMixedTypes="0" containsString="0" containsNumber="1" minValue="22" maxValue="83258.290000000008"/>
    </cacheField>
    <cacheField name="Gross Profit" numFmtId="2">
      <sharedItems containsSemiMixedTypes="0" containsString="0" containsNumber="1" minValue="-68355.013999999996" maxValue="65188.659999999996"/>
    </cacheField>
    <cacheField name="Margin Pct" numFmtId="2">
      <sharedItems containsSemiMixedTypes="0" containsString="0" containsNumber="1" minValue="-250.39750756449047" maxValue="0.59672531214528945"/>
    </cacheField>
    <cacheField name="Service Level" numFmtId="0">
      <sharedItems count="2">
        <s v="Delayed"/>
        <s v="On-time"/>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USER" refreshedDate="46054.006516203706" createdVersion="6" refreshedVersion="6" minRefreshableVersion="3" recordCount="631">
  <cacheSource type="worksheet">
    <worksheetSource ref="A1:Y632" sheet="Staging_Table_1"/>
  </cacheSource>
  <cacheFields count="24">
    <cacheField name="OrderID" numFmtId="49">
      <sharedItems/>
    </cacheField>
    <cacheField name="OrderDate" numFmtId="166">
      <sharedItems containsSemiMixedTypes="0" containsNonDate="0" containsDate="1" containsString="0" minDate="2023-01-02T00:00:00" maxDate="2025-09-16T00:00:00"/>
    </cacheField>
    <cacheField name="Quarter" numFmtId="166">
      <sharedItems/>
    </cacheField>
    <cacheField name="Correct_Required_Date" numFmtId="14">
      <sharedItems containsSemiMixedTypes="0" containsNonDate="0" containsDate="1" containsString="0" minDate="2023-01-05T00:00:00" maxDate="2025-10-06T00:00:00"/>
    </cacheField>
    <cacheField name="LeadtimeDays" numFmtId="1">
      <sharedItems containsSemiMixedTypes="0" containsString="0" containsNumber="1" containsInteger="1" minValue="0" maxValue="30"/>
    </cacheField>
    <cacheField name="Region" numFmtId="0">
      <sharedItems count="4">
        <s v="Africa"/>
        <s v="Asia"/>
        <s v="Americas"/>
        <s v="Europe"/>
      </sharedItems>
    </cacheField>
    <cacheField name="Country" numFmtId="0">
      <sharedItems count="12">
        <s v="Kenya"/>
        <s v="Nigeria"/>
        <s v="Japan"/>
        <s v="Canada"/>
        <s v="India"/>
        <s v="Brazil"/>
        <s v="Germany"/>
        <s v="France"/>
        <s v="United Kingdom"/>
        <s v="China"/>
        <s v="USA"/>
        <s v="South Africa"/>
      </sharedItems>
    </cacheField>
    <cacheField name="City" numFmtId="0">
      <sharedItems/>
    </cacheField>
    <cacheField name="CustomerSegment" numFmtId="0">
      <sharedItems/>
    </cacheField>
    <cacheField name="Channel" numFmtId="0">
      <sharedItems/>
    </cacheField>
    <cacheField name="Salesperson" numFmtId="0">
      <sharedItems count="16">
        <s v="C. Otieno"/>
        <s v="J. Njeri"/>
        <s v="I. Johnson"/>
        <s v="G. Dubois"/>
        <s v="L. Okafor"/>
        <s v="B. Chen"/>
        <s v="E. Garcia"/>
        <s v="O. Wang"/>
        <s v="A. Patel"/>
        <s v="F. Müller"/>
        <s v="H. Kim"/>
        <s v="K. Singh"/>
        <s v="M. Rossi"/>
        <s v="N. Brown"/>
        <s v="D. Smith"/>
        <s v="Unknown"/>
      </sharedItems>
    </cacheField>
    <cacheField name="ProductCategory" numFmtId="0">
      <sharedItems/>
    </cacheField>
    <cacheField name="SKU" numFmtId="49">
      <sharedItems/>
    </cacheField>
    <cacheField name="UnitCost" numFmtId="2">
      <sharedItems containsSemiMixedTypes="0" containsString="0" containsNumber="1" minValue="5.34" maxValue="1495.79"/>
    </cacheField>
    <cacheField name="UnitPrice" numFmtId="2">
      <sharedItems containsSemiMixedTypes="0" containsString="0" containsNumber="1" minValue="4.22" maxValue="3661.07"/>
    </cacheField>
    <cacheField name="Priceband" numFmtId="2">
      <sharedItems/>
    </cacheField>
    <cacheField name="DiscountPct" numFmtId="165">
      <sharedItems containsSemiMixedTypes="0" containsString="0" containsNumber="1" minValue="0" maxValue="0.3"/>
    </cacheField>
    <cacheField name="Quantity" numFmtId="1">
      <sharedItems containsSemiMixedTypes="0" containsString="0" containsNumber="1" containsInteger="1" minValue="2" maxValue="61"/>
    </cacheField>
    <cacheField name="Gross Revenue" numFmtId="2">
      <sharedItems containsSemiMixedTypes="0" containsString="0" containsNumber="1" minValue="18.659839999999999" maxValue="139277.83032000001"/>
    </cacheField>
    <cacheField name="Cost of Goods" numFmtId="2">
      <sharedItems containsSemiMixedTypes="0" containsString="0" containsNumber="1" minValue="22" maxValue="83258.290000000008"/>
    </cacheField>
    <cacheField name="Gross Profit" numFmtId="2">
      <sharedItems containsSemiMixedTypes="0" containsString="0" containsNumber="1" minValue="-68355.013999999996" maxValue="65188.659999999996"/>
    </cacheField>
    <cacheField name="Margin Pct" numFmtId="2">
      <sharedItems containsSemiMixedTypes="0" containsString="0" containsNumber="1" minValue="-250.39750756449047" maxValue="0.59672531214528945"/>
    </cacheField>
    <cacheField name="Service Level" numFmtId="0">
      <sharedItems/>
    </cacheField>
    <cacheField name="Price Compliance" numFmtId="0">
      <sharedItems count="2">
        <s v="Compliant Discount"/>
        <s v="Non-compliant Discount"/>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r:id="rId1" refreshedBy="USER" refreshedDate="46054.130188425923" createdVersion="6" refreshedVersion="6" minRefreshableVersion="3" recordCount="631">
  <cacheSource type="worksheet">
    <worksheetSource ref="A1:AE632" sheet="Staging_Table_1"/>
  </cacheSource>
  <cacheFields count="32">
    <cacheField name="OrderID" numFmtId="49">
      <sharedItems/>
    </cacheField>
    <cacheField name="OrderDate" numFmtId="166">
      <sharedItems containsSemiMixedTypes="0" containsNonDate="0" containsDate="1" containsString="0" minDate="2023-01-02T00:00:00" maxDate="2025-09-16T00:00:00" count="468">
        <d v="2024-03-11T00:00:00"/>
        <d v="2024-10-23T00:00:00"/>
        <d v="2023-02-28T00:00:00"/>
        <d v="2025-03-29T00:00:00"/>
        <d v="2023-12-06T00:00:00"/>
        <d v="2023-01-02T00:00:00"/>
        <d v="2024-12-27T00:00:00"/>
        <d v="2023-01-15T00:00:00"/>
        <d v="2024-05-04T00:00:00"/>
        <d v="2025-05-21T00:00:00"/>
        <d v="2024-01-28T00:00:00"/>
        <d v="2025-01-03T00:00:00"/>
        <d v="2025-03-06T00:00:00"/>
        <d v="2024-01-20T00:00:00"/>
        <d v="2025-09-01T00:00:00"/>
        <d v="2023-04-23T00:00:00"/>
        <d v="2024-12-10T00:00:00"/>
        <d v="2025-09-08T00:00:00"/>
        <d v="2025-07-20T00:00:00"/>
        <d v="2024-07-25T00:00:00"/>
        <d v="2023-05-11T00:00:00"/>
        <d v="2025-06-14T00:00:00"/>
        <d v="2024-05-18T00:00:00"/>
        <d v="2023-02-07T00:00:00"/>
        <d v="2024-06-30T00:00:00"/>
        <d v="2024-11-30T00:00:00"/>
        <d v="2024-07-19T00:00:00"/>
        <d v="2023-04-14T00:00:00"/>
        <d v="2025-04-07T00:00:00"/>
        <d v="2023-02-23T00:00:00"/>
        <d v="2025-07-24T00:00:00"/>
        <d v="2024-04-18T00:00:00"/>
        <d v="2024-08-23T00:00:00"/>
        <d v="2023-03-27T00:00:00"/>
        <d v="2024-03-07T00:00:00"/>
        <d v="2025-06-24T00:00:00"/>
        <d v="2024-04-19T00:00:00"/>
        <d v="2023-06-17T00:00:00"/>
        <d v="2024-08-27T00:00:00"/>
        <d v="2024-01-11T00:00:00"/>
        <d v="2024-10-25T00:00:00"/>
        <d v="2025-05-29T00:00:00"/>
        <d v="2024-05-20T00:00:00"/>
        <d v="2023-04-19T00:00:00"/>
        <d v="2023-06-23T00:00:00"/>
        <d v="2024-05-14T00:00:00"/>
        <d v="2024-10-14T00:00:00"/>
        <d v="2023-07-10T00:00:00"/>
        <d v="2024-11-06T00:00:00"/>
        <d v="2024-10-17T00:00:00"/>
        <d v="2023-03-31T00:00:00"/>
        <d v="2025-01-21T00:00:00"/>
        <d v="2023-08-30T00:00:00"/>
        <d v="2025-04-06T00:00:00"/>
        <d v="2025-02-09T00:00:00"/>
        <d v="2024-12-17T00:00:00"/>
        <d v="2025-06-09T00:00:00"/>
        <d v="2025-05-02T00:00:00"/>
        <d v="2024-03-10T00:00:00"/>
        <d v="2025-09-10T00:00:00"/>
        <d v="2025-04-27T00:00:00"/>
        <d v="2024-11-02T00:00:00"/>
        <d v="2023-02-15T00:00:00"/>
        <d v="2023-12-03T00:00:00"/>
        <d v="2023-03-19T00:00:00"/>
        <d v="2024-05-22T00:00:00"/>
        <d v="2023-08-19T00:00:00"/>
        <d v="2023-04-21T00:00:00"/>
        <d v="2024-03-18T00:00:00"/>
        <d v="2025-04-09T00:00:00"/>
        <d v="2024-04-12T00:00:00"/>
        <d v="2024-12-15T00:00:00"/>
        <d v="2023-05-20T00:00:00"/>
        <d v="2023-09-18T00:00:00"/>
        <d v="2024-08-28T00:00:00"/>
        <d v="2023-06-14T00:00:00"/>
        <d v="2024-11-21T00:00:00"/>
        <d v="2023-02-08T00:00:00"/>
        <d v="2025-05-14T00:00:00"/>
        <d v="2025-04-23T00:00:00"/>
        <d v="2025-03-25T00:00:00"/>
        <d v="2023-12-22T00:00:00"/>
        <d v="2024-04-06T00:00:00"/>
        <d v="2025-08-07T00:00:00"/>
        <d v="2024-01-21T00:00:00"/>
        <d v="2023-06-29T00:00:00"/>
        <d v="2025-04-28T00:00:00"/>
        <d v="2023-06-24T00:00:00"/>
        <d v="2024-10-04T00:00:00"/>
        <d v="2023-04-06T00:00:00"/>
        <d v="2025-08-01T00:00:00"/>
        <d v="2024-05-28T00:00:00"/>
        <d v="2025-07-22T00:00:00"/>
        <d v="2025-01-27T00:00:00"/>
        <d v="2024-01-13T00:00:00"/>
        <d v="2025-03-31T00:00:00"/>
        <d v="2024-12-05T00:00:00"/>
        <d v="2024-09-14T00:00:00"/>
        <d v="2024-05-21T00:00:00"/>
        <d v="2024-08-14T00:00:00"/>
        <d v="2024-10-16T00:00:00"/>
        <d v="2024-06-02T00:00:00"/>
        <d v="2024-06-09T00:00:00"/>
        <d v="2024-06-10T00:00:00"/>
        <d v="2024-06-29T00:00:00"/>
        <d v="2025-01-17T00:00:00"/>
        <d v="2023-11-20T00:00:00"/>
        <d v="2023-03-02T00:00:00"/>
        <d v="2025-06-03T00:00:00"/>
        <d v="2023-06-09T00:00:00"/>
        <d v="2025-07-09T00:00:00"/>
        <d v="2025-06-19T00:00:00"/>
        <d v="2023-11-19T00:00:00"/>
        <d v="2023-12-29T00:00:00"/>
        <d v="2023-08-21T00:00:00"/>
        <d v="2023-08-12T00:00:00"/>
        <d v="2024-06-07T00:00:00"/>
        <d v="2025-08-05T00:00:00"/>
        <d v="2024-05-30T00:00:00"/>
        <d v="2023-01-22T00:00:00"/>
        <d v="2025-02-12T00:00:00"/>
        <d v="2025-03-03T00:00:00"/>
        <d v="2023-01-27T00:00:00"/>
        <d v="2025-01-09T00:00:00"/>
        <d v="2024-12-21T00:00:00"/>
        <d v="2023-04-12T00:00:00"/>
        <d v="2024-12-14T00:00:00"/>
        <d v="2024-11-20T00:00:00"/>
        <d v="2024-02-14T00:00:00"/>
        <d v="2023-05-02T00:00:00"/>
        <d v="2024-12-23T00:00:00"/>
        <d v="2023-07-26T00:00:00"/>
        <d v="2024-06-15T00:00:00"/>
        <d v="2023-07-05T00:00:00"/>
        <d v="2023-11-30T00:00:00"/>
        <d v="2025-09-11T00:00:00"/>
        <d v="2024-04-04T00:00:00"/>
        <d v="2023-09-14T00:00:00"/>
        <d v="2024-09-23T00:00:00"/>
        <d v="2025-04-16T00:00:00"/>
        <d v="2023-07-03T00:00:00"/>
        <d v="2023-12-07T00:00:00"/>
        <d v="2024-02-18T00:00:00"/>
        <d v="2023-10-31T00:00:00"/>
        <d v="2024-08-07T00:00:00"/>
        <d v="2024-02-01T00:00:00"/>
        <d v="2025-02-15T00:00:00"/>
        <d v="2023-02-20T00:00:00"/>
        <d v="2024-10-30T00:00:00"/>
        <d v="2024-04-03T00:00:00"/>
        <d v="2023-03-25T00:00:00"/>
        <d v="2024-06-04T00:00:00"/>
        <d v="2023-02-19T00:00:00"/>
        <d v="2023-04-18T00:00:00"/>
        <d v="2024-05-23T00:00:00"/>
        <d v="2023-10-07T00:00:00"/>
        <d v="2024-10-09T00:00:00"/>
        <d v="2024-07-15T00:00:00"/>
        <d v="2023-09-21T00:00:00"/>
        <d v="2023-02-24T00:00:00"/>
        <d v="2025-04-14T00:00:00"/>
        <d v="2023-08-27T00:00:00"/>
        <d v="2024-02-03T00:00:00"/>
        <d v="2023-04-05T00:00:00"/>
        <d v="2025-08-21T00:00:00"/>
        <d v="2025-09-15T00:00:00"/>
        <d v="2024-10-03T00:00:00"/>
        <d v="2025-02-02T00:00:00"/>
        <d v="2024-10-22T00:00:00"/>
        <d v="2023-06-22T00:00:00"/>
        <d v="2025-01-13T00:00:00"/>
        <d v="2023-07-19T00:00:00"/>
        <d v="2024-05-19T00:00:00"/>
        <d v="2023-08-08T00:00:00"/>
        <d v="2024-08-12T00:00:00"/>
        <d v="2023-10-15T00:00:00"/>
        <d v="2023-05-04T00:00:00"/>
        <d v="2024-09-22T00:00:00"/>
        <d v="2024-02-11T00:00:00"/>
        <d v="2023-01-30T00:00:00"/>
        <d v="2023-01-13T00:00:00"/>
        <d v="2024-01-12T00:00:00"/>
        <d v="2023-08-15T00:00:00"/>
        <d v="2023-01-20T00:00:00"/>
        <d v="2025-02-04T00:00:00"/>
        <d v="2023-07-02T00:00:00"/>
        <d v="2024-09-10T00:00:00"/>
        <d v="2025-07-21T00:00:00"/>
        <d v="2024-10-02T00:00:00"/>
        <d v="2025-07-14T00:00:00"/>
        <d v="2024-09-09T00:00:00"/>
        <d v="2025-01-29T00:00:00"/>
        <d v="2023-11-10T00:00:00"/>
        <d v="2024-02-29T00:00:00"/>
        <d v="2023-12-20T00:00:00"/>
        <d v="2024-10-11T00:00:00"/>
        <d v="2024-09-19T00:00:00"/>
        <d v="2025-08-25T00:00:00"/>
        <d v="2023-09-25T00:00:00"/>
        <d v="2023-08-26T00:00:00"/>
        <d v="2025-07-16T00:00:00"/>
        <d v="2023-12-19T00:00:00"/>
        <d v="2023-07-30T00:00:00"/>
        <d v="2023-10-04T00:00:00"/>
        <d v="2025-08-10T00:00:00"/>
        <d v="2023-03-07T00:00:00"/>
        <d v="2023-05-23T00:00:00"/>
        <d v="2025-04-24T00:00:00"/>
        <d v="2024-09-03T00:00:00"/>
        <d v="2024-09-05T00:00:00"/>
        <d v="2023-03-14T00:00:00"/>
        <d v="2024-09-13T00:00:00"/>
        <d v="2025-07-17T00:00:00"/>
        <d v="2023-11-28T00:00:00"/>
        <d v="2024-03-30T00:00:00"/>
        <d v="2023-09-19T00:00:00"/>
        <d v="2025-05-16T00:00:00"/>
        <d v="2025-08-02T00:00:00"/>
        <d v="2024-12-04T00:00:00"/>
        <d v="2024-03-06T00:00:00"/>
        <d v="2024-02-16T00:00:00"/>
        <d v="2025-04-22T00:00:00"/>
        <d v="2024-11-08T00:00:00"/>
        <d v="2025-09-12T00:00:00"/>
        <d v="2024-09-02T00:00:00"/>
        <d v="2023-03-04T00:00:00"/>
        <d v="2024-03-15T00:00:00"/>
        <d v="2024-07-29T00:00:00"/>
        <d v="2024-10-27T00:00:00"/>
        <d v="2024-04-29T00:00:00"/>
        <d v="2023-10-05T00:00:00"/>
        <d v="2025-06-27T00:00:00"/>
        <d v="2023-10-11T00:00:00"/>
        <d v="2023-05-27T00:00:00"/>
        <d v="2023-08-04T00:00:00"/>
        <d v="2025-06-21T00:00:00"/>
        <d v="2025-09-02T00:00:00"/>
        <d v="2024-10-08T00:00:00"/>
        <d v="2023-05-07T00:00:00"/>
        <d v="2023-12-24T00:00:00"/>
        <d v="2024-01-10T00:00:00"/>
        <d v="2023-08-03T00:00:00"/>
        <d v="2025-02-19T00:00:00"/>
        <d v="2024-03-31T00:00:00"/>
        <d v="2023-07-24T00:00:00"/>
        <d v="2024-03-16T00:00:00"/>
        <d v="2024-01-25T00:00:00"/>
        <d v="2024-03-27T00:00:00"/>
        <d v="2024-06-16T00:00:00"/>
        <d v="2023-10-30T00:00:00"/>
        <d v="2023-06-15T00:00:00"/>
        <d v="2025-03-14T00:00:00"/>
        <d v="2025-05-17T00:00:00"/>
        <d v="2025-04-04T00:00:00"/>
        <d v="2024-09-07T00:00:00"/>
        <d v="2023-07-18T00:00:00"/>
        <d v="2025-08-28T00:00:00"/>
        <d v="2025-03-30T00:00:00"/>
        <d v="2023-10-21T00:00:00"/>
        <d v="2023-08-23T00:00:00"/>
        <d v="2025-04-11T00:00:00"/>
        <d v="2025-06-01T00:00:00"/>
        <d v="2024-03-02T00:00:00"/>
        <d v="2023-06-20T00:00:00"/>
        <d v="2024-03-26T00:00:00"/>
        <d v="2025-01-22T00:00:00"/>
        <d v="2025-05-10T00:00:00"/>
        <d v="2025-06-22T00:00:00"/>
        <d v="2024-06-19T00:00:00"/>
        <d v="2025-05-18T00:00:00"/>
        <d v="2023-01-10T00:00:00"/>
        <d v="2024-12-29T00:00:00"/>
        <d v="2024-11-04T00:00:00"/>
        <d v="2024-06-08T00:00:00"/>
        <d v="2023-05-06T00:00:00"/>
        <d v="2023-11-14T00:00:00"/>
        <d v="2025-04-01T00:00:00"/>
        <d v="2023-03-23T00:00:00"/>
        <d v="2024-01-02T00:00:00"/>
        <d v="2023-06-10T00:00:00"/>
        <d v="2025-05-19T00:00:00"/>
        <d v="2023-10-22T00:00:00"/>
        <d v="2025-01-11T00:00:00"/>
        <d v="2025-09-14T00:00:00"/>
        <d v="2023-11-15T00:00:00"/>
        <d v="2024-04-09T00:00:00"/>
        <d v="2024-07-11T00:00:00"/>
        <d v="2023-07-25T00:00:00"/>
        <d v="2023-07-14T00:00:00"/>
        <d v="2023-04-13T00:00:00"/>
        <d v="2024-10-29T00:00:00"/>
        <d v="2024-02-17T00:00:00"/>
        <d v="2024-07-13T00:00:00"/>
        <d v="2023-12-01T00:00:00"/>
        <d v="2023-12-21T00:00:00"/>
        <d v="2025-06-17T00:00:00"/>
        <d v="2023-12-02T00:00:00"/>
        <d v="2024-08-08T00:00:00"/>
        <d v="2024-11-07T00:00:00"/>
        <d v="2024-01-01T00:00:00"/>
        <d v="2025-08-14T00:00:00"/>
        <d v="2024-11-25T00:00:00"/>
        <d v="2024-01-18T00:00:00"/>
        <d v="2024-06-23T00:00:00"/>
        <d v="2025-06-25T00:00:00"/>
        <d v="2023-07-01T00:00:00"/>
        <d v="2024-03-09T00:00:00"/>
        <d v="2023-06-05T00:00:00"/>
        <d v="2025-03-21T00:00:00"/>
        <d v="2025-03-15T00:00:00"/>
        <d v="2023-12-26T00:00:00"/>
        <d v="2023-02-05T00:00:00"/>
        <d v="2024-05-17T00:00:00"/>
        <d v="2024-03-03T00:00:00"/>
        <d v="2023-03-13T00:00:00"/>
        <d v="2025-01-07T00:00:00"/>
        <d v="2025-02-06T00:00:00"/>
        <d v="2025-01-31T00:00:00"/>
        <d v="2025-07-23T00:00:00"/>
        <d v="2024-07-18T00:00:00"/>
        <d v="2025-05-12T00:00:00"/>
        <d v="2024-05-07T00:00:00"/>
        <d v="2023-09-30T00:00:00"/>
        <d v="2023-10-26T00:00:00"/>
        <d v="2025-06-15T00:00:00"/>
        <d v="2024-08-10T00:00:00"/>
        <d v="2023-10-09T00:00:00"/>
        <d v="2023-05-29T00:00:00"/>
        <d v="2025-05-27T00:00:00"/>
        <d v="2024-12-12T00:00:00"/>
        <d v="2024-09-06T00:00:00"/>
        <d v="2025-04-12T00:00:00"/>
        <d v="2024-11-05T00:00:00"/>
        <d v="2024-07-24T00:00:00"/>
        <d v="2025-01-20T00:00:00"/>
        <d v="2023-03-06T00:00:00"/>
        <d v="2024-12-20T00:00:00"/>
        <d v="2025-02-21T00:00:00"/>
        <d v="2025-03-08T00:00:00"/>
        <d v="2023-12-16T00:00:00"/>
        <d v="2024-08-30T00:00:00"/>
        <d v="2023-03-17T00:00:00"/>
        <d v="2023-08-25T00:00:00"/>
        <d v="2024-06-06T00:00:00"/>
        <d v="2023-08-29T00:00:00"/>
        <d v="2025-06-05T00:00:00"/>
        <d v="2024-01-16T00:00:00"/>
        <d v="2023-10-12T00:00:00"/>
        <d v="2025-02-25T00:00:00"/>
        <d v="2025-07-03T00:00:00"/>
        <d v="2024-02-19T00:00:00"/>
        <d v="2024-02-27T00:00:00"/>
        <d v="2024-08-18T00:00:00"/>
        <d v="2024-02-25T00:00:00"/>
        <d v="2025-05-07T00:00:00"/>
        <d v="2024-11-01T00:00:00"/>
        <d v="2024-12-28T00:00:00"/>
        <d v="2023-10-18T00:00:00"/>
        <d v="2024-12-24T00:00:00"/>
        <d v="2023-12-30T00:00:00"/>
        <d v="2023-02-21T00:00:00"/>
        <d v="2023-05-17T00:00:00"/>
        <d v="2024-03-23T00:00:00"/>
        <d v="2023-09-20T00:00:00"/>
        <d v="2024-08-22T00:00:00"/>
        <d v="2024-09-25T00:00:00"/>
        <d v="2023-06-13T00:00:00"/>
        <d v="2024-06-03T00:00:00"/>
        <d v="2024-06-11T00:00:00"/>
        <d v="2023-07-22T00:00:00"/>
        <d v="2023-01-19T00:00:00"/>
        <d v="2024-05-01T00:00:00"/>
        <d v="2023-05-24T00:00:00"/>
        <d v="2023-12-05T00:00:00"/>
        <d v="2024-05-05T00:00:00"/>
        <d v="2023-07-09T00:00:00"/>
        <d v="2025-04-10T00:00:00"/>
        <d v="2025-07-27T00:00:00"/>
        <d v="2024-11-22T00:00:00"/>
        <d v="2023-12-18T00:00:00"/>
        <d v="2025-03-23T00:00:00"/>
        <d v="2023-05-14T00:00:00"/>
        <d v="2024-02-06T00:00:00"/>
        <d v="2025-08-13T00:00:00"/>
        <d v="2024-05-10T00:00:00"/>
        <d v="2023-07-16T00:00:00"/>
        <d v="2023-04-16T00:00:00"/>
        <d v="2025-08-30T00:00:00"/>
        <d v="2023-08-10T00:00:00"/>
        <d v="2024-12-08T00:00:00"/>
        <d v="2023-10-25T00:00:00"/>
        <d v="2024-11-17T00:00:00"/>
        <d v="2024-05-12T00:00:00"/>
        <d v="2025-05-15T00:00:00"/>
        <d v="2024-04-21T00:00:00"/>
        <d v="2024-08-19T00:00:00"/>
        <d v="2024-03-01T00:00:00"/>
        <d v="2024-05-27T00:00:00"/>
        <d v="2024-08-04T00:00:00"/>
        <d v="2024-04-26T00:00:00"/>
        <d v="2025-03-24T00:00:00"/>
        <d v="2025-03-10T00:00:00"/>
        <d v="2024-04-05T00:00:00"/>
        <d v="2024-10-24T00:00:00"/>
        <d v="2024-11-12T00:00:00"/>
        <d v="2023-05-10T00:00:00"/>
        <d v="2024-10-10T00:00:00"/>
        <d v="2023-06-01T00:00:00"/>
        <d v="2025-01-04T00:00:00"/>
        <d v="2023-05-01T00:00:00"/>
        <d v="2024-07-09T00:00:00"/>
        <d v="2024-04-24T00:00:00"/>
        <d v="2024-04-16T00:00:00"/>
        <d v="2025-02-07T00:00:00"/>
        <d v="2023-01-12T00:00:00"/>
        <d v="2024-06-05T00:00:00"/>
        <d v="2023-08-24T00:00:00"/>
        <d v="2025-03-11T00:00:00"/>
        <d v="2023-08-17T00:00:00"/>
        <d v="2025-01-10T00:00:00"/>
        <d v="2024-08-16T00:00:00"/>
        <d v="2023-07-07T00:00:00"/>
        <d v="2023-12-28T00:00:00"/>
        <d v="2023-01-26T00:00:00"/>
        <d v="2023-07-08T00:00:00"/>
        <d v="2023-02-11T00:00:00"/>
        <d v="2025-08-20T00:00:00"/>
        <d v="2024-03-04T00:00:00"/>
        <d v="2023-09-08T00:00:00"/>
        <d v="2024-12-07T00:00:00"/>
        <d v="2025-08-06T00:00:00"/>
        <d v="2023-03-03T00:00:00"/>
        <d v="2025-02-16T00:00:00"/>
        <d v="2024-08-31T00:00:00"/>
        <d v="2024-01-08T00:00:00"/>
        <d v="2024-01-24T00:00:00"/>
        <d v="2024-02-08T00:00:00"/>
        <d v="2025-06-26T00:00:00"/>
        <d v="2024-02-20T00:00:00"/>
        <d v="2025-04-13T00:00:00"/>
        <d v="2023-04-26T00:00:00"/>
        <d v="2025-08-03T00:00:00"/>
        <d v="2023-08-02T00:00:00"/>
        <d v="2024-11-11T00:00:00"/>
        <d v="2025-07-11T00:00:00"/>
        <d v="2023-06-03T00:00:00"/>
        <d v="2023-01-29T00:00:00"/>
        <d v="2024-08-03T00:00:00"/>
        <d v="2025-04-17T00:00:00"/>
        <d v="2023-05-03T00:00:00"/>
        <d v="2024-03-13T00:00:00"/>
        <d v="2023-04-03T00:00:00"/>
        <d v="2023-02-27T00:00:00"/>
        <d v="2024-07-31T00:00:00"/>
        <d v="2025-02-17T00:00:00"/>
        <d v="2023-01-07T00:00:00"/>
        <d v="2024-08-17T00:00:00"/>
        <d v="2025-08-11T00:00:00"/>
        <d v="2023-04-10T00:00:00"/>
        <d v="2023-09-17T00:00:00"/>
        <d v="2023-04-22T00:00:00"/>
        <d v="2024-11-27T00:00:00"/>
        <d v="2024-10-19T00:00:00"/>
        <d v="2024-06-25T00:00:00"/>
        <d v="2024-10-13T00:00:00"/>
        <d v="2024-07-28T00:00:00"/>
        <d v="2025-07-19T00:00:00"/>
        <d v="2025-02-28T00:00:00"/>
      </sharedItems>
      <fieldGroup par="31" base="1">
        <rangePr groupBy="months" startDate="2023-01-02T00:00:00" endDate="2025-09-16T00:00:00"/>
        <groupItems count="14">
          <s v="&lt;1/2/2023"/>
          <s v="Jan"/>
          <s v="Feb"/>
          <s v="Mar"/>
          <s v="Apr"/>
          <s v="May"/>
          <s v="Jun"/>
          <s v="Jul"/>
          <s v="Aug"/>
          <s v="Sep"/>
          <s v="Oct"/>
          <s v="Nov"/>
          <s v="Dec"/>
          <s v="&gt;9/16/2025"/>
        </groupItems>
      </fieldGroup>
    </cacheField>
    <cacheField name="Quarter" numFmtId="166">
      <sharedItems count="11">
        <s v="Q1-2024"/>
        <s v="Q4-2024"/>
        <s v="Q1-2023"/>
        <s v="Q1-2025"/>
        <s v="Q4-2023"/>
        <s v="Q2-2024"/>
        <s v="Q2-2025"/>
        <s v="Q3-2025"/>
        <s v="Q2-2023"/>
        <s v="Q3-2024"/>
        <s v="Q3-2023"/>
      </sharedItems>
    </cacheField>
    <cacheField name="Correct_Required_Date" numFmtId="14">
      <sharedItems containsSemiMixedTypes="0" containsNonDate="0" containsDate="1" containsString="0" minDate="2023-01-05T00:00:00" maxDate="2025-10-06T00:00:00"/>
    </cacheField>
    <cacheField name="LeadtimeDays" numFmtId="1">
      <sharedItems containsSemiMixedTypes="0" containsString="0" containsNumber="1" containsInteger="1" minValue="0" maxValue="30"/>
    </cacheField>
    <cacheField name="Region" numFmtId="0">
      <sharedItems count="4">
        <s v="Africa"/>
        <s v="Asia"/>
        <s v="Americas"/>
        <s v="Europe"/>
      </sharedItems>
    </cacheField>
    <cacheField name="Country" numFmtId="0">
      <sharedItems count="12">
        <s v="Kenya"/>
        <s v="Nigeria"/>
        <s v="Japan"/>
        <s v="Canada"/>
        <s v="India"/>
        <s v="Brazil"/>
        <s v="Germany"/>
        <s v="France"/>
        <s v="United Kingdom"/>
        <s v="China"/>
        <s v="USA"/>
        <s v="South Africa"/>
      </sharedItems>
    </cacheField>
    <cacheField name="City" numFmtId="0">
      <sharedItems/>
    </cacheField>
    <cacheField name="CustomerSegment" numFmtId="0">
      <sharedItems/>
    </cacheField>
    <cacheField name="Channel" numFmtId="0">
      <sharedItems count="6">
        <s v="Retail"/>
        <s v="Online"/>
        <s v="Marketplace"/>
        <s v="Distributor"/>
        <s v="Direct"/>
        <s v="Unknown"/>
      </sharedItems>
    </cacheField>
    <cacheField name="Salesperson" numFmtId="0">
      <sharedItems count="16">
        <s v="C. Otieno"/>
        <s v="J. Njeri"/>
        <s v="I. Johnson"/>
        <s v="G. Dubois"/>
        <s v="L. Okafor"/>
        <s v="B. Chen"/>
        <s v="E. Garcia"/>
        <s v="O. Wang"/>
        <s v="A. Patel"/>
        <s v="F. Müller"/>
        <s v="H. Kim"/>
        <s v="K. Singh"/>
        <s v="M. Rossi"/>
        <s v="N. Brown"/>
        <s v="D. Smith"/>
        <s v="Unknown"/>
      </sharedItems>
    </cacheField>
    <cacheField name="ProductCategory" numFmtId="0">
      <sharedItems count="7">
        <s v="Components"/>
        <s v="Printers"/>
        <s v="Networking"/>
        <s v="Phones"/>
        <s v="Laptops"/>
        <s v="Monitors"/>
        <s v="Accessories"/>
      </sharedItems>
    </cacheField>
    <cacheField name="SKU" numFmtId="49">
      <sharedItems count="629">
        <s v="CMP-8270"/>
        <s v="PRN-9322"/>
        <s v="NET-9666"/>
        <s v="PHN-4556"/>
        <s v="PRN-8041"/>
        <s v="LAP-8555"/>
        <s v="MON-8629"/>
        <s v="PRN-6276"/>
        <s v="MON-6892"/>
        <s v="CMP-3731"/>
        <s v="ACC-7938"/>
        <s v="PHN-7019"/>
        <s v="CMP-3693"/>
        <s v="PRN-8392"/>
        <s v="ACC-1663"/>
        <s v="LAP-1698"/>
        <s v="PRN-6791"/>
        <s v="PHN-1197"/>
        <s v="ACC-8098"/>
        <s v="LAP-3385"/>
        <s v="LAP-9815"/>
        <s v="NET-3255"/>
        <s v="ACC-3961"/>
        <s v="LAP-4987"/>
        <s v="CMP-2693"/>
        <s v="ACC-8683"/>
        <s v="PRN-4170"/>
        <s v="PHN-6854"/>
        <s v="PHN-1784"/>
        <s v="NET-9716"/>
        <s v="CMP-6919"/>
        <s v="PHN-4854"/>
        <s v="NET-7966"/>
        <s v="LAP-9932"/>
        <s v="CMP-1559"/>
        <s v="PRN-4506"/>
        <s v="CMP-7617"/>
        <s v="CMP-8390"/>
        <s v="PRN-7303"/>
        <s v="PRN-6536"/>
        <s v="MON-9967"/>
        <s v="NET-1412"/>
        <s v="PRN-3143"/>
        <s v="PRN-9787"/>
        <s v="CMP-5946"/>
        <s v="NET-2062"/>
        <s v="PRN-2542"/>
        <s v="NET-2365"/>
        <s v="NET-5268"/>
        <s v="PRN-1504"/>
        <s v="ACC-6348"/>
        <s v="MON-4330"/>
        <s v="LAP-7819"/>
        <s v="LAP-3779"/>
        <s v="NET-9989"/>
        <s v="MON-4925"/>
        <s v="LAP-6989"/>
        <s v="ACC-5780"/>
        <s v="ACC-1770"/>
        <s v="ACC-2252"/>
        <s v="CMP-8002"/>
        <s v="CMP-6971"/>
        <s v="PHN-8350"/>
        <s v="MON-5188"/>
        <s v="LAP-3393"/>
        <s v="PHN-4644"/>
        <s v="ACC-9150"/>
        <s v="MON-6870"/>
        <s v="MON-2296"/>
        <s v="CMP-7371"/>
        <s v="ACC-2761"/>
        <s v="LAP-4517"/>
        <s v="LAP-8489"/>
        <s v="NET-1846"/>
        <s v="CMP-5208"/>
        <s v="CMP-1009"/>
        <s v="ACC-4490"/>
        <s v="ACC-9162"/>
        <s v="CMP-5820"/>
        <s v="MON-7943"/>
        <s v="NET-5018"/>
        <s v="PRN-9669"/>
        <s v="CMP-2865"/>
        <s v="MON-3371"/>
        <s v="NET-7166"/>
        <s v="CMP-4531"/>
        <s v="CMP-8196"/>
        <s v="CMP-2854"/>
        <s v="MON-8973"/>
        <s v="MON-2990"/>
        <s v="NET-1966"/>
        <s v="PHN-3482"/>
        <s v="PRN-6490"/>
        <s v="ACC-9038"/>
        <s v="PHN-6954"/>
        <s v="PRN-8970"/>
        <s v="MON-1822"/>
        <s v="ACC-5177"/>
        <s v="NET-1804"/>
        <s v="LAP-3679"/>
        <s v="PHN-8368"/>
        <s v="CMP-8141"/>
        <s v="LAP-7136"/>
        <s v="ACC-2386"/>
        <s v="LAP-5150"/>
        <s v="CMP-8101"/>
        <s v="PHN-8970"/>
        <s v="PHN-2341"/>
        <s v="NET-6387"/>
        <s v="ACC-9820"/>
        <s v="CMP-6392"/>
        <s v="LAP-9230"/>
        <s v="NET-4241"/>
        <s v="ACC-4511"/>
        <s v="NET-3033"/>
        <s v="MON-2828"/>
        <s v="PRN-6429"/>
        <s v="LAP-8214"/>
        <s v="MON-9194"/>
        <s v="LAP-2218"/>
        <s v="NET-6370"/>
        <s v="MON-3745"/>
        <s v="PHN-7924"/>
        <s v="NET-8561"/>
        <s v="CMP-2136"/>
        <s v="CMP-6352"/>
        <s v="CMP-2040"/>
        <s v="CMP-6346"/>
        <s v="PHN-4356"/>
        <s v="NET-4155"/>
        <s v="MON-5179"/>
        <s v="ACC-4056"/>
        <s v="LAP-9782"/>
        <s v="PHN-2875"/>
        <s v="PRN-4788"/>
        <s v="MON-3043"/>
        <s v="CMP-3720"/>
        <s v="PHN-8014"/>
        <s v="PRN-4911"/>
        <s v="ACC-1021"/>
        <s v="MON-2266"/>
        <s v="PHN-8057"/>
        <s v="ACC-7078"/>
        <s v="PRN-4453"/>
        <s v="NET-2394"/>
        <s v="LAP-1525"/>
        <s v="LAP-3278"/>
        <s v="ACC-6543"/>
        <s v="PRN-4432"/>
        <s v="PHN-4568"/>
        <s v="PRN-6178"/>
        <s v="LAP-6342"/>
        <s v="PRN-8175"/>
        <s v="PRN-7089"/>
        <s v="ACC-4124"/>
        <s v="NET-7924"/>
        <s v="NET-8761"/>
        <s v="CMP-3875"/>
        <s v="ACC-3989"/>
        <s v="PHN-9234"/>
        <s v="MON-9906"/>
        <s v="CMP-4610"/>
        <s v="PHN-5445"/>
        <s v="MON-9227"/>
        <s v="PRN-4097"/>
        <s v="MON-6699"/>
        <s v="LAP-1482"/>
        <s v="MON-2100"/>
        <s v="MON-7602"/>
        <s v="CMP-1072"/>
        <s v="ACC-2735"/>
        <s v="CMP-5211"/>
        <s v="CMP-1632"/>
        <s v="LAP-7099"/>
        <s v="PRN-3785"/>
        <s v="MON-6962"/>
        <s v="PRN-5107"/>
        <s v="CMP-9264"/>
        <s v="MON-5259"/>
        <s v="PRN-8137"/>
        <s v="ACC-6777"/>
        <s v="PHN-7488"/>
        <s v="ACC-9591"/>
        <s v="MON-5517"/>
        <s v="MON-8758"/>
        <s v="ACC-3385"/>
        <s v="MON-1593"/>
        <s v="MON-7869"/>
        <s v="MON-4271"/>
        <s v="LAP-5531"/>
        <s v="MON-7511"/>
        <s v="LAP-7979"/>
        <s v="PRN-4983"/>
        <s v="NET-5941"/>
        <s v="MON-6341"/>
        <s v="PHN-9789"/>
        <s v="PHN-5082"/>
        <s v="NET-3460"/>
        <s v="PRN-7019"/>
        <s v="PHN-3159"/>
        <s v="PRN-8604"/>
        <s v="PHN-2013"/>
        <s v="NET-6036"/>
        <s v="MON-4959"/>
        <s v="MON-1663"/>
        <s v="CMP-7256"/>
        <s v="ACC-1659"/>
        <s v="PRN-6068"/>
        <s v="ACC-8999"/>
        <s v="CMP-3978"/>
        <s v="MON-7868"/>
        <s v="PRN-3014"/>
        <s v="PHN-1671"/>
        <s v="ACC-5260"/>
        <s v="NET-7588"/>
        <s v="MON-1572"/>
        <s v="MON-2537"/>
        <s v="PRN-5666"/>
        <s v="PRN-2749"/>
        <s v="CMP-4970"/>
        <s v="ACC-3551"/>
        <s v="CMP-7063"/>
        <s v="NET-1612"/>
        <s v="LAP-9766"/>
        <s v="PHN-7274"/>
        <s v="NET-1645"/>
        <s v="ACC-5079"/>
        <s v="PRN-2098"/>
        <s v="PRN-7049"/>
        <s v="CMP-6925"/>
        <s v="PHN-2787"/>
        <s v="PRN-1141"/>
        <s v="MON-5249"/>
        <s v="CMP-8230"/>
        <s v="PRN-7816"/>
        <s v="PHN-8804"/>
        <s v="CMP-8851"/>
        <s v="PHN-2447"/>
        <s v="LAP-2846"/>
        <s v="PRN-5005"/>
        <s v="PHN-3800"/>
        <s v="LAP-4828"/>
        <s v="PRN-5492"/>
        <s v="PHN-7132"/>
        <s v="PHN-4741"/>
        <s v="LAP-2774"/>
        <s v="MON-2842"/>
        <s v="NET-2628"/>
        <s v="MON-2998"/>
        <s v="CMP-7563"/>
        <s v="LAP-6160"/>
        <s v="MON-4361"/>
        <s v="PRN-2829"/>
        <s v="MON-8939"/>
        <s v="LAP-5009"/>
        <s v="CMP-4807"/>
        <s v="NET-2439"/>
        <s v="MON-7626"/>
        <s v="ACC-3567"/>
        <s v="CMP-4630"/>
        <s v="ACC-1882"/>
        <s v="NET-9125"/>
        <s v="PHN-3819"/>
        <s v="LAP-3490"/>
        <s v="PRN-1276"/>
        <s v="MON-9733"/>
        <s v="CMP-9392"/>
        <s v="PHN-3014"/>
        <s v="PRN-6776"/>
        <s v="ACC-3951"/>
        <s v="MON-1436"/>
        <s v="MON-8651"/>
        <s v="MON-3307"/>
        <s v="PRN-8758"/>
        <s v="LAP-7056"/>
        <s v="NET-5523"/>
        <s v="ACC-8094"/>
        <s v="PHN-6832"/>
        <s v="LAP-2378"/>
        <s v="MON-5424"/>
        <s v="NET-8430"/>
        <s v="PHN-1234"/>
        <s v="LAP-9016"/>
        <s v="LAP-9931"/>
        <s v="PHN-6818"/>
        <s v="PHN-3803"/>
        <s v="NET-9835"/>
        <s v="ACC-6223"/>
        <s v="CMP-8659"/>
        <s v="ACC-4483"/>
        <s v="PRN-8763"/>
        <s v="ACC-8557"/>
        <s v="ACC-1492"/>
        <s v="CMP-3743"/>
        <s v="LAP-1619"/>
        <s v="PRN-7976"/>
        <s v="MON-4326"/>
        <s v="MON-5444"/>
        <s v="ACC-5422"/>
        <s v="CMP-9307"/>
        <s v="PRN-6520"/>
        <s v="NET-1699"/>
        <s v="PHN-5316"/>
        <s v="LAP-4607"/>
        <s v="MON-5276"/>
        <s v="ACC-9533"/>
        <s v="NET-3749"/>
        <s v="PRN-2991"/>
        <s v="LAP-4551"/>
        <s v="MON-6310"/>
        <s v="NET-1166"/>
        <s v="ACC-2903"/>
        <s v="PRN-2293"/>
        <s v="MON-1389"/>
        <s v="CMP-4093"/>
        <s v="PHN-6131"/>
        <s v="NET-4104"/>
        <s v="MON-9319"/>
        <s v="ACC-2988"/>
        <s v="PHN-9399"/>
        <s v="NET-4554"/>
        <s v="NET-5195"/>
        <s v="CMP-9801"/>
        <s v="CMP-3093"/>
        <s v="ACC-2364"/>
        <s v="CMP-5138"/>
        <s v="PHN-2337"/>
        <s v="MON-2993"/>
        <s v="LAP-9024"/>
        <s v="PHN-6307"/>
        <s v="NET-9003"/>
        <s v="ACC-3068"/>
        <s v="ACC-1060"/>
        <s v="PHN-3854"/>
        <s v="PRN-1086"/>
        <s v="PHN-7815"/>
        <s v="PRN-5384"/>
        <s v="ACC-8178"/>
        <s v="MON-1018"/>
        <s v="ACC-1238"/>
        <s v="NET-1816"/>
        <s v="PRN-4893"/>
        <s v="PHN-1717"/>
        <s v="NET-9575"/>
        <s v="LAP-3604"/>
        <s v="ACC-6626"/>
        <s v="PHN-1670"/>
        <s v="CMP-4792"/>
        <s v="LAP-1990"/>
        <s v="PRN-7410"/>
        <s v="MON-4278"/>
        <s v="ACC-5334"/>
        <s v="NET-8957"/>
        <s v="PRN-9960"/>
        <s v="ACC-3103"/>
        <s v="PRN-9490"/>
        <s v="NET-3850"/>
        <s v="ACC-7047"/>
        <s v="PRN-6660"/>
        <s v="ACC-7838"/>
        <s v="PHN-5383"/>
        <s v="LAP-3904"/>
        <s v="MON-5749"/>
        <s v="PRN-3690"/>
        <s v="CMP-7055"/>
        <s v="PHN-6866"/>
        <s v="CMP-3259"/>
        <s v="LAP-6750"/>
        <s v="PRN-3775"/>
        <s v="LAP-2942"/>
        <s v="PHN-2036"/>
        <s v="MON-4373"/>
        <s v="PRN-8657"/>
        <s v="PHN-7974"/>
        <s v="PHN-4915"/>
        <s v="NET-3535"/>
        <s v="CMP-2574"/>
        <s v="NET-7901"/>
        <s v="NET-5482"/>
        <s v="NET-1336"/>
        <s v="PRN-5876"/>
        <s v="NET-3828"/>
        <s v="MON-7622"/>
        <s v="LAP-2806"/>
        <s v="PRN-8850"/>
        <s v="LAP-9100"/>
        <s v="LAP-5763"/>
        <s v="LAP-7320"/>
        <s v="MON-5891"/>
        <s v="PRN-1183"/>
        <s v="CMP-2096"/>
        <s v="PHN-3398"/>
        <s v="CMP-8545"/>
        <s v="ACC-1249"/>
        <s v="MON-9662"/>
        <s v="LAP-8347"/>
        <s v="CMP-6898"/>
        <s v="MON-3504"/>
        <s v="NET-3432"/>
        <s v="PRN-5591"/>
        <s v="CMP-2015"/>
        <s v="LAP-9901"/>
        <s v="CMP-8658"/>
        <s v="MON-2073"/>
        <s v="PRN-9378"/>
        <s v="PHN-5887"/>
        <s v="LAP-8119"/>
        <s v="ACC-9644"/>
        <s v="LAP-7009"/>
        <s v="PRN-1725"/>
        <s v="PHN-8483"/>
        <s v="PHN-3971"/>
        <s v="NET-6578"/>
        <s v="PRN-9975"/>
        <s v="ACC-1075"/>
        <s v="ACC-2902"/>
        <s v="PRN-5815"/>
        <s v="MON-4195"/>
        <s v="PHN-8478"/>
        <s v="PHN-1044"/>
        <s v="LAP-8910"/>
        <s v="PHN-2859"/>
        <s v="PRN-6308"/>
        <s v="LAP-8469"/>
        <s v="LAP-7553"/>
        <s v="PHN-3077"/>
        <s v="MON-3350"/>
        <s v="PHN-5683"/>
        <s v="PRN-2409"/>
        <s v="LAP-8825"/>
        <s v="MON-8697"/>
        <s v="MON-4789"/>
        <s v="NET-7998"/>
        <s v="PHN-8891"/>
        <s v="NET-9832"/>
        <s v="CMP-8604"/>
        <s v="ACC-6594"/>
        <s v="NET-2499"/>
        <s v="PRN-1923"/>
        <s v="PHN-4346"/>
        <s v="ACC-1375"/>
        <s v="PRN-4892"/>
        <s v="PRN-9557"/>
        <s v="PRN-8008"/>
        <s v="LAP-1946"/>
        <s v="MON-7106"/>
        <s v="MON-5386"/>
        <s v="PHN-2436"/>
        <s v="PRN-2301"/>
        <s v="ACC-3645"/>
        <s v="CMP-6811"/>
        <s v="PHN-5675"/>
        <s v="MON-6882"/>
        <s v="ACC-8620"/>
        <s v="PHN-6506"/>
        <s v="MON-5086"/>
        <s v="LAP-4899"/>
        <s v="CMP-3313"/>
        <s v="CMP-6649"/>
        <s v="ACC-5206"/>
        <s v="PRN-6911"/>
        <s v="NET-5270"/>
        <s v="CMP-5658"/>
        <s v="CMP-3938"/>
        <s v="ACC-7671"/>
        <s v="NET-6014"/>
        <s v="CMP-4159"/>
        <s v="PRN-3159"/>
        <s v="PRN-9488"/>
        <s v="PRN-7079"/>
        <s v="CMP-1220"/>
        <s v="MON-2462"/>
        <s v="PHN-9465"/>
        <s v="PRN-1271"/>
        <s v="LAP-1066"/>
        <s v="CMP-8675"/>
        <s v="LAP-1178"/>
        <s v="ACC-1731"/>
        <s v="NET-1893"/>
        <s v="PRN-3917"/>
        <s v="LAP-3220"/>
        <s v="PHN-2462"/>
        <s v="NET-2894"/>
        <s v="CMP-2335"/>
        <s v="PHN-5938"/>
        <s v="PRN-1371"/>
        <s v="PRN-5813"/>
        <s v="PHN-6480"/>
        <s v="ACC-2990"/>
        <s v="CMP-5435"/>
        <s v="ACC-1596"/>
        <s v="PHN-7852"/>
        <s v="ACC-7240"/>
        <s v="MON-8867"/>
        <s v="NET-1228"/>
        <s v="NET-1145"/>
        <s v="ACC-2867"/>
        <s v="MON-9274"/>
        <s v="MON-4830"/>
        <s v="PHN-9107"/>
        <s v="PRN-1060"/>
        <s v="NET-8329"/>
        <s v="NET-6269"/>
        <s v="CMP-6529"/>
        <s v="PHN-8776"/>
        <s v="NET-3728"/>
        <s v="LAP-3565"/>
        <s v="LAP-5078"/>
        <s v="MON-2465"/>
        <s v="CMP-3223"/>
        <s v="CMP-8127"/>
        <s v="PHN-1924"/>
        <s v="CMP-1156"/>
        <s v="LAP-3905"/>
        <s v="PRN-1786"/>
        <s v="ACC-3349"/>
        <s v="NET-4228"/>
        <s v="CMP-5633"/>
        <s v="CMP-5825"/>
        <s v="LAP-6499"/>
        <s v="ACC-3721"/>
        <s v="MON-6190"/>
        <s v="CMP-2410"/>
        <s v="PRN-2641"/>
        <s v="PRN-1882"/>
        <s v="PRN-1641"/>
        <s v="LAP-1739"/>
        <s v="PRN-4732"/>
        <s v="NET-9569"/>
        <s v="PHN-3007"/>
        <s v="MON-9216"/>
        <s v="PHN-8072"/>
        <s v="LAP-1308"/>
        <s v="LAP-7353"/>
        <s v="NET-6533"/>
        <s v="ACC-9445"/>
        <s v="PRN-1654"/>
        <s v="NET-8787"/>
        <s v="LAP-1989"/>
        <s v="MON-8688"/>
        <s v="ACC-8242"/>
        <s v="LAP-4666"/>
        <s v="NET-5196"/>
        <s v="MON-8422"/>
        <s v="ACC-3415"/>
        <s v="PRN-9624"/>
        <s v="MON-6287"/>
        <s v="NET-4491"/>
        <s v="MON-4317"/>
        <s v="NET-7349"/>
        <s v="ACC-5150"/>
        <s v="ACC-5144"/>
        <s v="PHN-6111"/>
        <s v="ACC-9283"/>
        <s v="PRN-2407"/>
        <s v="MON-7099"/>
        <s v="ACC-7354"/>
        <s v="PRN-6585"/>
        <s v="CMP-9498"/>
        <s v="PHN-1919"/>
        <s v="MON-6053"/>
        <s v="NET-2502"/>
        <s v="LAP-5689"/>
        <s v="CMP-5911"/>
        <s v="LAP-7523"/>
        <s v="MON-1118"/>
        <s v="NET-9177"/>
        <s v="CMP-6495"/>
        <s v="ACC-4587"/>
        <s v="PHN-4395"/>
        <s v="LAP-3581"/>
        <s v="MON-6065"/>
        <s v="CMP-4945"/>
        <s v="NET-3785"/>
        <s v="NET-3689"/>
        <s v="ACC-3833"/>
        <s v="NET-2932"/>
        <s v="PHN-7636"/>
        <s v="CMP-1223"/>
        <s v="MON-7207"/>
        <s v="LAP-4483"/>
        <s v="LAP-1969"/>
        <s v="PHN-4566"/>
        <s v="PHN-5366"/>
        <s v="CMP-9001"/>
        <s v="PHN-9677"/>
        <s v="ACC-1604"/>
        <s v="ACC-4815"/>
        <s v="CMP-5311"/>
        <s v="NET-1282"/>
        <s v="MON-1564"/>
        <s v="ACC-7906"/>
        <s v="LAP-6577"/>
        <s v="CMP-5065"/>
        <s v="PRN-4787"/>
        <s v="PRN-9867"/>
        <s v="MON-2849"/>
        <s v="LAP-8633"/>
        <s v="PRN-9793"/>
        <s v="NET-6218"/>
        <s v="PRN-6131"/>
        <s v="PRN-5067"/>
        <s v="LAP-4932"/>
        <s v="ACC-7713"/>
        <s v="PHN-7379"/>
        <s v="PRN-5569"/>
        <s v="CMP-1470"/>
        <s v="PRN-9249"/>
        <s v="PRN-4906"/>
        <s v="MON-8129"/>
        <s v="NET-5987"/>
        <s v="NET-5423"/>
        <s v="PRN-5264"/>
        <s v="NET-8856"/>
        <s v="MON-4215"/>
        <s v="PRN-5753"/>
        <s v="CMP-5006"/>
        <s v="ACC-4766"/>
        <s v="NET-8610"/>
        <s v="NET-4675"/>
        <s v="ACC-1028"/>
        <s v="NET-4735"/>
        <s v="NET-2460"/>
        <s v="CMP-1555"/>
        <s v="MON-3773"/>
        <s v="PHN-4677"/>
        <s v="CMP-1940"/>
        <s v="PHN-9184"/>
        <s v="LAP-3017"/>
      </sharedItems>
    </cacheField>
    <cacheField name="UnitCost" numFmtId="2">
      <sharedItems containsSemiMixedTypes="0" containsString="0" containsNumber="1" minValue="5.34" maxValue="1495.79"/>
    </cacheField>
    <cacheField name="UnitPrice" numFmtId="2">
      <sharedItems containsSemiMixedTypes="0" containsString="0" containsNumber="1" minValue="4.22" maxValue="3661.07"/>
    </cacheField>
    <cacheField name="Priceband" numFmtId="2">
      <sharedItems/>
    </cacheField>
    <cacheField name="DiscountPct" numFmtId="165">
      <sharedItems containsSemiMixedTypes="0" containsString="0" containsNumber="1" minValue="0" maxValue="0.3"/>
    </cacheField>
    <cacheField name="Quantity" numFmtId="1">
      <sharedItems containsSemiMixedTypes="0" containsString="0" containsNumber="1" containsInteger="1" minValue="2" maxValue="61"/>
    </cacheField>
    <cacheField name="Gross Revenue" numFmtId="2">
      <sharedItems containsSemiMixedTypes="0" containsString="0" containsNumber="1" minValue="18.659839999999999" maxValue="139277.83032000001"/>
    </cacheField>
    <cacheField name="Cost of Goods" numFmtId="2">
      <sharedItems containsSemiMixedTypes="0" containsString="0" containsNumber="1" minValue="22" maxValue="83258.290000000008"/>
    </cacheField>
    <cacheField name=" Profit" numFmtId="2">
      <sharedItems containsSemiMixedTypes="0" containsString="0" containsNumber="1" minValue="-68355.013999999996" maxValue="65188.659999999996"/>
    </cacheField>
    <cacheField name="Margin Pct" numFmtId="2">
      <sharedItems containsSemiMixedTypes="0" containsString="0" containsNumber="1" minValue="-250.39750756449047" maxValue="0.59672531214528945"/>
    </cacheField>
    <cacheField name="Service Level" numFmtId="0">
      <sharedItems count="2">
        <s v="Delayed"/>
        <s v="On-time"/>
      </sharedItems>
    </cacheField>
    <cacheField name="Price Compliance" numFmtId="0">
      <sharedItems count="2">
        <s v="Compliant Discount"/>
        <s v="Non-compliant Discount"/>
      </sharedItems>
    </cacheField>
    <cacheField name="New Discount" numFmtId="165">
      <sharedItems containsSemiMixedTypes="0" containsString="0" containsNumber="1" minValue="0" maxValue="0.2"/>
    </cacheField>
    <cacheField name="New Unit Price" numFmtId="0">
      <sharedItems containsSemiMixedTypes="0" containsString="0" containsNumber="1" minValue="3.7178199999999997" maxValue="3524"/>
    </cacheField>
    <cacheField name="New Unit Cost" numFmtId="0">
      <sharedItems containsSemiMixedTypes="0" containsString="0" containsNumber="1" minValue="5.8740000000000006" maxValue="1645.3690000000001"/>
    </cacheField>
    <cacheField name="New Quantity" numFmtId="0">
      <sharedItems containsSemiMixedTypes="0" containsString="0" containsNumber="1" containsInteger="1" minValue="3" maxValue="65"/>
    </cacheField>
    <cacheField name="New Gross Revenue" numFmtId="0">
      <sharedItems containsSemiMixedTypes="0" containsString="0" containsNumber="1" minValue="23.68" maxValue="148410.8028"/>
    </cacheField>
    <cacheField name="New Profit" numFmtId="0">
      <sharedItems containsSemiMixedTypes="0" containsString="0" containsNumber="1" minValue="-79247.339750000014" maxValue="64704.617999999995"/>
    </cacheField>
    <cacheField name="Quarters" numFmtId="0" databaseField="0">
      <fieldGroup base="1">
        <rangePr groupBy="quarters" startDate="2023-01-02T00:00:00" endDate="2025-09-16T00:00:00"/>
        <groupItems count="6">
          <s v="&lt;1/2/2023"/>
          <s v="Qtr1"/>
          <s v="Qtr2"/>
          <s v="Qtr3"/>
          <s v="Qtr4"/>
          <s v="&gt;9/16/2025"/>
        </groupItems>
      </fieldGroup>
    </cacheField>
    <cacheField name="Years" numFmtId="0" databaseField="0">
      <fieldGroup base="1">
        <rangePr groupBy="years" startDate="2023-01-02T00:00:00" endDate="2025-09-16T00:00:00"/>
        <groupItems count="5">
          <s v="&lt;1/2/2023"/>
          <s v="2023"/>
          <s v="2024"/>
          <s v="2025"/>
          <s v="&gt;9/16/2025"/>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631">
  <r>
    <s v="ORD-2024-275203"/>
    <x v="0"/>
    <s v="Q1-2024"/>
    <d v="2024-04-06T00:00:00"/>
    <n v="26"/>
    <x v="0"/>
    <x v="0"/>
    <s v="Kisumu"/>
    <s v="Corporate"/>
    <x v="0"/>
    <x v="0"/>
    <x v="0"/>
    <x v="0"/>
    <n v="279.24"/>
    <n v="608.9"/>
    <s v="High"/>
    <n v="0.112"/>
    <n v="9"/>
    <n v="4866.3287999999993"/>
    <n v="2513.16"/>
    <n v="2353.1687999999995"/>
    <n v="0.48356140670149533"/>
  </r>
  <r>
    <s v="ORD-2024-358795"/>
    <x v="1"/>
    <s v="Q4-2024"/>
    <d v="2024-10-30T00:00:00"/>
    <n v="7"/>
    <x v="0"/>
    <x v="1"/>
    <s v="Port Harcourt"/>
    <s v="Education"/>
    <x v="1"/>
    <x v="1"/>
    <x v="1"/>
    <x v="1"/>
    <n v="1084.3900000000001"/>
    <n v="759.33"/>
    <s v="High"/>
    <n v="0.23699999999999999"/>
    <n v="31"/>
    <n v="17960.432489999999"/>
    <n v="33616.090000000004"/>
    <n v="-15655.657510000005"/>
    <n v="-0.87167486187856302"/>
  </r>
  <r>
    <s v="ORD-2023-373538"/>
    <x v="2"/>
    <s v="Q1-2023"/>
    <d v="2023-03-25T00:00:00"/>
    <n v="25"/>
    <x v="0"/>
    <x v="0"/>
    <s v="Nairobi"/>
    <s v="Corporate"/>
    <x v="0"/>
    <x v="2"/>
    <x v="2"/>
    <x v="2"/>
    <n v="1460.76"/>
    <n v="30.66"/>
    <s v="High"/>
    <n v="0.13100000000000001"/>
    <n v="12"/>
    <n v="319.72248000000002"/>
    <n v="17529.12"/>
    <n v="-17209.397519999999"/>
    <n v="-53.826047890032626"/>
  </r>
  <r>
    <s v="ORD-2025-168148"/>
    <x v="3"/>
    <s v="Q1-2025"/>
    <d v="2025-04-02T00:00:00"/>
    <n v="4"/>
    <x v="0"/>
    <x v="1"/>
    <s v="Lagos"/>
    <s v="Non-Profit"/>
    <x v="2"/>
    <x v="3"/>
    <x v="3"/>
    <x v="3"/>
    <n v="259.93"/>
    <n v="255.94"/>
    <s v="High"/>
    <n v="7.1999999999999995E-2"/>
    <n v="22"/>
    <n v="5225.2710400000005"/>
    <n v="5718.46"/>
    <n v="-493.1889599999995"/>
    <n v="-9.4385335463861311E-2"/>
  </r>
  <r>
    <s v="ORD-2023-824839"/>
    <x v="4"/>
    <s v="Q4-2023"/>
    <d v="2023-12-31T00:00:00"/>
    <n v="25"/>
    <x v="1"/>
    <x v="2"/>
    <s v="Osaka"/>
    <s v="Consumer"/>
    <x v="0"/>
    <x v="4"/>
    <x v="1"/>
    <x v="4"/>
    <n v="663.03"/>
    <n v="813.51"/>
    <s v="High"/>
    <n v="0.10199999999999999"/>
    <n v="15"/>
    <n v="10957.9797"/>
    <n v="9945.4499999999989"/>
    <n v="1012.529700000001"/>
    <n v="9.2401129379715952E-2"/>
  </r>
  <r>
    <s v="ORD-2023-723587"/>
    <x v="5"/>
    <s v="Q1-2023"/>
    <d v="2023-01-05T00:00:00"/>
    <n v="3"/>
    <x v="2"/>
    <x v="3"/>
    <s v="Toronto"/>
    <s v="Corporate"/>
    <x v="3"/>
    <x v="5"/>
    <x v="4"/>
    <x v="5"/>
    <n v="315.87"/>
    <n v="591.67999999999995"/>
    <s v="High"/>
    <n v="0"/>
    <n v="7"/>
    <n v="4141.7599999999993"/>
    <n v="2211.09"/>
    <n v="1930.6699999999992"/>
    <n v="0.46614724175229844"/>
  </r>
  <r>
    <s v="ORD-2024-336584"/>
    <x v="6"/>
    <s v="Q4-2024"/>
    <d v="2025-01-14T00:00:00"/>
    <n v="18"/>
    <x v="1"/>
    <x v="4"/>
    <s v="Bengaluru"/>
    <s v="Small Business"/>
    <x v="2"/>
    <x v="6"/>
    <x v="5"/>
    <x v="6"/>
    <n v="586.07000000000005"/>
    <n v="845.97"/>
    <s v="High"/>
    <n v="0.14699999999999999"/>
    <n v="4"/>
    <n v="2886.4496399999998"/>
    <n v="2344.2800000000002"/>
    <n v="542.16963999999962"/>
    <n v="0.18783270370862928"/>
  </r>
  <r>
    <s v="ORD-2023-112666"/>
    <x v="7"/>
    <s v="Q1-2023"/>
    <d v="2023-01-22T00:00:00"/>
    <n v="7"/>
    <x v="0"/>
    <x v="1"/>
    <s v="Abuja"/>
    <s v="Education"/>
    <x v="1"/>
    <x v="7"/>
    <x v="1"/>
    <x v="7"/>
    <n v="28.38"/>
    <n v="47.22"/>
    <s v="High"/>
    <n v="0.19400000000000001"/>
    <n v="18"/>
    <n v="685.06776000000002"/>
    <n v="510.84"/>
    <n v="174.22776000000005"/>
    <n v="0.25432193743871417"/>
  </r>
  <r>
    <s v="ORD-2024-589570"/>
    <x v="8"/>
    <s v="Q2-2024"/>
    <d v="2024-05-29T00:00:00"/>
    <n v="25"/>
    <x v="0"/>
    <x v="1"/>
    <s v="Abuja"/>
    <s v="Non-Profit"/>
    <x v="2"/>
    <x v="7"/>
    <x v="5"/>
    <x v="8"/>
    <n v="1295.3399999999999"/>
    <n v="2530.81"/>
    <s v="High"/>
    <n v="3.1E-2"/>
    <n v="6"/>
    <n v="14714.12934"/>
    <n v="7772.0399999999991"/>
    <n v="6942.0893400000004"/>
    <n v="0.4717974933880798"/>
  </r>
  <r>
    <s v="ORD-2025-997421"/>
    <x v="9"/>
    <s v="Q2-2025"/>
    <d v="2025-06-09T00:00:00"/>
    <n v="19"/>
    <x v="2"/>
    <x v="5"/>
    <s v="São Paulo"/>
    <s v="Non-Profit"/>
    <x v="1"/>
    <x v="8"/>
    <x v="0"/>
    <x v="9"/>
    <n v="1331.38"/>
    <n v="2309.56"/>
    <s v="High"/>
    <n v="0.14899999999999999"/>
    <n v="31"/>
    <n v="60928.502359999999"/>
    <n v="41272.780000000006"/>
    <n v="19655.722359999992"/>
    <n v="0.32260307735553528"/>
  </r>
  <r>
    <s v="ORD-2024-210687"/>
    <x v="10"/>
    <s v="Q1-2024"/>
    <d v="2024-02-09T00:00:00"/>
    <n v="12"/>
    <x v="3"/>
    <x v="6"/>
    <s v="Berlin"/>
    <s v="Corporate"/>
    <x v="1"/>
    <x v="3"/>
    <x v="6"/>
    <x v="10"/>
    <n v="644.16999999999996"/>
    <n v="700.12"/>
    <s v="High"/>
    <n v="6.0000000000000001E-3"/>
    <n v="23"/>
    <n v="16006.14344"/>
    <n v="14815.91"/>
    <n v="1190.23344"/>
    <n v="7.436103796405813E-2"/>
  </r>
  <r>
    <s v="ORD-2025-515515"/>
    <x v="11"/>
    <s v="Q1-2025"/>
    <d v="2025-01-23T00:00:00"/>
    <n v="20"/>
    <x v="1"/>
    <x v="2"/>
    <s v="Osaka"/>
    <s v="Corporate"/>
    <x v="3"/>
    <x v="9"/>
    <x v="3"/>
    <x v="11"/>
    <n v="908.6"/>
    <n v="691.37"/>
    <s v="High"/>
    <n v="0.25"/>
    <n v="20"/>
    <n v="10370.549999999999"/>
    <n v="18172"/>
    <n v="-7801.4500000000007"/>
    <n v="-0.75226964818645115"/>
  </r>
  <r>
    <s v="ORD-2025-487261"/>
    <x v="12"/>
    <s v="Q1-2025"/>
    <d v="2025-03-31T00:00:00"/>
    <n v="25"/>
    <x v="2"/>
    <x v="5"/>
    <s v="Brasília"/>
    <s v="Non-Profit"/>
    <x v="1"/>
    <x v="1"/>
    <x v="0"/>
    <x v="12"/>
    <n v="331.57"/>
    <n v="548.4"/>
    <s v="High"/>
    <n v="9.4E-2"/>
    <n v="10"/>
    <n v="4968.5039999999999"/>
    <n v="3315.7"/>
    <n v="1652.8040000000001"/>
    <n v="0.33265626836568918"/>
  </r>
  <r>
    <s v="ORD-2024-890180"/>
    <x v="13"/>
    <s v="Q1-2024"/>
    <d v="2024-02-13T00:00:00"/>
    <n v="24"/>
    <x v="3"/>
    <x v="7"/>
    <s v="Marseille"/>
    <s v="Corporate"/>
    <x v="0"/>
    <x v="10"/>
    <x v="1"/>
    <x v="13"/>
    <n v="643.53"/>
    <n v="1439.01"/>
    <s v="High"/>
    <n v="0"/>
    <n v="15"/>
    <n v="21585.15"/>
    <n v="9652.9499999999989"/>
    <n v="11932.200000000003"/>
    <n v="0.55279671440782208"/>
  </r>
  <r>
    <s v="ORD-2025-840976"/>
    <x v="14"/>
    <s v="Q3-2025"/>
    <d v="2025-09-30T00:00:00"/>
    <n v="29"/>
    <x v="2"/>
    <x v="5"/>
    <s v="Brasília"/>
    <s v="Education"/>
    <x v="0"/>
    <x v="11"/>
    <x v="6"/>
    <x v="14"/>
    <n v="780.59"/>
    <n v="631.57000000000005"/>
    <s v="High"/>
    <n v="0"/>
    <n v="12"/>
    <n v="7578.84"/>
    <n v="9367.08"/>
    <n v="-1788.2399999999998"/>
    <n v="-0.23595167598207639"/>
  </r>
  <r>
    <s v="ORD-2023-937291"/>
    <x v="15"/>
    <s v="Q2-2023"/>
    <d v="2023-04-30T00:00:00"/>
    <n v="7"/>
    <x v="0"/>
    <x v="0"/>
    <s v="Nairobi"/>
    <s v="Small Business"/>
    <x v="4"/>
    <x v="6"/>
    <x v="4"/>
    <x v="15"/>
    <n v="756.51"/>
    <n v="850.8"/>
    <s v="High"/>
    <n v="7.3999999999999996E-2"/>
    <n v="9"/>
    <n v="7090.5672000000004"/>
    <n v="6808.59"/>
    <n v="281.97720000000027"/>
    <n v="3.9767932810791252E-2"/>
  </r>
  <r>
    <s v="ORD-2024-206081"/>
    <x v="16"/>
    <s v="Q4-2024"/>
    <d v="2025-01-08T00:00:00"/>
    <n v="29"/>
    <x v="3"/>
    <x v="7"/>
    <s v="Marseille"/>
    <s v="Small Business"/>
    <x v="0"/>
    <x v="11"/>
    <x v="1"/>
    <x v="16"/>
    <n v="891.08"/>
    <n v="1040.0999999999999"/>
    <s v="High"/>
    <n v="0.109"/>
    <n v="28"/>
    <n v="25948.414799999995"/>
    <n v="24950.240000000002"/>
    <n v="998.17479999999341"/>
    <n v="3.8467660074556598E-2"/>
  </r>
  <r>
    <s v="ORD-2025-233883"/>
    <x v="17"/>
    <s v="Q3-2025"/>
    <d v="2025-09-16T00:00:00"/>
    <n v="8"/>
    <x v="1"/>
    <x v="2"/>
    <s v="Osaka"/>
    <s v="Corporate"/>
    <x v="3"/>
    <x v="0"/>
    <x v="3"/>
    <x v="17"/>
    <n v="1225.57"/>
    <n v="2705.57"/>
    <s v="High"/>
    <n v="0.183"/>
    <n v="16"/>
    <n v="35367.211040000002"/>
    <n v="19609.12"/>
    <n v="15758.091040000003"/>
    <n v="0.44555650775453404"/>
  </r>
  <r>
    <s v="ORD-2025-843974"/>
    <x v="18"/>
    <s v="Q3-2025"/>
    <d v="2025-08-05T00:00:00"/>
    <n v="16"/>
    <x v="2"/>
    <x v="5"/>
    <s v="Brasília"/>
    <s v="Enterprise"/>
    <x v="2"/>
    <x v="3"/>
    <x v="6"/>
    <x v="18"/>
    <n v="1068.17"/>
    <n v="2375.37"/>
    <s v="High"/>
    <n v="0.109"/>
    <n v="18"/>
    <n v="38096.18406"/>
    <n v="19227.060000000001"/>
    <n v="18869.124059999998"/>
    <n v="0.49530220744108822"/>
  </r>
  <r>
    <s v="ORD-2025-745263"/>
    <x v="9"/>
    <s v="Q2-2025"/>
    <d v="2025-05-28T00:00:00"/>
    <n v="7"/>
    <x v="3"/>
    <x v="8"/>
    <s v="Birmingham"/>
    <s v="Enterprise"/>
    <x v="1"/>
    <x v="12"/>
    <x v="4"/>
    <x v="19"/>
    <n v="1015.16"/>
    <n v="2148.14"/>
    <s v="High"/>
    <n v="3.7999999999999999E-2"/>
    <n v="19"/>
    <n v="39263.702919999996"/>
    <n v="19288.04"/>
    <n v="19975.662919999995"/>
    <n v="0.50875647059322227"/>
  </r>
  <r>
    <s v="ORD-2024-798002"/>
    <x v="19"/>
    <s v="Q3-2024"/>
    <d v="2024-08-01T00:00:00"/>
    <n v="7"/>
    <x v="0"/>
    <x v="0"/>
    <s v="Mombasa"/>
    <s v="Non-Profit"/>
    <x v="4"/>
    <x v="1"/>
    <x v="4"/>
    <x v="20"/>
    <n v="1494.4"/>
    <n v="3661.07"/>
    <s v="High"/>
    <n v="7.1999999999999995E-2"/>
    <n v="7"/>
    <n v="23782.310720000001"/>
    <n v="10460.800000000001"/>
    <n v="13321.51072"/>
    <n v="0.56014366630897339"/>
  </r>
  <r>
    <s v="ORD-2023-867836"/>
    <x v="20"/>
    <s v="Q2-2023"/>
    <d v="2023-05-28T00:00:00"/>
    <n v="17"/>
    <x v="1"/>
    <x v="9"/>
    <s v="Shenzhen"/>
    <s v="Enterprise"/>
    <x v="2"/>
    <x v="6"/>
    <x v="2"/>
    <x v="21"/>
    <n v="1331.19"/>
    <n v="2903.09"/>
    <s v="High"/>
    <n v="0.14299999999999999"/>
    <n v="8"/>
    <n v="19903.585040000002"/>
    <n v="10649.52"/>
    <n v="9254.0650400000013"/>
    <n v="0.46494463290920784"/>
  </r>
  <r>
    <s v="ORD-2025-580047"/>
    <x v="21"/>
    <s v="Q2-2025"/>
    <d v="2025-06-29T00:00:00"/>
    <n v="15"/>
    <x v="0"/>
    <x v="1"/>
    <s v="Port Harcourt"/>
    <s v="Consumer"/>
    <x v="2"/>
    <x v="12"/>
    <x v="6"/>
    <x v="22"/>
    <n v="730.99"/>
    <n v="1242.8399999999999"/>
    <s v="High"/>
    <n v="0.12"/>
    <n v="10"/>
    <n v="10936.992"/>
    <n v="7309.9"/>
    <n v="3627.0920000000006"/>
    <n v="0.33163524303574515"/>
  </r>
  <r>
    <s v="ORD-2024-500109"/>
    <x v="22"/>
    <s v="Q2-2024"/>
    <d v="2024-05-23T00:00:00"/>
    <n v="5"/>
    <x v="2"/>
    <x v="10"/>
    <s v="Chicago"/>
    <s v="Enterprise"/>
    <x v="0"/>
    <x v="10"/>
    <x v="4"/>
    <x v="23"/>
    <n v="1274.5899999999999"/>
    <n v="2553.69"/>
    <s v="High"/>
    <n v="0.01"/>
    <n v="8"/>
    <n v="20225.2248"/>
    <n v="10196.719999999999"/>
    <n v="10028.504800000001"/>
    <n v="0.49584145042481803"/>
  </r>
  <r>
    <s v="ORD-2023-271836"/>
    <x v="23"/>
    <s v="Q1-2023"/>
    <d v="2023-02-12T00:00:00"/>
    <n v="5"/>
    <x v="2"/>
    <x v="5"/>
    <s v="São Paulo"/>
    <s v="Education"/>
    <x v="1"/>
    <x v="13"/>
    <x v="0"/>
    <x v="24"/>
    <n v="948.55"/>
    <n v="2089.16"/>
    <s v="High"/>
    <n v="7.0000000000000001E-3"/>
    <n v="12"/>
    <n v="24894.430559999997"/>
    <n v="11382.599999999999"/>
    <n v="13511.830559999999"/>
    <n v="0.54276519912492427"/>
  </r>
  <r>
    <s v="ORD-2024-215294"/>
    <x v="24"/>
    <s v="Q2-2024"/>
    <d v="2024-07-14T00:00:00"/>
    <n v="14"/>
    <x v="2"/>
    <x v="5"/>
    <s v="Brasília"/>
    <s v="Education"/>
    <x v="0"/>
    <x v="0"/>
    <x v="6"/>
    <x v="25"/>
    <n v="1491.85"/>
    <n v="2583.02"/>
    <s v="High"/>
    <n v="0.16800000000000001"/>
    <n v="4"/>
    <n v="8596.2905599999995"/>
    <n v="5967.4"/>
    <n v="2628.8905599999998"/>
    <n v="0.30581685689321325"/>
  </r>
  <r>
    <s v="ORD-2024-788105"/>
    <x v="25"/>
    <s v="Q4-2024"/>
    <d v="2024-12-30T00:00:00"/>
    <n v="30"/>
    <x v="3"/>
    <x v="7"/>
    <s v="Marseille"/>
    <s v="Consumer"/>
    <x v="2"/>
    <x v="9"/>
    <x v="1"/>
    <x v="26"/>
    <n v="117.64"/>
    <n v="175.67"/>
    <s v="High"/>
    <n v="0"/>
    <n v="10"/>
    <n v="1756.6999999999998"/>
    <n v="1176.4000000000001"/>
    <n v="580.29999999999973"/>
    <n v="0.33033528775545046"/>
  </r>
  <r>
    <s v="ORD-2024-855073"/>
    <x v="26"/>
    <s v="Q3-2024"/>
    <d v="2024-07-19T00:00:00"/>
    <n v="0"/>
    <x v="0"/>
    <x v="0"/>
    <s v="Kisumu"/>
    <s v="Small Business"/>
    <x v="0"/>
    <x v="8"/>
    <x v="3"/>
    <x v="27"/>
    <n v="857.24"/>
    <n v="758.23"/>
    <s v="High"/>
    <n v="0.125"/>
    <n v="6"/>
    <n v="3980.7075"/>
    <n v="5143.4400000000005"/>
    <n v="-1162.7325000000005"/>
    <n v="-0.29209192084572921"/>
  </r>
  <r>
    <s v="ORD-2023-897079"/>
    <x v="27"/>
    <s v="Q2-2023"/>
    <d v="2023-05-14T00:00:00"/>
    <n v="30"/>
    <x v="0"/>
    <x v="0"/>
    <s v="Nakuru"/>
    <s v="Consumer"/>
    <x v="2"/>
    <x v="12"/>
    <x v="3"/>
    <x v="28"/>
    <n v="209.25"/>
    <n v="434.8"/>
    <s v="High"/>
    <n v="0"/>
    <n v="9"/>
    <n v="3913.2000000000003"/>
    <n v="1883.25"/>
    <n v="2029.9500000000003"/>
    <n v="0.51874425022999082"/>
  </r>
  <r>
    <s v="ORD-2025-548982"/>
    <x v="28"/>
    <s v="Q2-2025"/>
    <d v="2025-04-11T00:00:00"/>
    <n v="4"/>
    <x v="3"/>
    <x v="7"/>
    <s v="Lyon"/>
    <s v="Education"/>
    <x v="0"/>
    <x v="6"/>
    <x v="2"/>
    <x v="29"/>
    <n v="754.77"/>
    <n v="1666.18"/>
    <s v="High"/>
    <n v="0.13900000000000001"/>
    <n v="14"/>
    <n v="20084.133720000002"/>
    <n v="10566.779999999999"/>
    <n v="9517.3537200000028"/>
    <n v="0.47387424584424653"/>
  </r>
  <r>
    <s v="ORD-2024-170313"/>
    <x v="6"/>
    <s v="Q4-2024"/>
    <d v="2025-01-15T00:00:00"/>
    <n v="19"/>
    <x v="1"/>
    <x v="4"/>
    <s v="Delhi"/>
    <s v="Non-Profit"/>
    <x v="3"/>
    <x v="3"/>
    <x v="0"/>
    <x v="30"/>
    <n v="495.59"/>
    <n v="631.78"/>
    <s v="High"/>
    <n v="8.6999999999999994E-2"/>
    <n v="17"/>
    <n v="9805.8573800000013"/>
    <n v="8425.0299999999988"/>
    <n v="1380.8273800000024"/>
    <n v="0.14081658813601899"/>
  </r>
  <r>
    <s v="ORD-2023-562894"/>
    <x v="29"/>
    <s v="Q1-2023"/>
    <d v="2023-03-25T00:00:00"/>
    <n v="30"/>
    <x v="2"/>
    <x v="3"/>
    <s v="Montreal"/>
    <s v="Enterprise"/>
    <x v="1"/>
    <x v="14"/>
    <x v="3"/>
    <x v="31"/>
    <n v="1242.6600000000001"/>
    <n v="1794.07"/>
    <s v="High"/>
    <n v="8.8999999999999996E-2"/>
    <n v="16"/>
    <n v="26150.364320000001"/>
    <n v="19882.560000000001"/>
    <n v="6267.8043199999993"/>
    <n v="0.23968325042440553"/>
  </r>
  <r>
    <s v="ORD-2025-474710"/>
    <x v="30"/>
    <s v="Q3-2025"/>
    <d v="2025-08-06T00:00:00"/>
    <n v="13"/>
    <x v="0"/>
    <x v="11"/>
    <s v="Johannesburg"/>
    <s v="Education"/>
    <x v="2"/>
    <x v="14"/>
    <x v="2"/>
    <x v="32"/>
    <n v="1463.9"/>
    <n v="2633.02"/>
    <s v="High"/>
    <n v="8.4000000000000005E-2"/>
    <n v="4"/>
    <n v="9647.3852800000004"/>
    <n v="5855.6"/>
    <n v="3791.7852800000001"/>
    <n v="0.39303761277791527"/>
  </r>
  <r>
    <s v="ORD-2024-629525"/>
    <x v="31"/>
    <s v="Q2-2024"/>
    <d v="2024-05-08T00:00:00"/>
    <n v="20"/>
    <x v="3"/>
    <x v="8"/>
    <s v="London"/>
    <s v="Non-Profit"/>
    <x v="5"/>
    <x v="14"/>
    <x v="4"/>
    <x v="33"/>
    <n v="645.33000000000004"/>
    <n v="1321.85"/>
    <s v="High"/>
    <n v="0"/>
    <n v="10"/>
    <n v="13218.5"/>
    <n v="6453.3"/>
    <n v="6765.2"/>
    <n v="0.51179785906116426"/>
  </r>
  <r>
    <s v="ORD-2024-167215"/>
    <x v="32"/>
    <s v="Q3-2024"/>
    <d v="2024-08-30T00:00:00"/>
    <n v="7"/>
    <x v="0"/>
    <x v="11"/>
    <s v="Johannesburg"/>
    <s v="Education"/>
    <x v="0"/>
    <x v="6"/>
    <x v="0"/>
    <x v="34"/>
    <n v="1432.52"/>
    <n v="3036.87"/>
    <s v="High"/>
    <n v="0"/>
    <n v="9"/>
    <n v="27331.829999999998"/>
    <n v="12892.68"/>
    <n v="14439.149999999998"/>
    <n v="0.52829064135112791"/>
  </r>
  <r>
    <s v="ORD-2023-864121"/>
    <x v="33"/>
    <s v="Q1-2023"/>
    <d v="2023-04-22T00:00:00"/>
    <n v="26"/>
    <x v="1"/>
    <x v="4"/>
    <s v="Delhi"/>
    <s v="Non-Profit"/>
    <x v="2"/>
    <x v="1"/>
    <x v="1"/>
    <x v="35"/>
    <n v="178.53"/>
    <n v="199.37"/>
    <s v="High"/>
    <n v="0.10100000000000001"/>
    <n v="37"/>
    <n v="6631.6443100000006"/>
    <n v="6605.61"/>
    <n v="26.034310000000914"/>
    <n v="3.9257699573457538E-3"/>
  </r>
  <r>
    <s v="ORD-2024-692673"/>
    <x v="34"/>
    <s v="Q1-2024"/>
    <d v="2024-03-25T00:00:00"/>
    <n v="18"/>
    <x v="3"/>
    <x v="6"/>
    <s v="Munich"/>
    <s v="Corporate"/>
    <x v="1"/>
    <x v="5"/>
    <x v="0"/>
    <x v="36"/>
    <n v="712.84"/>
    <n v="927.51"/>
    <s v="High"/>
    <n v="0.24299999999999999"/>
    <n v="27"/>
    <n v="18957.37689"/>
    <n v="19246.68"/>
    <n v="-289.30311000000074"/>
    <n v="-1.5260714163076427E-2"/>
  </r>
  <r>
    <s v="ORD-2025-718992"/>
    <x v="35"/>
    <s v="Q2-2025"/>
    <d v="2025-07-10T00:00:00"/>
    <n v="16"/>
    <x v="1"/>
    <x v="9"/>
    <s v="Shanghai"/>
    <s v="Enterprise"/>
    <x v="4"/>
    <x v="13"/>
    <x v="0"/>
    <x v="37"/>
    <n v="757.19"/>
    <n v="1735.41"/>
    <s v="High"/>
    <n v="0.13600000000000001"/>
    <n v="8"/>
    <n v="11995.153920000001"/>
    <n v="6057.52"/>
    <n v="5937.6339200000002"/>
    <n v="0.4950027285685718"/>
  </r>
  <r>
    <s v="ORD-2024-599522"/>
    <x v="36"/>
    <s v="Q2-2024"/>
    <d v="2024-05-06T00:00:00"/>
    <n v="17"/>
    <x v="0"/>
    <x v="1"/>
    <s v="Port Harcourt"/>
    <s v="Non-Profit"/>
    <x v="1"/>
    <x v="8"/>
    <x v="1"/>
    <x v="38"/>
    <n v="865.33"/>
    <n v="1395.64"/>
    <s v="High"/>
    <n v="0.17499999999999999"/>
    <n v="13"/>
    <n v="14968.239"/>
    <n v="11249.29"/>
    <n v="3718.9489999999987"/>
    <n v="0.24845601409758347"/>
  </r>
  <r>
    <s v="ORD-2023-651638"/>
    <x v="37"/>
    <s v="Q2-2023"/>
    <d v="2023-06-24T00:00:00"/>
    <n v="7"/>
    <x v="2"/>
    <x v="10"/>
    <s v="San Francisco"/>
    <s v="Corporate"/>
    <x v="0"/>
    <x v="2"/>
    <x v="1"/>
    <x v="39"/>
    <n v="313.99"/>
    <n v="454.42"/>
    <s v="High"/>
    <n v="0.129"/>
    <n v="9"/>
    <n v="3562.1983800000003"/>
    <n v="2825.91"/>
    <n v="736.28838000000042"/>
    <n v="0.20669493988147858"/>
  </r>
  <r>
    <s v="ORD-2024-635626"/>
    <x v="38"/>
    <s v="Q3-2024"/>
    <d v="2024-09-19T00:00:00"/>
    <n v="23"/>
    <x v="3"/>
    <x v="6"/>
    <s v="Berlin"/>
    <s v="Small Business"/>
    <x v="4"/>
    <x v="14"/>
    <x v="5"/>
    <x v="40"/>
    <n v="1024.01"/>
    <n v="1580.97"/>
    <s v="High"/>
    <n v="3.6999999999999998E-2"/>
    <n v="27"/>
    <n v="41106.800970000004"/>
    <n v="27648.27"/>
    <n v="13458.530970000003"/>
    <n v="0.3274039976942531"/>
  </r>
  <r>
    <s v="ORD-2024-296582"/>
    <x v="39"/>
    <s v="Q1-2024"/>
    <d v="2024-02-02T00:00:00"/>
    <n v="22"/>
    <x v="0"/>
    <x v="11"/>
    <s v="Durban"/>
    <s v="Consumer"/>
    <x v="1"/>
    <x v="11"/>
    <x v="2"/>
    <x v="41"/>
    <n v="1206.2"/>
    <n v="1759.79"/>
    <s v="High"/>
    <n v="0"/>
    <n v="6"/>
    <n v="10558.74"/>
    <n v="7237.2000000000007"/>
    <n v="3321.5399999999991"/>
    <n v="0.31457730751964713"/>
  </r>
  <r>
    <s v="ORD-2024-998320"/>
    <x v="40"/>
    <s v="Q4-2024"/>
    <d v="2024-11-14T00:00:00"/>
    <n v="20"/>
    <x v="0"/>
    <x v="0"/>
    <s v="Mombasa"/>
    <s v="Corporate"/>
    <x v="4"/>
    <x v="10"/>
    <x v="1"/>
    <x v="42"/>
    <n v="1396.48"/>
    <n v="3204.5"/>
    <s v="High"/>
    <n v="0.3"/>
    <n v="14"/>
    <n v="31404.1"/>
    <n v="19550.72"/>
    <n v="11853.379999999997"/>
    <n v="0.3774468938769141"/>
  </r>
  <r>
    <s v="ORD-2025-820255"/>
    <x v="41"/>
    <s v="Q2-2025"/>
    <d v="2025-06-20T00:00:00"/>
    <n v="22"/>
    <x v="3"/>
    <x v="6"/>
    <s v="Berlin"/>
    <s v="Corporate"/>
    <x v="4"/>
    <x v="8"/>
    <x v="1"/>
    <x v="43"/>
    <n v="483.47"/>
    <n v="1135.43"/>
    <s v="High"/>
    <n v="0.14599999999999999"/>
    <n v="11"/>
    <n v="10666.229420000001"/>
    <n v="5318.17"/>
    <n v="5348.0594200000014"/>
    <n v="0.50140112399719983"/>
  </r>
  <r>
    <s v="ORD-2024-389336"/>
    <x v="42"/>
    <s v="Q2-2024"/>
    <d v="2024-06-02T00:00:00"/>
    <n v="13"/>
    <x v="2"/>
    <x v="3"/>
    <s v="Vancouver"/>
    <s v="Enterprise"/>
    <x v="2"/>
    <x v="11"/>
    <x v="0"/>
    <x v="44"/>
    <n v="675.43"/>
    <n v="996.36"/>
    <s v="High"/>
    <n v="0.182"/>
    <n v="22"/>
    <n v="17930.494560000003"/>
    <n v="14859.46"/>
    <n v="3071.0345600000037"/>
    <n v="0.17127439233332575"/>
  </r>
  <r>
    <s v="ORD-2023-308124"/>
    <x v="43"/>
    <s v="Q2-2023"/>
    <d v="2023-04-30T00:00:00"/>
    <n v="11"/>
    <x v="1"/>
    <x v="4"/>
    <s v="Delhi"/>
    <s v="Small Business"/>
    <x v="0"/>
    <x v="8"/>
    <x v="2"/>
    <x v="45"/>
    <n v="826.55"/>
    <n v="1397.05"/>
    <s v="High"/>
    <n v="0.16900000000000001"/>
    <n v="28"/>
    <n v="32506.559399999998"/>
    <n v="23143.399999999998"/>
    <n v="9363.1594000000005"/>
    <n v="0.28803907804527601"/>
  </r>
  <r>
    <s v="ORD-2023-128295"/>
    <x v="44"/>
    <s v="Q2-2023"/>
    <d v="2023-07-03T00:00:00"/>
    <n v="10"/>
    <x v="0"/>
    <x v="1"/>
    <s v="Abuja"/>
    <s v="Consumer"/>
    <x v="1"/>
    <x v="1"/>
    <x v="1"/>
    <x v="46"/>
    <n v="337.75"/>
    <n v="548.89"/>
    <s v="High"/>
    <n v="0"/>
    <n v="13"/>
    <n v="7135.57"/>
    <n v="4390.75"/>
    <n v="2744.8199999999997"/>
    <n v="0.38466723751571352"/>
  </r>
  <r>
    <s v="ORD-2024-548345"/>
    <x v="45"/>
    <s v="Q2-2024"/>
    <d v="2024-05-28T00:00:00"/>
    <n v="14"/>
    <x v="3"/>
    <x v="8"/>
    <s v="Birmingham"/>
    <s v="Consumer"/>
    <x v="0"/>
    <x v="5"/>
    <x v="2"/>
    <x v="47"/>
    <n v="1421.14"/>
    <n v="3524"/>
    <s v="High"/>
    <n v="0"/>
    <n v="31"/>
    <n v="109244"/>
    <n v="44055.340000000004"/>
    <n v="65188.659999999996"/>
    <n v="0.59672531214528945"/>
  </r>
  <r>
    <s v="ORD-2024-966651"/>
    <x v="46"/>
    <s v="Q4-2024"/>
    <d v="2024-11-08T00:00:00"/>
    <n v="25"/>
    <x v="0"/>
    <x v="1"/>
    <s v="Lagos"/>
    <s v="Enterprise"/>
    <x v="1"/>
    <x v="7"/>
    <x v="2"/>
    <x v="48"/>
    <n v="859.35"/>
    <n v="1825.61"/>
    <s v="High"/>
    <n v="0.187"/>
    <n v="24"/>
    <n v="35621.302319999995"/>
    <n v="20624.400000000001"/>
    <n v="14996.902319999994"/>
    <n v="0.42100937762681989"/>
  </r>
  <r>
    <s v="ORD-2023-292714"/>
    <x v="47"/>
    <s v="Q3-2023"/>
    <d v="2023-08-01T00:00:00"/>
    <n v="22"/>
    <x v="3"/>
    <x v="7"/>
    <s v="Marseille"/>
    <s v="Consumer"/>
    <x v="2"/>
    <x v="5"/>
    <x v="1"/>
    <x v="49"/>
    <n v="1303.56"/>
    <n v="1791.37"/>
    <s v="High"/>
    <n v="0.126"/>
    <n v="22"/>
    <n v="34444.462359999998"/>
    <n v="28678.32"/>
    <n v="5766.142359999998"/>
    <n v="0.16740404596055358"/>
  </r>
  <r>
    <s v="ORD-2024-468501"/>
    <x v="48"/>
    <s v="Q4-2024"/>
    <d v="2024-11-22T00:00:00"/>
    <n v="16"/>
    <x v="2"/>
    <x v="3"/>
    <s v="Toronto"/>
    <s v="Non-Profit"/>
    <x v="3"/>
    <x v="14"/>
    <x v="6"/>
    <x v="50"/>
    <n v="1454.11"/>
    <n v="2629.75"/>
    <s v="High"/>
    <n v="0.29199999999999998"/>
    <n v="8"/>
    <n v="14894.903999999999"/>
    <n v="11632.88"/>
    <n v="3262.0239999999994"/>
    <n v="0.21900268709351867"/>
  </r>
  <r>
    <s v="ORD-2024-260775"/>
    <x v="49"/>
    <s v="Q4-2024"/>
    <d v="2024-11-06T00:00:00"/>
    <n v="20"/>
    <x v="1"/>
    <x v="4"/>
    <s v="Bengaluru"/>
    <s v="Enterprise"/>
    <x v="3"/>
    <x v="7"/>
    <x v="5"/>
    <x v="51"/>
    <n v="72.94"/>
    <n v="106.3"/>
    <s v="High"/>
    <n v="0.29499999999999998"/>
    <n v="8"/>
    <n v="599.53200000000004"/>
    <n v="583.52"/>
    <n v="16.012000000000057"/>
    <n v="2.6707498515508857E-2"/>
  </r>
  <r>
    <s v="ORD-2023-419187"/>
    <x v="50"/>
    <s v="Q1-2023"/>
    <d v="2023-04-05T00:00:00"/>
    <n v="5"/>
    <x v="0"/>
    <x v="0"/>
    <s v="Nakuru"/>
    <s v="Education"/>
    <x v="2"/>
    <x v="5"/>
    <x v="4"/>
    <x v="52"/>
    <n v="533.26"/>
    <n v="385.72"/>
    <s v="High"/>
    <n v="0"/>
    <n v="15"/>
    <n v="5785.8"/>
    <n v="7998.9"/>
    <n v="-2213.0999999999995"/>
    <n v="-0.38250544436378708"/>
  </r>
  <r>
    <s v="ORD-2025-578007"/>
    <x v="51"/>
    <s v="Q1-2025"/>
    <d v="2025-02-16T00:00:00"/>
    <n v="26"/>
    <x v="3"/>
    <x v="7"/>
    <s v="Lyon"/>
    <s v="Corporate"/>
    <x v="3"/>
    <x v="7"/>
    <x v="4"/>
    <x v="53"/>
    <n v="204.11"/>
    <n v="236.87"/>
    <s v="High"/>
    <n v="0.182"/>
    <n v="13"/>
    <n v="2518.8755800000004"/>
    <n v="2653.4300000000003"/>
    <n v="-134.55441999999994"/>
    <n v="-5.3418446337075494E-2"/>
  </r>
  <r>
    <s v="ORD-2023-235230"/>
    <x v="52"/>
    <s v="Q3-2023"/>
    <d v="2023-09-01T00:00:00"/>
    <n v="2"/>
    <x v="3"/>
    <x v="6"/>
    <s v="Munich"/>
    <s v="Corporate"/>
    <x v="4"/>
    <x v="13"/>
    <x v="2"/>
    <x v="54"/>
    <n v="44.42"/>
    <n v="41.9"/>
    <s v="High"/>
    <n v="0.14399999999999999"/>
    <n v="6"/>
    <n v="215.19839999999996"/>
    <n v="266.52"/>
    <n v="-51.321600000000018"/>
    <n v="-0.23848504449847224"/>
  </r>
  <r>
    <s v="ORD-2025-765220"/>
    <x v="53"/>
    <s v="Q2-2025"/>
    <d v="2025-04-30T00:00:00"/>
    <n v="24"/>
    <x v="2"/>
    <x v="5"/>
    <s v="Brasília"/>
    <s v="Education"/>
    <x v="1"/>
    <x v="11"/>
    <x v="5"/>
    <x v="55"/>
    <n v="855.78"/>
    <n v="977.38"/>
    <s v="High"/>
    <n v="0.14699999999999999"/>
    <n v="38"/>
    <n v="31680.795320000001"/>
    <n v="32519.64"/>
    <n v="-838.84467999999833"/>
    <n v="-2.6478018355506307E-2"/>
  </r>
  <r>
    <s v="ORD-2025-931538"/>
    <x v="54"/>
    <s v="Q1-2025"/>
    <d v="2025-03-01T00:00:00"/>
    <n v="20"/>
    <x v="2"/>
    <x v="5"/>
    <s v="São Paulo"/>
    <s v="Corporate"/>
    <x v="3"/>
    <x v="5"/>
    <x v="4"/>
    <x v="56"/>
    <n v="1154.6400000000001"/>
    <n v="2794.13"/>
    <s v="High"/>
    <n v="3.5000000000000003E-2"/>
    <n v="11"/>
    <n v="29659.68995"/>
    <n v="12701.04"/>
    <n v="16958.649949999999"/>
    <n v="0.57177435025749479"/>
  </r>
  <r>
    <s v="ORD-2024-289089"/>
    <x v="55"/>
    <s v="Q4-2024"/>
    <d v="2024-12-18T00:00:00"/>
    <n v="1"/>
    <x v="3"/>
    <x v="6"/>
    <s v="Munich"/>
    <s v="Education"/>
    <x v="0"/>
    <x v="4"/>
    <x v="6"/>
    <x v="57"/>
    <n v="346.82"/>
    <n v="701.95"/>
    <s v="High"/>
    <n v="0.14699999999999999"/>
    <n v="8"/>
    <n v="4790.1068000000005"/>
    <n v="2774.56"/>
    <n v="2015.5468000000005"/>
    <n v="0.42077283120284509"/>
  </r>
  <r>
    <s v="ORD-2025-639542"/>
    <x v="56"/>
    <s v="Q2-2025"/>
    <d v="2025-06-18T00:00:00"/>
    <n v="9"/>
    <x v="3"/>
    <x v="7"/>
    <s v="Marseille"/>
    <s v="Small Business"/>
    <x v="2"/>
    <x v="10"/>
    <x v="6"/>
    <x v="58"/>
    <n v="1225.5"/>
    <n v="5.27"/>
    <s v="High"/>
    <n v="7.4999999999999997E-2"/>
    <n v="56"/>
    <n v="272.98599999999999"/>
    <n v="68628"/>
    <n v="-68355.013999999996"/>
    <n v="-250.39750756449047"/>
  </r>
  <r>
    <s v="ORD-2025-762301"/>
    <x v="57"/>
    <s v="Q2-2025"/>
    <d v="2025-05-13T00:00:00"/>
    <n v="11"/>
    <x v="0"/>
    <x v="0"/>
    <s v="Nakuru"/>
    <s v="Small Business"/>
    <x v="1"/>
    <x v="8"/>
    <x v="6"/>
    <x v="59"/>
    <n v="1057.5999999999999"/>
    <n v="1437.06"/>
    <s v="High"/>
    <n v="0.20499999999999999"/>
    <n v="4"/>
    <n v="4569.8508000000002"/>
    <n v="4230.3999999999996"/>
    <n v="339.45080000000053"/>
    <n v="7.4280499485891424E-2"/>
  </r>
  <r>
    <s v="ORD-2024-906395"/>
    <x v="58"/>
    <s v="Q1-2024"/>
    <d v="2024-04-09T00:00:00"/>
    <n v="30"/>
    <x v="3"/>
    <x v="7"/>
    <s v="Lyon"/>
    <s v="Corporate"/>
    <x v="4"/>
    <x v="2"/>
    <x v="0"/>
    <x v="60"/>
    <n v="1176.56"/>
    <n v="1911.89"/>
    <s v="High"/>
    <n v="0.11899999999999999"/>
    <n v="20"/>
    <n v="33687.501800000005"/>
    <n v="23531.199999999997"/>
    <n v="10156.301800000008"/>
    <n v="0.30148575160892477"/>
  </r>
  <r>
    <s v="ORD-2025-779574"/>
    <x v="59"/>
    <s v="Q3-2025"/>
    <d v="2025-09-12T00:00:00"/>
    <n v="2"/>
    <x v="1"/>
    <x v="2"/>
    <s v="Tokyo"/>
    <s v="Consumer"/>
    <x v="1"/>
    <x v="7"/>
    <x v="0"/>
    <x v="61"/>
    <n v="1470.15"/>
    <n v="2593.7800000000002"/>
    <s v="High"/>
    <n v="0.11"/>
    <n v="12"/>
    <n v="27701.570400000001"/>
    <n v="17641.800000000003"/>
    <n v="10059.770399999998"/>
    <n v="0.36314801849645306"/>
  </r>
  <r>
    <s v="ORD-2025-526650"/>
    <x v="60"/>
    <s v="Q2-2025"/>
    <d v="2025-05-25T00:00:00"/>
    <n v="28"/>
    <x v="3"/>
    <x v="7"/>
    <s v="Paris"/>
    <s v="Small Business"/>
    <x v="2"/>
    <x v="2"/>
    <x v="3"/>
    <x v="62"/>
    <n v="603.45000000000005"/>
    <n v="1244.08"/>
    <s v="High"/>
    <n v="0.2"/>
    <n v="11"/>
    <n v="10947.904"/>
    <n v="6637.9500000000007"/>
    <n v="4309.9539999999997"/>
    <n v="0.39367846119220623"/>
  </r>
  <r>
    <s v="ORD-2024-247979"/>
    <x v="61"/>
    <s v="Q4-2024"/>
    <d v="2024-11-18T00:00:00"/>
    <n v="16"/>
    <x v="1"/>
    <x v="4"/>
    <s v="Mumbai"/>
    <s v="Small Business"/>
    <x v="3"/>
    <x v="7"/>
    <x v="5"/>
    <x v="63"/>
    <n v="1233.58"/>
    <n v="1912.51"/>
    <s v="High"/>
    <n v="0.255"/>
    <n v="51"/>
    <n v="72665.817450000002"/>
    <n v="62912.579999999994"/>
    <n v="9753.2374500000078"/>
    <n v="0.134220432553601"/>
  </r>
  <r>
    <s v="ORD-2023-480975"/>
    <x v="62"/>
    <s v="Q1-2023"/>
    <d v="2023-02-26T00:00:00"/>
    <n v="11"/>
    <x v="0"/>
    <x v="11"/>
    <s v="Johannesburg"/>
    <s v="Non-Profit"/>
    <x v="0"/>
    <x v="11"/>
    <x v="4"/>
    <x v="64"/>
    <n v="498.5"/>
    <n v="755.87"/>
    <s v="High"/>
    <n v="0.13"/>
    <n v="40"/>
    <n v="26304.275999999998"/>
    <n v="19940"/>
    <n v="6364.275999999998"/>
    <n v="0.24194834330357537"/>
  </r>
  <r>
    <s v="ORD-2023-239789"/>
    <x v="63"/>
    <s v="Q4-2023"/>
    <d v="2023-12-26T00:00:00"/>
    <n v="23"/>
    <x v="2"/>
    <x v="5"/>
    <s v="Rio de Janeiro"/>
    <s v="Education"/>
    <x v="0"/>
    <x v="7"/>
    <x v="3"/>
    <x v="65"/>
    <n v="1303.1099999999999"/>
    <n v="1145.67"/>
    <s v="High"/>
    <n v="0.184"/>
    <n v="13"/>
    <n v="12153.267360000002"/>
    <n v="16940.43"/>
    <n v="-4787.1626399999986"/>
    <n v="-0.39389922875851208"/>
  </r>
  <r>
    <s v="ORD-2023-548874"/>
    <x v="64"/>
    <s v="Q1-2023"/>
    <d v="2023-04-09T00:00:00"/>
    <n v="21"/>
    <x v="3"/>
    <x v="8"/>
    <s v="Manchester"/>
    <s v="Consumer"/>
    <x v="0"/>
    <x v="4"/>
    <x v="6"/>
    <x v="66"/>
    <n v="1082.17"/>
    <n v="1234.0999999999999"/>
    <s v="High"/>
    <n v="0.189"/>
    <n v="16"/>
    <n v="16013.681599999998"/>
    <n v="17314.72"/>
    <n v="-1301.0384000000031"/>
    <n v="-8.124542703534228E-2"/>
  </r>
  <r>
    <s v="ORD-2024-347736"/>
    <x v="65"/>
    <s v="Q2-2024"/>
    <d v="2024-06-06T00:00:00"/>
    <n v="15"/>
    <x v="1"/>
    <x v="2"/>
    <s v="Nagoya"/>
    <s v="Corporate"/>
    <x v="3"/>
    <x v="0"/>
    <x v="5"/>
    <x v="67"/>
    <n v="673.88"/>
    <n v="1228.01"/>
    <s v="High"/>
    <n v="0.105"/>
    <n v="13"/>
    <n v="14287.896349999999"/>
    <n v="8760.44"/>
    <n v="5527.4563499999986"/>
    <n v="0.38686285332689996"/>
  </r>
  <r>
    <s v="ORD-2023-749324"/>
    <x v="66"/>
    <s v="Q3-2023"/>
    <d v="2023-09-07T00:00:00"/>
    <n v="19"/>
    <x v="0"/>
    <x v="11"/>
    <s v="Johannesburg"/>
    <s v="Enterprise"/>
    <x v="0"/>
    <x v="14"/>
    <x v="5"/>
    <x v="68"/>
    <n v="494.61"/>
    <n v="605.23"/>
    <s v="High"/>
    <n v="0.20399999999999999"/>
    <n v="18"/>
    <n v="8671.7354400000004"/>
    <n v="8902.98"/>
    <n v="-231.24455999999918"/>
    <n v="-2.6666468505639647E-2"/>
  </r>
  <r>
    <s v="ORD-2023-809913"/>
    <x v="67"/>
    <s v="Q2-2023"/>
    <d v="2023-05-10T00:00:00"/>
    <n v="19"/>
    <x v="1"/>
    <x v="9"/>
    <s v="Shanghai"/>
    <s v="Corporate"/>
    <x v="0"/>
    <x v="8"/>
    <x v="0"/>
    <x v="69"/>
    <n v="882.33"/>
    <n v="1880.15"/>
    <s v="High"/>
    <n v="0.05"/>
    <n v="5"/>
    <n v="8930.7124999999996"/>
    <n v="4411.6500000000005"/>
    <n v="4519.0624999999991"/>
    <n v="0.50601365792482955"/>
  </r>
  <r>
    <s v="ORD-2024-287210"/>
    <x v="68"/>
    <s v="Q1-2024"/>
    <d v="2024-03-21T00:00:00"/>
    <n v="3"/>
    <x v="3"/>
    <x v="6"/>
    <s v="Munich"/>
    <s v="Small Business"/>
    <x v="1"/>
    <x v="12"/>
    <x v="6"/>
    <x v="70"/>
    <n v="910.63"/>
    <n v="1269.4000000000001"/>
    <s v="High"/>
    <n v="6.8000000000000005E-2"/>
    <n v="9"/>
    <n v="10647.727199999999"/>
    <n v="8195.67"/>
    <n v="2452.0571999999993"/>
    <n v="0.23028925834989455"/>
  </r>
  <r>
    <s v="ORD-2025-640677"/>
    <x v="69"/>
    <s v="Q2-2025"/>
    <d v="2025-05-06T00:00:00"/>
    <n v="27"/>
    <x v="2"/>
    <x v="5"/>
    <s v="Brasília"/>
    <s v="Enterprise"/>
    <x v="2"/>
    <x v="9"/>
    <x v="4"/>
    <x v="71"/>
    <n v="264.19"/>
    <n v="620.92999999999995"/>
    <s v="High"/>
    <n v="0.14199999999999999"/>
    <n v="12"/>
    <n v="6393.0952799999995"/>
    <n v="3170.2799999999997"/>
    <n v="3222.8152799999998"/>
    <n v="0.50410875152794532"/>
  </r>
  <r>
    <s v="ORD-2024-939873"/>
    <x v="70"/>
    <s v="Q2-2024"/>
    <d v="2024-05-07T00:00:00"/>
    <n v="25"/>
    <x v="0"/>
    <x v="11"/>
    <s v="Johannesburg"/>
    <s v="Education"/>
    <x v="3"/>
    <x v="8"/>
    <x v="4"/>
    <x v="72"/>
    <n v="1376.51"/>
    <n v="1455.91"/>
    <s v="High"/>
    <n v="0.185"/>
    <n v="17"/>
    <n v="20171.63305"/>
    <n v="23400.67"/>
    <n v="-3229.0369499999979"/>
    <n v="-0.1600781127634085"/>
  </r>
  <r>
    <s v="ORD-2024-800947"/>
    <x v="71"/>
    <s v="Q4-2024"/>
    <d v="2024-12-20T00:00:00"/>
    <n v="5"/>
    <x v="1"/>
    <x v="9"/>
    <s v="Shenzhen"/>
    <s v="Small Business"/>
    <x v="4"/>
    <x v="1"/>
    <x v="2"/>
    <x v="73"/>
    <n v="717.55"/>
    <n v="546.42999999999995"/>
    <s v="High"/>
    <n v="4.7E-2"/>
    <n v="18"/>
    <n v="9373.460219999999"/>
    <n v="12915.9"/>
    <n v="-3542.4397800000006"/>
    <n v="-0.37792231437026369"/>
  </r>
  <r>
    <s v="ORD-2023-382272"/>
    <x v="72"/>
    <s v="Q2-2023"/>
    <d v="2023-05-27T00:00:00"/>
    <n v="7"/>
    <x v="0"/>
    <x v="11"/>
    <s v="Durban"/>
    <s v="Corporate"/>
    <x v="3"/>
    <x v="8"/>
    <x v="0"/>
    <x v="74"/>
    <n v="917.88"/>
    <n v="1347.92"/>
    <s v="High"/>
    <n v="0.3"/>
    <n v="5"/>
    <n v="4717.72"/>
    <n v="4589.3999999999996"/>
    <n v="128.32000000000062"/>
    <n v="2.7199579457873848E-2"/>
  </r>
  <r>
    <s v="ORD-2023-722117"/>
    <x v="73"/>
    <s v="Q3-2023"/>
    <d v="2023-10-08T00:00:00"/>
    <n v="20"/>
    <x v="1"/>
    <x v="4"/>
    <s v="Delhi"/>
    <s v="Small Business"/>
    <x v="4"/>
    <x v="5"/>
    <x v="0"/>
    <x v="75"/>
    <n v="825.64"/>
    <n v="1108.43"/>
    <s v="High"/>
    <n v="0.114"/>
    <n v="7"/>
    <n v="6874.4828600000001"/>
    <n v="5779.48"/>
    <n v="1095.0028600000005"/>
    <n v="0.15928512475773349"/>
  </r>
  <r>
    <s v="ORD-2024-446699"/>
    <x v="74"/>
    <s v="Q3-2024"/>
    <d v="2024-09-25T00:00:00"/>
    <n v="28"/>
    <x v="2"/>
    <x v="5"/>
    <s v="Rio de Janeiro"/>
    <s v="Non-Profit"/>
    <x v="1"/>
    <x v="15"/>
    <x v="6"/>
    <x v="76"/>
    <n v="1394.65"/>
    <n v="3144.1"/>
    <s v="High"/>
    <n v="0.13400000000000001"/>
    <n v="13"/>
    <n v="35396.277799999996"/>
    <n v="18130.45"/>
    <n v="17265.827799999995"/>
    <n v="0.4877865378263021"/>
  </r>
  <r>
    <s v="ORD-2024-451005"/>
    <x v="24"/>
    <s v="Q2-2024"/>
    <d v="2024-07-07T00:00:00"/>
    <n v="7"/>
    <x v="2"/>
    <x v="5"/>
    <s v="Rio de Janeiro"/>
    <s v="Small Business"/>
    <x v="4"/>
    <x v="4"/>
    <x v="6"/>
    <x v="77"/>
    <n v="1112.98"/>
    <n v="2095.73"/>
    <s v="High"/>
    <n v="7.1999999999999995E-2"/>
    <n v="17"/>
    <n v="33062.236480000007"/>
    <n v="18920.66"/>
    <n v="14141.576480000007"/>
    <n v="0.42772594916724777"/>
  </r>
  <r>
    <s v="ORD-2023-290279"/>
    <x v="75"/>
    <s v="Q2-2023"/>
    <d v="2023-06-16T00:00:00"/>
    <n v="2"/>
    <x v="3"/>
    <x v="8"/>
    <s v="Manchester"/>
    <s v="Non-Profit"/>
    <x v="4"/>
    <x v="11"/>
    <x v="0"/>
    <x v="78"/>
    <n v="357.36"/>
    <n v="703.62"/>
    <s v="High"/>
    <n v="0.25700000000000001"/>
    <n v="20"/>
    <n v="10455.7932"/>
    <n v="7147.2000000000007"/>
    <n v="3308.5931999999993"/>
    <n v="0.31643636563125593"/>
  </r>
  <r>
    <s v="ORD-2024-192263"/>
    <x v="76"/>
    <s v="Q4-2024"/>
    <d v="2024-12-21T00:00:00"/>
    <n v="30"/>
    <x v="3"/>
    <x v="7"/>
    <s v="Marseille"/>
    <s v="Small Business"/>
    <x v="4"/>
    <x v="2"/>
    <x v="5"/>
    <x v="79"/>
    <n v="1122.68"/>
    <n v="1997.19"/>
    <s v="High"/>
    <n v="0.186"/>
    <n v="3"/>
    <n v="4877.1379800000004"/>
    <n v="3368.04"/>
    <n v="1509.0979800000005"/>
    <n v="0.30942285951073306"/>
  </r>
  <r>
    <s v="ORD-2023-159379"/>
    <x v="77"/>
    <s v="Q1-2023"/>
    <d v="2023-02-11T00:00:00"/>
    <n v="3"/>
    <x v="0"/>
    <x v="11"/>
    <s v="Cape Town"/>
    <s v="Corporate"/>
    <x v="4"/>
    <x v="12"/>
    <x v="2"/>
    <x v="80"/>
    <n v="1410.05"/>
    <n v="2763.95"/>
    <s v="High"/>
    <n v="0.161"/>
    <n v="26"/>
    <n v="60292.805299999993"/>
    <n v="36661.299999999996"/>
    <n v="23631.505299999997"/>
    <n v="0.39194569206750779"/>
  </r>
  <r>
    <s v="ORD-2023-343322"/>
    <x v="66"/>
    <s v="Q3-2023"/>
    <d v="2023-09-12T00:00:00"/>
    <n v="24"/>
    <x v="2"/>
    <x v="3"/>
    <s v="Vancouver"/>
    <s v="Enterprise"/>
    <x v="0"/>
    <x v="2"/>
    <x v="1"/>
    <x v="81"/>
    <n v="1183.95"/>
    <n v="1503.53"/>
    <s v="High"/>
    <n v="0.24099999999999999"/>
    <n v="16"/>
    <n v="18258.868320000001"/>
    <n v="18943.2"/>
    <n v="-684.33167999999932"/>
    <n v="-3.7479413729623705E-2"/>
  </r>
  <r>
    <s v="ORD-2025-114382"/>
    <x v="78"/>
    <s v="Q2-2025"/>
    <d v="2025-05-24T00:00:00"/>
    <n v="10"/>
    <x v="3"/>
    <x v="7"/>
    <s v="Paris"/>
    <s v="Small Business"/>
    <x v="2"/>
    <x v="11"/>
    <x v="0"/>
    <x v="82"/>
    <n v="170.39"/>
    <n v="388.04"/>
    <s v="High"/>
    <n v="8.4000000000000005E-2"/>
    <n v="15"/>
    <n v="5331.6696000000002"/>
    <n v="2555.85"/>
    <n v="2775.8196000000003"/>
    <n v="0.52062858508711796"/>
  </r>
  <r>
    <s v="ORD-2025-488349"/>
    <x v="79"/>
    <s v="Q2-2025"/>
    <d v="2025-04-30T00:00:00"/>
    <n v="7"/>
    <x v="2"/>
    <x v="10"/>
    <s v="San Francisco"/>
    <s v="Non-Profit"/>
    <x v="3"/>
    <x v="14"/>
    <x v="5"/>
    <x v="83"/>
    <n v="23.24"/>
    <n v="44.57"/>
    <s v="High"/>
    <n v="0.215"/>
    <n v="15"/>
    <n v="524.81174999999996"/>
    <n v="348.59999999999997"/>
    <n v="176.21174999999999"/>
    <n v="0.33576182316802167"/>
  </r>
  <r>
    <s v="ORD-2025-330203"/>
    <x v="80"/>
    <s v="Q1-2025"/>
    <d v="2025-04-17T00:00:00"/>
    <n v="23"/>
    <x v="3"/>
    <x v="8"/>
    <s v="London"/>
    <s v="Consumer"/>
    <x v="0"/>
    <x v="10"/>
    <x v="2"/>
    <x v="84"/>
    <n v="1421.19"/>
    <n v="1808.26"/>
    <s v="High"/>
    <n v="0.104"/>
    <n v="13"/>
    <n v="21062.61248"/>
    <n v="18475.47"/>
    <n v="2587.1424799999986"/>
    <n v="0.12283103449093123"/>
  </r>
  <r>
    <s v="ORD-2023-841426"/>
    <x v="81"/>
    <s v="Q4-2023"/>
    <d v="2023-12-23T00:00:00"/>
    <n v="1"/>
    <x v="0"/>
    <x v="11"/>
    <s v="Cape Town"/>
    <s v="Non-Profit"/>
    <x v="2"/>
    <x v="14"/>
    <x v="0"/>
    <x v="85"/>
    <n v="1186.18"/>
    <n v="1285.0899999999999"/>
    <s v="High"/>
    <n v="7.0000000000000007E-2"/>
    <n v="11"/>
    <n v="13146.470699999998"/>
    <n v="13047.980000000001"/>
    <n v="98.49069999999665"/>
    <n v="7.4917977796121861E-3"/>
  </r>
  <r>
    <s v="ORD-2024-594592"/>
    <x v="82"/>
    <s v="Q2-2024"/>
    <d v="2024-04-25T00:00:00"/>
    <n v="19"/>
    <x v="1"/>
    <x v="9"/>
    <s v="Shanghai"/>
    <s v="Corporate"/>
    <x v="0"/>
    <x v="11"/>
    <x v="0"/>
    <x v="86"/>
    <n v="1366.48"/>
    <n v="1678.14"/>
    <s v="High"/>
    <n v="0.154"/>
    <n v="10"/>
    <n v="14197.064400000001"/>
    <n v="13664.8"/>
    <n v="532.26440000000184"/>
    <n v="3.7491159087790132E-2"/>
  </r>
  <r>
    <s v="ORD-2025-863978"/>
    <x v="83"/>
    <s v="Q3-2025"/>
    <d v="2025-08-19T00:00:00"/>
    <n v="12"/>
    <x v="0"/>
    <x v="0"/>
    <s v="Nakuru"/>
    <s v="Corporate"/>
    <x v="5"/>
    <x v="12"/>
    <x v="0"/>
    <x v="87"/>
    <n v="601.51"/>
    <n v="679.35"/>
    <s v="High"/>
    <n v="0.188"/>
    <n v="3"/>
    <n v="1654.8966000000003"/>
    <n v="1804.53"/>
    <n v="-149.63339999999971"/>
    <n v="-9.0418579626062243E-2"/>
  </r>
  <r>
    <s v="ORD-2024-604471"/>
    <x v="84"/>
    <s v="Q1-2024"/>
    <d v="2024-01-25T00:00:00"/>
    <n v="4"/>
    <x v="1"/>
    <x v="4"/>
    <s v="Delhi"/>
    <s v="Consumer"/>
    <x v="4"/>
    <x v="0"/>
    <x v="5"/>
    <x v="88"/>
    <n v="523.70000000000005"/>
    <n v="1109.92"/>
    <s v="High"/>
    <n v="0.03"/>
    <n v="11"/>
    <n v="11842.8464"/>
    <n v="5760.7000000000007"/>
    <n v="6082.1463999999996"/>
    <n v="0.51357133197302973"/>
  </r>
  <r>
    <s v="ORD-2023-258768"/>
    <x v="85"/>
    <s v="Q2-2023"/>
    <d v="2023-07-02T00:00:00"/>
    <n v="3"/>
    <x v="1"/>
    <x v="2"/>
    <s v="Nagoya"/>
    <s v="Education"/>
    <x v="2"/>
    <x v="9"/>
    <x v="5"/>
    <x v="89"/>
    <n v="55.65"/>
    <n v="83.57"/>
    <s v="High"/>
    <n v="6.6000000000000003E-2"/>
    <n v="8"/>
    <n v="624.43503999999996"/>
    <n v="445.2"/>
    <n v="179.23503999999997"/>
    <n v="0.2870355257449998"/>
  </r>
  <r>
    <s v="ORD-2025-626047"/>
    <x v="86"/>
    <s v="Q2-2025"/>
    <d v="2025-05-15T00:00:00"/>
    <n v="17"/>
    <x v="1"/>
    <x v="2"/>
    <s v="Nagoya"/>
    <s v="Education"/>
    <x v="4"/>
    <x v="13"/>
    <x v="2"/>
    <x v="90"/>
    <n v="691.19"/>
    <n v="1284.3"/>
    <s v="High"/>
    <n v="7.3999999999999996E-2"/>
    <n v="7"/>
    <n v="8324.8326000000015"/>
    <n v="4838.33"/>
    <n v="3486.5026000000016"/>
    <n v="0.41880753253825198"/>
  </r>
  <r>
    <s v="ORD-2025-526752"/>
    <x v="56"/>
    <s v="Q2-2025"/>
    <d v="2025-06-25T00:00:00"/>
    <n v="16"/>
    <x v="1"/>
    <x v="4"/>
    <s v="Hyderabad"/>
    <s v="Enterprise"/>
    <x v="3"/>
    <x v="12"/>
    <x v="3"/>
    <x v="91"/>
    <n v="527.33000000000004"/>
    <n v="911.72"/>
    <s v="High"/>
    <n v="0.14399999999999999"/>
    <n v="25"/>
    <n v="19510.808000000001"/>
    <n v="13183.250000000002"/>
    <n v="6327.5579999999991"/>
    <n v="0.32431040272652978"/>
  </r>
  <r>
    <s v="ORD-2023-374486"/>
    <x v="87"/>
    <s v="Q2-2023"/>
    <d v="2023-07-01T00:00:00"/>
    <n v="7"/>
    <x v="2"/>
    <x v="5"/>
    <s v="Rio de Janeiro"/>
    <s v="Non-Profit"/>
    <x v="0"/>
    <x v="6"/>
    <x v="1"/>
    <x v="92"/>
    <n v="804.01"/>
    <n v="1405.07"/>
    <s v="High"/>
    <n v="9.6000000000000002E-2"/>
    <n v="8"/>
    <n v="10161.46624"/>
    <n v="6432.08"/>
    <n v="3729.3862399999998"/>
    <n v="0.36701260939287439"/>
  </r>
  <r>
    <s v="ORD-2024-997336"/>
    <x v="88"/>
    <s v="Q4-2024"/>
    <d v="2024-11-02T00:00:00"/>
    <n v="29"/>
    <x v="0"/>
    <x v="1"/>
    <s v="Abuja"/>
    <s v="Corporate"/>
    <x v="3"/>
    <x v="9"/>
    <x v="6"/>
    <x v="93"/>
    <n v="412.09"/>
    <n v="968.94"/>
    <s v="High"/>
    <n v="9.9000000000000005E-2"/>
    <n v="23"/>
    <n v="20079.343620000003"/>
    <n v="9478.07"/>
    <n v="10601.273620000004"/>
    <n v="0.52796913189137418"/>
  </r>
  <r>
    <s v="ORD-2025-725646"/>
    <x v="59"/>
    <s v="Q3-2025"/>
    <d v="2025-09-30T00:00:00"/>
    <n v="20"/>
    <x v="0"/>
    <x v="0"/>
    <s v="Mombasa"/>
    <s v="Corporate"/>
    <x v="4"/>
    <x v="4"/>
    <x v="3"/>
    <x v="94"/>
    <n v="1009.48"/>
    <n v="1088.81"/>
    <s v="High"/>
    <n v="0.16"/>
    <n v="6"/>
    <n v="5487.6023999999998"/>
    <n v="6056.88"/>
    <n v="-569.27760000000035"/>
    <n v="-0.10373885688219693"/>
  </r>
  <r>
    <s v="ORD-2023-868734"/>
    <x v="89"/>
    <s v="Q2-2023"/>
    <d v="2023-04-27T00:00:00"/>
    <n v="21"/>
    <x v="3"/>
    <x v="8"/>
    <s v="Manchester"/>
    <s v="Enterprise"/>
    <x v="3"/>
    <x v="2"/>
    <x v="1"/>
    <x v="95"/>
    <n v="1084.79"/>
    <n v="2484.9899999999998"/>
    <s v="High"/>
    <n v="3.4000000000000002E-2"/>
    <n v="18"/>
    <n v="43209.006119999991"/>
    <n v="19526.22"/>
    <n v="23682.78611999999"/>
    <n v="0.54809837685755114"/>
  </r>
  <r>
    <s v="ORD-2025-262491"/>
    <x v="90"/>
    <s v="Q3-2025"/>
    <d v="2025-08-16T00:00:00"/>
    <n v="15"/>
    <x v="1"/>
    <x v="4"/>
    <s v="Unknown"/>
    <s v="Enterprise"/>
    <x v="4"/>
    <x v="7"/>
    <x v="5"/>
    <x v="96"/>
    <n v="24.44"/>
    <n v="28.69"/>
    <s v="High"/>
    <n v="0.14599999999999999"/>
    <n v="6"/>
    <n v="147.00756000000001"/>
    <n v="146.64000000000001"/>
    <n v="0.36755999999999744"/>
    <n v="2.5002795774584476E-3"/>
  </r>
  <r>
    <s v="ORD-2024-638884"/>
    <x v="91"/>
    <s v="Q2-2024"/>
    <d v="2024-06-04T00:00:00"/>
    <n v="7"/>
    <x v="0"/>
    <x v="1"/>
    <s v="Abuja"/>
    <s v="Enterprise"/>
    <x v="1"/>
    <x v="9"/>
    <x v="6"/>
    <x v="97"/>
    <n v="1227.08"/>
    <n v="1896.62"/>
    <s v="High"/>
    <n v="0"/>
    <n v="18"/>
    <n v="34139.159999999996"/>
    <n v="22087.439999999999"/>
    <n v="12051.719999999998"/>
    <n v="0.353017473189147"/>
  </r>
  <r>
    <s v="ORD-2025-541501"/>
    <x v="92"/>
    <s v="Q3-2025"/>
    <d v="2025-08-18T00:00:00"/>
    <n v="27"/>
    <x v="1"/>
    <x v="9"/>
    <s v="Shenzhen"/>
    <s v="Non-Profit"/>
    <x v="2"/>
    <x v="12"/>
    <x v="2"/>
    <x v="98"/>
    <n v="547.32000000000005"/>
    <n v="419.17"/>
    <s v="High"/>
    <n v="9.1999999999999998E-2"/>
    <n v="14"/>
    <n v="5328.4890400000004"/>
    <n v="7662.4800000000005"/>
    <n v="-2333.9909600000001"/>
    <n v="-0.43802116181137907"/>
  </r>
  <r>
    <s v="ORD-2023-422918"/>
    <x v="2"/>
    <s v="Q1-2023"/>
    <d v="2023-03-20T00:00:00"/>
    <n v="20"/>
    <x v="3"/>
    <x v="6"/>
    <s v="Berlin"/>
    <s v="Small Business"/>
    <x v="4"/>
    <x v="10"/>
    <x v="4"/>
    <x v="99"/>
    <n v="1200.78"/>
    <n v="2001.17"/>
    <s v="High"/>
    <n v="0.29199999999999998"/>
    <n v="18"/>
    <n v="25502.910479999999"/>
    <n v="21614.04"/>
    <n v="3888.8704799999978"/>
    <n v="0.15248732034132906"/>
  </r>
  <r>
    <s v="ORD-2025-328504"/>
    <x v="93"/>
    <s v="Q1-2025"/>
    <d v="2025-02-15T00:00:00"/>
    <n v="19"/>
    <x v="1"/>
    <x v="9"/>
    <s v="Shenzhen"/>
    <s v="Non-Profit"/>
    <x v="4"/>
    <x v="4"/>
    <x v="3"/>
    <x v="100"/>
    <n v="1253.22"/>
    <n v="3104.71"/>
    <s v="High"/>
    <n v="0"/>
    <n v="17"/>
    <n v="52780.07"/>
    <n v="21304.74"/>
    <n v="31475.329999999998"/>
    <n v="0.59634877331538205"/>
  </r>
  <r>
    <s v="ORD-2024-851883"/>
    <x v="94"/>
    <s v="Q1-2024"/>
    <d v="2024-01-22T00:00:00"/>
    <n v="9"/>
    <x v="1"/>
    <x v="4"/>
    <s v="Mumbai"/>
    <s v="Enterprise"/>
    <x v="2"/>
    <x v="1"/>
    <x v="0"/>
    <x v="101"/>
    <n v="313.60000000000002"/>
    <n v="334.28"/>
    <s v="High"/>
    <n v="0.14000000000000001"/>
    <n v="22"/>
    <n v="6324.5775999999996"/>
    <n v="6899.2000000000007"/>
    <n v="-574.62240000000111"/>
    <n v="-9.0855458868905517E-2"/>
  </r>
  <r>
    <s v="ORD-2025-662997"/>
    <x v="95"/>
    <s v="Q1-2025"/>
    <d v="2025-04-04T00:00:00"/>
    <n v="4"/>
    <x v="0"/>
    <x v="0"/>
    <s v="Nakuru"/>
    <s v="Corporate"/>
    <x v="4"/>
    <x v="0"/>
    <x v="4"/>
    <x v="102"/>
    <n v="862.08"/>
    <n v="1952.83"/>
    <s v="High"/>
    <n v="0"/>
    <n v="7"/>
    <n v="13669.81"/>
    <n v="6034.56"/>
    <n v="7635.2499999999991"/>
    <n v="0.5585483631447693"/>
  </r>
  <r>
    <s v="ORD-2024-478165"/>
    <x v="96"/>
    <s v="Q4-2024"/>
    <d v="2024-12-28T00:00:00"/>
    <n v="23"/>
    <x v="2"/>
    <x v="3"/>
    <s v="Vancouver"/>
    <s v="Corporate"/>
    <x v="4"/>
    <x v="9"/>
    <x v="6"/>
    <x v="103"/>
    <n v="107.03"/>
    <n v="242.29"/>
    <s v="High"/>
    <n v="0.18"/>
    <n v="30"/>
    <n v="5960.3340000000007"/>
    <n v="3210.9"/>
    <n v="2749.4340000000007"/>
    <n v="0.46128857879440988"/>
  </r>
  <r>
    <s v="ORD-2024-771210"/>
    <x v="97"/>
    <s v="Q3-2024"/>
    <d v="2024-10-05T00:00:00"/>
    <n v="21"/>
    <x v="1"/>
    <x v="9"/>
    <s v="Shanghai"/>
    <s v="Small Business"/>
    <x v="1"/>
    <x v="10"/>
    <x v="4"/>
    <x v="104"/>
    <n v="1405.56"/>
    <n v="2968.87"/>
    <s v="High"/>
    <n v="0.16900000000000001"/>
    <n v="5"/>
    <n v="12335.654849999999"/>
    <n v="7027.7999999999993"/>
    <n v="5307.8548499999997"/>
    <n v="0.4302856163327235"/>
  </r>
  <r>
    <s v="ORD-2024-155337"/>
    <x v="98"/>
    <s v="Q2-2024"/>
    <d v="2024-05-27T00:00:00"/>
    <n v="6"/>
    <x v="0"/>
    <x v="11"/>
    <s v="Johannesburg"/>
    <s v="Non-Profit"/>
    <x v="1"/>
    <x v="12"/>
    <x v="0"/>
    <x v="105"/>
    <n v="1157.51"/>
    <n v="1394.3"/>
    <s v="High"/>
    <n v="0.27800000000000002"/>
    <n v="12"/>
    <n v="12080.215199999999"/>
    <n v="13890.119999999999"/>
    <n v="-1809.9048000000003"/>
    <n v="-0.14982388724333326"/>
  </r>
  <r>
    <s v="ORD-2023-251563"/>
    <x v="20"/>
    <s v="Q2-2023"/>
    <d v="2023-06-07T00:00:00"/>
    <n v="27"/>
    <x v="0"/>
    <x v="0"/>
    <s v="Mombasa"/>
    <s v="Corporate"/>
    <x v="1"/>
    <x v="1"/>
    <x v="3"/>
    <x v="106"/>
    <n v="12.85"/>
    <n v="15.41"/>
    <s v="High"/>
    <n v="0.13700000000000001"/>
    <n v="39"/>
    <n v="518.65436999999997"/>
    <n v="501.15"/>
    <n v="17.504369999999994"/>
    <n v="3.3749585489851353E-2"/>
  </r>
  <r>
    <s v="ORD-2024-286833"/>
    <x v="99"/>
    <s v="Q3-2024"/>
    <d v="2024-09-04T00:00:00"/>
    <n v="21"/>
    <x v="3"/>
    <x v="8"/>
    <s v="Manchester"/>
    <s v="Non-Profit"/>
    <x v="1"/>
    <x v="1"/>
    <x v="3"/>
    <x v="107"/>
    <n v="1138.8"/>
    <n v="2250.81"/>
    <s v="High"/>
    <n v="0.123"/>
    <n v="12"/>
    <n v="23687.524440000001"/>
    <n v="13665.599999999999"/>
    <n v="10021.924440000003"/>
    <n v="0.42308872188756258"/>
  </r>
  <r>
    <s v="ORD-2024-792558"/>
    <x v="100"/>
    <s v="Q4-2024"/>
    <d v="2024-11-08T00:00:00"/>
    <n v="23"/>
    <x v="1"/>
    <x v="2"/>
    <s v="Osaka"/>
    <s v="Small Business"/>
    <x v="0"/>
    <x v="1"/>
    <x v="2"/>
    <x v="108"/>
    <n v="82.14"/>
    <n v="166.04"/>
    <s v="High"/>
    <n v="0"/>
    <n v="10"/>
    <n v="1660.3999999999999"/>
    <n v="821.4"/>
    <n v="838.99999999999989"/>
    <n v="0.50529992772825827"/>
  </r>
  <r>
    <s v="ORD-2024-166150"/>
    <x v="101"/>
    <s v="Q2-2024"/>
    <d v="2024-06-08T00:00:00"/>
    <n v="6"/>
    <x v="0"/>
    <x v="0"/>
    <s v="Kisumu"/>
    <s v="Consumer"/>
    <x v="2"/>
    <x v="8"/>
    <x v="6"/>
    <x v="109"/>
    <n v="292.94"/>
    <n v="356.55"/>
    <s v="High"/>
    <n v="0.22900000000000001"/>
    <n v="2"/>
    <n v="549.80010000000004"/>
    <n v="585.88"/>
    <n v="-36.079899999999952"/>
    <n v="-6.5623669402751925E-2"/>
  </r>
  <r>
    <s v="ORD-2024-909942"/>
    <x v="102"/>
    <s v="Q2-2024"/>
    <d v="2024-07-07T00:00:00"/>
    <n v="28"/>
    <x v="1"/>
    <x v="9"/>
    <s v="Shenzhen"/>
    <s v="Corporate"/>
    <x v="1"/>
    <x v="1"/>
    <x v="0"/>
    <x v="110"/>
    <n v="550.22"/>
    <n v="1025.05"/>
    <s v="High"/>
    <n v="0"/>
    <n v="27"/>
    <n v="27676.35"/>
    <n v="14855.94"/>
    <n v="12820.409999999998"/>
    <n v="0.46322618408858102"/>
  </r>
  <r>
    <s v="ORD-2024-223618"/>
    <x v="103"/>
    <s v="Q2-2024"/>
    <d v="2024-06-11T00:00:00"/>
    <n v="1"/>
    <x v="3"/>
    <x v="8"/>
    <s v="Birmingham"/>
    <s v="Small Business"/>
    <x v="2"/>
    <x v="12"/>
    <x v="4"/>
    <x v="111"/>
    <n v="1187.1300000000001"/>
    <n v="1795.17"/>
    <s v="High"/>
    <n v="1.2E-2"/>
    <n v="17"/>
    <n v="30151.675319999998"/>
    <n v="20181.210000000003"/>
    <n v="9970.4653199999957"/>
    <n v="0.33067699271046663"/>
  </r>
  <r>
    <s v="ORD-2024-919471"/>
    <x v="104"/>
    <s v="Q2-2024"/>
    <d v="2024-07-26T00:00:00"/>
    <n v="27"/>
    <x v="0"/>
    <x v="11"/>
    <s v="Durban"/>
    <s v="Enterprise"/>
    <x v="3"/>
    <x v="5"/>
    <x v="2"/>
    <x v="112"/>
    <n v="5.36"/>
    <n v="4.37"/>
    <s v="High"/>
    <n v="0.11799999999999999"/>
    <n v="9"/>
    <n v="34.689059999999998"/>
    <n v="48.24"/>
    <n v="-13.550940000000004"/>
    <n v="-0.39064016148030545"/>
  </r>
  <r>
    <s v="ORD-2025-649239"/>
    <x v="105"/>
    <s v="Q1-2025"/>
    <d v="2025-01-24T00:00:00"/>
    <n v="7"/>
    <x v="2"/>
    <x v="10"/>
    <s v="Austin"/>
    <s v="Enterprise"/>
    <x v="1"/>
    <x v="3"/>
    <x v="6"/>
    <x v="113"/>
    <n v="142.09"/>
    <n v="218.5"/>
    <s v="High"/>
    <n v="0.11899999999999999"/>
    <n v="11"/>
    <n v="2117.4834999999998"/>
    <n v="1562.99"/>
    <n v="554.49349999999981"/>
    <n v="0.26186437816398561"/>
  </r>
  <r>
    <s v="ORD-2023-975863"/>
    <x v="106"/>
    <s v="Q4-2023"/>
    <d v="2023-12-05T00:00:00"/>
    <n v="15"/>
    <x v="1"/>
    <x v="2"/>
    <s v="Tokyo"/>
    <s v="Enterprise"/>
    <x v="0"/>
    <x v="4"/>
    <x v="2"/>
    <x v="114"/>
    <n v="354.24"/>
    <n v="249.87"/>
    <s v="High"/>
    <n v="0"/>
    <n v="6"/>
    <n v="1499.22"/>
    <n v="2125.44"/>
    <n v="-626.22"/>
    <n v="-0.41769720254532355"/>
  </r>
  <r>
    <s v="ORD-2023-869884"/>
    <x v="107"/>
    <s v="Q1-2023"/>
    <d v="2023-03-05T00:00:00"/>
    <n v="3"/>
    <x v="2"/>
    <x v="5"/>
    <s v="Brasília"/>
    <s v="Enterprise"/>
    <x v="4"/>
    <x v="3"/>
    <x v="5"/>
    <x v="115"/>
    <n v="1473.58"/>
    <n v="3436.52"/>
    <s v="High"/>
    <n v="0.108"/>
    <n v="8"/>
    <n v="24523.006720000001"/>
    <n v="11788.64"/>
    <n v="12734.366720000002"/>
    <n v="0.51928243813652564"/>
  </r>
  <r>
    <s v="ORD-2025-698069"/>
    <x v="108"/>
    <s v="Q2-2025"/>
    <d v="2025-06-10T00:00:00"/>
    <n v="7"/>
    <x v="2"/>
    <x v="3"/>
    <s v="Toronto"/>
    <s v="Consumer"/>
    <x v="3"/>
    <x v="7"/>
    <x v="1"/>
    <x v="116"/>
    <n v="75.180000000000007"/>
    <n v="53.45"/>
    <s v="High"/>
    <n v="0.157"/>
    <n v="17"/>
    <n v="765.99195000000009"/>
    <n v="1278.0600000000002"/>
    <n v="-512.06805000000008"/>
    <n v="-0.66850317421743144"/>
  </r>
  <r>
    <s v="ORD-2024-474999"/>
    <x v="6"/>
    <s v="Q4-2024"/>
    <d v="2025-01-02T00:00:00"/>
    <n v="6"/>
    <x v="3"/>
    <x v="6"/>
    <s v="Frankfurt"/>
    <s v="Education"/>
    <x v="4"/>
    <x v="9"/>
    <x v="4"/>
    <x v="117"/>
    <n v="1391.99"/>
    <n v="3469.7"/>
    <s v="High"/>
    <n v="0.184"/>
    <n v="23"/>
    <n v="65119.329599999997"/>
    <n v="32015.77"/>
    <n v="33103.559599999993"/>
    <n v="0.50835227886006973"/>
  </r>
  <r>
    <s v="ORD-2023-427304"/>
    <x v="109"/>
    <s v="Q2-2023"/>
    <d v="2023-06-19T00:00:00"/>
    <n v="10"/>
    <x v="1"/>
    <x v="9"/>
    <s v="Beijing"/>
    <s v="Enterprise"/>
    <x v="0"/>
    <x v="9"/>
    <x v="5"/>
    <x v="118"/>
    <n v="339.61"/>
    <n v="621.02"/>
    <s v="High"/>
    <n v="7.0999999999999994E-2"/>
    <n v="10"/>
    <n v="5769.2758000000003"/>
    <n v="3396.1000000000004"/>
    <n v="2373.1758"/>
    <n v="0.41134726129750981"/>
  </r>
  <r>
    <s v="ORD-2025-956101"/>
    <x v="110"/>
    <s v="Q3-2025"/>
    <d v="2025-07-18T00:00:00"/>
    <n v="9"/>
    <x v="2"/>
    <x v="3"/>
    <s v="Vancouver"/>
    <s v="Education"/>
    <x v="3"/>
    <x v="2"/>
    <x v="4"/>
    <x v="119"/>
    <n v="57.96"/>
    <n v="88.51"/>
    <s v="High"/>
    <n v="4.2999999999999997E-2"/>
    <n v="7"/>
    <n v="592.92849000000001"/>
    <n v="405.72"/>
    <n v="187.20848999999998"/>
    <n v="0.3157353595877978"/>
  </r>
  <r>
    <s v="ORD-2025-184082"/>
    <x v="111"/>
    <s v="Q2-2025"/>
    <d v="2025-07-12T00:00:00"/>
    <n v="23"/>
    <x v="3"/>
    <x v="8"/>
    <s v="Unknown"/>
    <s v="Non-Profit"/>
    <x v="4"/>
    <x v="15"/>
    <x v="2"/>
    <x v="120"/>
    <n v="801.24"/>
    <n v="1959.09"/>
    <s v="High"/>
    <n v="0.123"/>
    <n v="23"/>
    <n v="39516.804389999998"/>
    <n v="18428.52"/>
    <n v="21088.284389999997"/>
    <n v="0.53365358650651762"/>
  </r>
  <r>
    <s v="ORD-2023-576840"/>
    <x v="112"/>
    <s v="Q4-2023"/>
    <d v="2023-12-13T00:00:00"/>
    <n v="24"/>
    <x v="3"/>
    <x v="7"/>
    <s v="Lyon"/>
    <s v="Non-Profit"/>
    <x v="4"/>
    <x v="10"/>
    <x v="5"/>
    <x v="121"/>
    <n v="1297.42"/>
    <n v="2742.97"/>
    <s v="High"/>
    <n v="6.9000000000000006E-2"/>
    <n v="9"/>
    <n v="22983.34563"/>
    <n v="11676.78"/>
    <n v="11306.565629999999"/>
    <n v="0.49194602961727291"/>
  </r>
  <r>
    <s v="ORD-2023-178249"/>
    <x v="113"/>
    <s v="Q4-2023"/>
    <d v="2024-01-20T00:00:00"/>
    <n v="22"/>
    <x v="0"/>
    <x v="0"/>
    <s v="Kisumu"/>
    <s v="Corporate"/>
    <x v="4"/>
    <x v="4"/>
    <x v="3"/>
    <x v="122"/>
    <n v="1395.49"/>
    <n v="1679.42"/>
    <s v="High"/>
    <n v="0.20300000000000001"/>
    <n v="12"/>
    <n v="16061.972879999999"/>
    <n v="16745.88"/>
    <n v="-683.90712000000167"/>
    <n v="-4.2579272490964493E-2"/>
  </r>
  <r>
    <s v="ORD-2024-588972"/>
    <x v="61"/>
    <s v="Q4-2024"/>
    <d v="2024-11-29T00:00:00"/>
    <n v="27"/>
    <x v="2"/>
    <x v="5"/>
    <s v="Brasília"/>
    <s v="Small Business"/>
    <x v="4"/>
    <x v="2"/>
    <x v="2"/>
    <x v="123"/>
    <n v="1363.51"/>
    <n v="1433.9"/>
    <s v="High"/>
    <n v="5.7000000000000002E-2"/>
    <n v="8"/>
    <n v="10817.3416"/>
    <n v="10908.08"/>
    <n v="-90.738400000000183"/>
    <n v="-8.3882346842037592E-3"/>
  </r>
  <r>
    <s v="ORD-2023-603238"/>
    <x v="114"/>
    <s v="Q3-2023"/>
    <d v="2023-09-04T00:00:00"/>
    <n v="14"/>
    <x v="2"/>
    <x v="3"/>
    <s v="Montreal"/>
    <s v="Education"/>
    <x v="3"/>
    <x v="9"/>
    <x v="0"/>
    <x v="124"/>
    <n v="178.19"/>
    <n v="284.43"/>
    <s v="High"/>
    <n v="8.8999999999999996E-2"/>
    <n v="8"/>
    <n v="2072.9258400000003"/>
    <n v="1425.52"/>
    <n v="647.40584000000035"/>
    <n v="0.31231500302972742"/>
  </r>
  <r>
    <s v="ORD-2023-883066"/>
    <x v="115"/>
    <s v="Q3-2023"/>
    <d v="2023-09-06T00:00:00"/>
    <n v="25"/>
    <x v="1"/>
    <x v="9"/>
    <s v="Shanghai"/>
    <s v="Small Business"/>
    <x v="0"/>
    <x v="5"/>
    <x v="0"/>
    <x v="125"/>
    <n v="950.77"/>
    <n v="694.78"/>
    <s v="High"/>
    <n v="8.4000000000000005E-2"/>
    <n v="14"/>
    <n v="8909.8587200000002"/>
    <n v="13310.779999999999"/>
    <n v="-4400.9212799999987"/>
    <n v="-0.49393839097821279"/>
  </r>
  <r>
    <s v="ORD-2024-584090"/>
    <x v="116"/>
    <s v="Q2-2024"/>
    <d v="2024-06-26T00:00:00"/>
    <n v="19"/>
    <x v="3"/>
    <x v="6"/>
    <s v="Berlin"/>
    <s v="Non-Profit"/>
    <x v="2"/>
    <x v="12"/>
    <x v="0"/>
    <x v="126"/>
    <n v="1064.32"/>
    <n v="1848.39"/>
    <s v="High"/>
    <n v="7.2999999999999995E-2"/>
    <n v="38"/>
    <n v="65111.38614000001"/>
    <n v="40444.159999999996"/>
    <n v="24667.226140000013"/>
    <n v="0.3788465827921631"/>
  </r>
  <r>
    <s v="ORD-2025-537785"/>
    <x v="117"/>
    <s v="Q3-2025"/>
    <d v="2025-08-14T00:00:00"/>
    <n v="9"/>
    <x v="3"/>
    <x v="8"/>
    <s v="London"/>
    <s v="Non-Profit"/>
    <x v="4"/>
    <x v="6"/>
    <x v="0"/>
    <x v="127"/>
    <n v="41.76"/>
    <n v="45.19"/>
    <s v="High"/>
    <n v="0.17899999999999999"/>
    <n v="23"/>
    <n v="853.32276999999988"/>
    <n v="960.4799999999999"/>
    <n v="-107.15723000000003"/>
    <n v="-0.12557643340514638"/>
  </r>
  <r>
    <s v="ORD-2024-605518"/>
    <x v="118"/>
    <s v="Q2-2024"/>
    <d v="2024-06-13T00:00:00"/>
    <n v="14"/>
    <x v="2"/>
    <x v="10"/>
    <s v="San Francisco"/>
    <s v="Small Business"/>
    <x v="0"/>
    <x v="9"/>
    <x v="3"/>
    <x v="128"/>
    <n v="157.78"/>
    <n v="361.1"/>
    <s v="High"/>
    <n v="0.187"/>
    <n v="9"/>
    <n v="2642.1686999999997"/>
    <n v="1420.02"/>
    <n v="1222.1486999999997"/>
    <n v="0.46255513510549112"/>
  </r>
  <r>
    <s v="ORD-2023-521818"/>
    <x v="119"/>
    <s v="Q1-2023"/>
    <d v="2023-01-30T00:00:00"/>
    <n v="8"/>
    <x v="2"/>
    <x v="10"/>
    <s v="San Francisco"/>
    <s v="Small Business"/>
    <x v="1"/>
    <x v="8"/>
    <x v="2"/>
    <x v="129"/>
    <n v="413.52"/>
    <n v="1004.34"/>
    <s v="High"/>
    <n v="0.111"/>
    <n v="18"/>
    <n v="16071.44868"/>
    <n v="7443.36"/>
    <n v="8628.0886800000007"/>
    <n v="0.53685817948304593"/>
  </r>
  <r>
    <s v="ORD-2025-650719"/>
    <x v="120"/>
    <s v="Q1-2025"/>
    <d v="2025-02-28T00:00:00"/>
    <n v="16"/>
    <x v="2"/>
    <x v="5"/>
    <s v="São Paulo"/>
    <s v="Non-Profit"/>
    <x v="4"/>
    <x v="5"/>
    <x v="5"/>
    <x v="130"/>
    <n v="414.95"/>
    <n v="1027.73"/>
    <s v="High"/>
    <n v="6.3E-2"/>
    <n v="8"/>
    <n v="7703.8640800000003"/>
    <n v="3319.6"/>
    <n v="4384.2640800000008"/>
    <n v="0.56909935513815568"/>
  </r>
  <r>
    <s v="ORD-2025-501927"/>
    <x v="121"/>
    <s v="Q1-2025"/>
    <d v="2025-03-24T00:00:00"/>
    <n v="21"/>
    <x v="0"/>
    <x v="1"/>
    <s v="Abuja"/>
    <s v="Enterprise"/>
    <x v="4"/>
    <x v="10"/>
    <x v="6"/>
    <x v="131"/>
    <n v="555.95000000000005"/>
    <n v="468.09"/>
    <s v="High"/>
    <n v="0.14199999999999999"/>
    <n v="11"/>
    <n v="4417.8334199999999"/>
    <n v="6115.4500000000007"/>
    <n v="-1697.6165800000008"/>
    <n v="-0.38426450674095375"/>
  </r>
  <r>
    <s v="ORD-2023-430904"/>
    <x v="122"/>
    <s v="Q1-2023"/>
    <d v="2023-01-31T00:00:00"/>
    <n v="4"/>
    <x v="3"/>
    <x v="8"/>
    <s v="Manchester"/>
    <s v="Enterprise"/>
    <x v="1"/>
    <x v="13"/>
    <x v="4"/>
    <x v="132"/>
    <n v="941.2"/>
    <n v="668.02"/>
    <s v="High"/>
    <n v="0.22"/>
    <n v="16"/>
    <n v="8336.8896000000004"/>
    <n v="15059.2"/>
    <n v="-6722.3104000000003"/>
    <n v="-0.80633314371825193"/>
  </r>
  <r>
    <s v="ORD-2025-354346"/>
    <x v="123"/>
    <s v="Q1-2025"/>
    <d v="2025-01-15T00:00:00"/>
    <n v="6"/>
    <x v="1"/>
    <x v="9"/>
    <s v="Beijing"/>
    <s v="Education"/>
    <x v="1"/>
    <x v="0"/>
    <x v="3"/>
    <x v="133"/>
    <n v="304.77999999999997"/>
    <n v="537.27"/>
    <s v="High"/>
    <n v="0.187"/>
    <n v="8"/>
    <n v="3494.4040799999998"/>
    <n v="2438.2399999999998"/>
    <n v="1056.16408"/>
    <n v="0.3022444044307549"/>
  </r>
  <r>
    <s v="ORD-2024-164288"/>
    <x v="124"/>
    <s v="Q4-2024"/>
    <d v="2024-12-26T00:00:00"/>
    <n v="5"/>
    <x v="2"/>
    <x v="10"/>
    <s v="San Francisco"/>
    <s v="Consumer"/>
    <x v="2"/>
    <x v="12"/>
    <x v="1"/>
    <x v="134"/>
    <n v="699.57"/>
    <n v="572.71"/>
    <s v="High"/>
    <n v="0.192"/>
    <n v="26"/>
    <n v="12031.491680000001"/>
    <n v="18188.82"/>
    <n v="-6157.3283199999987"/>
    <n v="-0.51176765805651114"/>
  </r>
  <r>
    <s v="ORD-2023-867285"/>
    <x v="125"/>
    <s v="Q2-2023"/>
    <d v="2023-04-17T00:00:00"/>
    <n v="5"/>
    <x v="3"/>
    <x v="7"/>
    <s v="Lyon"/>
    <s v="Enterprise"/>
    <x v="4"/>
    <x v="6"/>
    <x v="5"/>
    <x v="135"/>
    <n v="1087.81"/>
    <n v="2323.87"/>
    <s v="High"/>
    <n v="9.4E-2"/>
    <n v="13"/>
    <n v="27370.540859999997"/>
    <n v="14141.529999999999"/>
    <n v="13229.010859999999"/>
    <n v="0.48333026839572651"/>
  </r>
  <r>
    <s v="ORD-2024-836421"/>
    <x v="126"/>
    <s v="Q4-2024"/>
    <d v="2025-01-12T00:00:00"/>
    <n v="29"/>
    <x v="1"/>
    <x v="9"/>
    <s v="Shenzhen"/>
    <s v="Education"/>
    <x v="1"/>
    <x v="1"/>
    <x v="0"/>
    <x v="136"/>
    <n v="1412.15"/>
    <n v="1631.04"/>
    <s v="High"/>
    <n v="8.9999999999999993E-3"/>
    <n v="6"/>
    <n v="9698.1638399999993"/>
    <n v="8472.9000000000015"/>
    <n v="1225.2638399999978"/>
    <n v="0.12633977526203535"/>
  </r>
  <r>
    <s v="ORD-2023-613287"/>
    <x v="50"/>
    <s v="Q1-2023"/>
    <d v="2023-04-12T00:00:00"/>
    <n v="12"/>
    <x v="0"/>
    <x v="0"/>
    <s v="Mombasa"/>
    <s v="Small Business"/>
    <x v="1"/>
    <x v="0"/>
    <x v="3"/>
    <x v="137"/>
    <n v="304.22000000000003"/>
    <n v="393.31"/>
    <s v="High"/>
    <n v="0.26500000000000001"/>
    <n v="15"/>
    <n v="4336.2427499999994"/>
    <n v="4563.3"/>
    <n v="-227.05725000000075"/>
    <n v="-5.2362670424759034E-2"/>
  </r>
  <r>
    <s v="ORD-2024-783321"/>
    <x v="127"/>
    <s v="Q4-2024"/>
    <d v="2024-12-15T00:00:00"/>
    <n v="25"/>
    <x v="3"/>
    <x v="7"/>
    <s v="Paris"/>
    <s v="Corporate"/>
    <x v="1"/>
    <x v="3"/>
    <x v="1"/>
    <x v="138"/>
    <n v="1203.58"/>
    <n v="1856.16"/>
    <s v="High"/>
    <n v="0.129"/>
    <n v="22"/>
    <n v="35567.737920000007"/>
    <n v="26478.76"/>
    <n v="9088.9779200000085"/>
    <n v="0.25553994860295032"/>
  </r>
  <r>
    <s v="ORD-2024-232632"/>
    <x v="128"/>
    <s v="Q1-2024"/>
    <d v="2024-02-14T00:00:00"/>
    <n v="0"/>
    <x v="1"/>
    <x v="9"/>
    <s v="Beijing"/>
    <s v="Corporate"/>
    <x v="3"/>
    <x v="4"/>
    <x v="6"/>
    <x v="139"/>
    <n v="65.930000000000007"/>
    <n v="84.9"/>
    <s v="High"/>
    <n v="0.25900000000000001"/>
    <n v="23"/>
    <n v="1446.9507000000001"/>
    <n v="1516.39"/>
    <n v="-69.439300000000003"/>
    <n v="-4.7990093926489688E-2"/>
  </r>
  <r>
    <s v="ORD-2023-906481"/>
    <x v="129"/>
    <s v="Q2-2023"/>
    <d v="2023-05-18T00:00:00"/>
    <n v="16"/>
    <x v="1"/>
    <x v="4"/>
    <s v="Delhi"/>
    <s v="Small Business"/>
    <x v="2"/>
    <x v="11"/>
    <x v="5"/>
    <x v="140"/>
    <n v="1463.92"/>
    <n v="2252.2399999999998"/>
    <s v="High"/>
    <n v="0.11799999999999999"/>
    <n v="44"/>
    <n v="87404.929919999995"/>
    <n v="64412.480000000003"/>
    <n v="22992.449919999992"/>
    <n v="0.26305667130040061"/>
  </r>
  <r>
    <s v="ORD-2024-902741"/>
    <x v="130"/>
    <s v="Q4-2024"/>
    <d v="2025-01-11T00:00:00"/>
    <n v="19"/>
    <x v="3"/>
    <x v="6"/>
    <s v="Berlin"/>
    <s v="Education"/>
    <x v="0"/>
    <x v="11"/>
    <x v="3"/>
    <x v="141"/>
    <n v="501.81"/>
    <n v="921.62"/>
    <s v="High"/>
    <n v="0.01"/>
    <n v="9"/>
    <n v="8211.6342000000004"/>
    <n v="4516.29"/>
    <n v="3695.3442000000005"/>
    <n v="0.45001325071202031"/>
  </r>
  <r>
    <s v="ORD-2023-912395"/>
    <x v="131"/>
    <s v="Q3-2023"/>
    <d v="2023-08-25T00:00:00"/>
    <n v="30"/>
    <x v="2"/>
    <x v="10"/>
    <s v="New York"/>
    <s v="Consumer"/>
    <x v="0"/>
    <x v="12"/>
    <x v="6"/>
    <x v="142"/>
    <n v="1261.48"/>
    <n v="1643.18"/>
    <s v="High"/>
    <n v="0.151"/>
    <n v="23"/>
    <n v="32086.37586"/>
    <n v="29014.04"/>
    <n v="3072.3358599999992"/>
    <n v="9.5752037357079045E-2"/>
  </r>
  <r>
    <s v="ORD-2024-389102"/>
    <x v="132"/>
    <s v="Q2-2024"/>
    <d v="2024-07-06T00:00:00"/>
    <n v="21"/>
    <x v="2"/>
    <x v="3"/>
    <s v="Toronto"/>
    <s v="Enterprise"/>
    <x v="3"/>
    <x v="4"/>
    <x v="1"/>
    <x v="143"/>
    <n v="817.23"/>
    <n v="1467.17"/>
    <s v="High"/>
    <n v="0.245"/>
    <n v="9"/>
    <n v="9969.4201499999999"/>
    <n v="7355.07"/>
    <n v="2614.3501500000002"/>
    <n v="0.26223693160328893"/>
  </r>
  <r>
    <s v="ORD-2023-309373"/>
    <x v="133"/>
    <s v="Q3-2023"/>
    <d v="2023-07-14T00:00:00"/>
    <n v="9"/>
    <x v="2"/>
    <x v="5"/>
    <s v="Brasília"/>
    <s v="Enterprise"/>
    <x v="4"/>
    <x v="5"/>
    <x v="2"/>
    <x v="144"/>
    <n v="578.85"/>
    <n v="998.76"/>
    <s v="High"/>
    <n v="8.2000000000000003E-2"/>
    <n v="28"/>
    <n v="25672.127039999999"/>
    <n v="16207.800000000001"/>
    <n v="9464.3270399999983"/>
    <n v="0.36866158480960831"/>
  </r>
  <r>
    <s v="ORD-2023-825495"/>
    <x v="134"/>
    <s v="Q4-2023"/>
    <d v="2023-12-07T00:00:00"/>
    <n v="7"/>
    <x v="0"/>
    <x v="11"/>
    <s v="Durban"/>
    <s v="Small Business"/>
    <x v="2"/>
    <x v="6"/>
    <x v="4"/>
    <x v="145"/>
    <n v="275.56"/>
    <n v="630.72"/>
    <s v="High"/>
    <n v="0.107"/>
    <n v="23"/>
    <n v="12954.358080000002"/>
    <n v="6337.88"/>
    <n v="6616.4780800000017"/>
    <n v="0.5107530638831933"/>
  </r>
  <r>
    <s v="ORD-2025-244832"/>
    <x v="135"/>
    <s v="Q3-2025"/>
    <d v="2025-09-28T00:00:00"/>
    <n v="17"/>
    <x v="0"/>
    <x v="0"/>
    <s v="Nairobi"/>
    <s v="Non-Profit"/>
    <x v="3"/>
    <x v="1"/>
    <x v="4"/>
    <x v="146"/>
    <n v="891.46"/>
    <n v="728.61"/>
    <s v="High"/>
    <n v="0.185"/>
    <n v="6"/>
    <n v="3562.9028999999996"/>
    <n v="5348.76"/>
    <n v="-1785.8571000000006"/>
    <n v="-0.50123653383874167"/>
  </r>
  <r>
    <s v="ORD-2024-211453"/>
    <x v="136"/>
    <s v="Q2-2024"/>
    <d v="2024-04-24T00:00:00"/>
    <n v="20"/>
    <x v="3"/>
    <x v="6"/>
    <s v="Frankfurt"/>
    <s v="Non-Profit"/>
    <x v="4"/>
    <x v="7"/>
    <x v="6"/>
    <x v="147"/>
    <n v="683.42"/>
    <n v="951.51"/>
    <s v="High"/>
    <n v="0"/>
    <n v="14"/>
    <n v="13321.14"/>
    <n v="9567.8799999999992"/>
    <n v="3753.26"/>
    <n v="0.28175216235247136"/>
  </r>
  <r>
    <s v="ORD-2023-192324"/>
    <x v="137"/>
    <s v="Q3-2023"/>
    <d v="2023-09-16T00:00:00"/>
    <n v="2"/>
    <x v="3"/>
    <x v="7"/>
    <s v="Lyon"/>
    <s v="Non-Profit"/>
    <x v="4"/>
    <x v="5"/>
    <x v="1"/>
    <x v="148"/>
    <n v="376.83"/>
    <n v="732.88"/>
    <s v="High"/>
    <n v="0.188"/>
    <n v="25"/>
    <n v="14877.464000000002"/>
    <n v="9420.75"/>
    <n v="5456.7140000000018"/>
    <n v="0.36677716040852132"/>
  </r>
  <r>
    <s v="ORD-2024-438404"/>
    <x v="138"/>
    <s v="Q3-2024"/>
    <d v="2024-10-18T00:00:00"/>
    <n v="25"/>
    <x v="2"/>
    <x v="3"/>
    <s v="Vancouver"/>
    <s v="Small Business"/>
    <x v="1"/>
    <x v="13"/>
    <x v="3"/>
    <x v="149"/>
    <n v="1297"/>
    <n v="2411.52"/>
    <s v="High"/>
    <n v="2.1000000000000001E-2"/>
    <n v="18"/>
    <n v="42495.805439999996"/>
    <n v="23346"/>
    <n v="19149.805439999996"/>
    <n v="0.45062813239385913"/>
  </r>
  <r>
    <s v="ORD-2025-246470"/>
    <x v="139"/>
    <s v="Q2-2025"/>
    <d v="2025-05-16T00:00:00"/>
    <n v="30"/>
    <x v="2"/>
    <x v="3"/>
    <s v="Montreal"/>
    <s v="Enterprise"/>
    <x v="3"/>
    <x v="11"/>
    <x v="1"/>
    <x v="150"/>
    <n v="763.32"/>
    <n v="568.29"/>
    <s v="High"/>
    <n v="0.13100000000000001"/>
    <n v="16"/>
    <n v="7901.5041599999995"/>
    <n v="12213.12"/>
    <n v="-4311.6158400000013"/>
    <n v="-0.54567026134426555"/>
  </r>
  <r>
    <s v="ORD-2023-497686"/>
    <x v="140"/>
    <s v="Q3-2023"/>
    <d v="2023-07-23T00:00:00"/>
    <n v="20"/>
    <x v="0"/>
    <x v="11"/>
    <s v="Johannesburg"/>
    <s v="Small Business"/>
    <x v="3"/>
    <x v="9"/>
    <x v="4"/>
    <x v="151"/>
    <n v="1001.96"/>
    <n v="1254.95"/>
    <s v="High"/>
    <n v="4.4999999999999998E-2"/>
    <n v="18"/>
    <n v="21572.590500000002"/>
    <n v="18035.28"/>
    <n v="3537.3105000000032"/>
    <n v="0.16397244920585699"/>
  </r>
  <r>
    <s v="ORD-2023-596758"/>
    <x v="141"/>
    <s v="Q4-2023"/>
    <d v="2023-12-14T00:00:00"/>
    <n v="7"/>
    <x v="1"/>
    <x v="2"/>
    <s v="Tokyo"/>
    <s v="Non-Profit"/>
    <x v="2"/>
    <x v="10"/>
    <x v="1"/>
    <x v="152"/>
    <n v="1097.5899999999999"/>
    <n v="845.55"/>
    <s v="High"/>
    <n v="0.184"/>
    <n v="6"/>
    <n v="4139.8127999999997"/>
    <n v="6585.5399999999991"/>
    <n v="-2445.7271999999994"/>
    <n v="-0.59078207594314402"/>
  </r>
  <r>
    <s v="ORD-2024-201376"/>
    <x v="142"/>
    <s v="Q1-2024"/>
    <d v="2024-03-04T00:00:00"/>
    <n v="15"/>
    <x v="0"/>
    <x v="0"/>
    <s v="Kisumu"/>
    <s v="Education"/>
    <x v="4"/>
    <x v="11"/>
    <x v="1"/>
    <x v="153"/>
    <n v="928.68"/>
    <n v="2145.17"/>
    <s v="High"/>
    <n v="0.13600000000000001"/>
    <n v="16"/>
    <n v="29654.83008"/>
    <n v="14858.88"/>
    <n v="14795.950080000001"/>
    <n v="0.49893896003062177"/>
  </r>
  <r>
    <s v="ORD-2023-842488"/>
    <x v="143"/>
    <s v="Q4-2023"/>
    <d v="2023-11-02T00:00:00"/>
    <n v="2"/>
    <x v="0"/>
    <x v="0"/>
    <s v="Kisumu"/>
    <s v="Education"/>
    <x v="0"/>
    <x v="7"/>
    <x v="6"/>
    <x v="154"/>
    <n v="867.89"/>
    <n v="1349.94"/>
    <s v="High"/>
    <n v="0.184"/>
    <n v="10"/>
    <n v="11015.510400000003"/>
    <n v="8678.9"/>
    <n v="2336.6104000000032"/>
    <n v="0.21212003031652557"/>
  </r>
  <r>
    <s v="ORD-2024-136321"/>
    <x v="144"/>
    <s v="Q3-2024"/>
    <d v="2024-08-17T00:00:00"/>
    <n v="10"/>
    <x v="1"/>
    <x v="2"/>
    <s v="Osaka"/>
    <s v="Consumer"/>
    <x v="1"/>
    <x v="11"/>
    <x v="2"/>
    <x v="155"/>
    <n v="436.58"/>
    <n v="527.48"/>
    <s v="High"/>
    <n v="0.111"/>
    <n v="19"/>
    <n v="8909.6646800000017"/>
    <n v="8295.02"/>
    <n v="614.64468000000124"/>
    <n v="6.8986286473802644E-2"/>
  </r>
  <r>
    <s v="ORD-2024-764468"/>
    <x v="145"/>
    <s v="Q1-2024"/>
    <d v="2024-02-21T00:00:00"/>
    <n v="20"/>
    <x v="3"/>
    <x v="7"/>
    <s v="Paris"/>
    <s v="Small Business"/>
    <x v="2"/>
    <x v="8"/>
    <x v="2"/>
    <x v="156"/>
    <n v="656.2"/>
    <n v="1467.17"/>
    <s v="High"/>
    <n v="1.7999999999999999E-2"/>
    <n v="5"/>
    <n v="7203.8047000000006"/>
    <n v="3281"/>
    <n v="3922.8047000000006"/>
    <n v="0.54454623124360946"/>
  </r>
  <r>
    <s v="ORD-2024-553449"/>
    <x v="38"/>
    <s v="Q3-2024"/>
    <d v="2024-09-18T00:00:00"/>
    <n v="22"/>
    <x v="1"/>
    <x v="4"/>
    <s v="Delhi"/>
    <s v="Consumer"/>
    <x v="4"/>
    <x v="5"/>
    <x v="0"/>
    <x v="157"/>
    <n v="896.75"/>
    <n v="1651.14"/>
    <s v="High"/>
    <n v="2.5000000000000001E-2"/>
    <n v="15"/>
    <n v="24147.922500000001"/>
    <n v="13451.25"/>
    <n v="10696.672500000001"/>
    <n v="0.44296450346815552"/>
  </r>
  <r>
    <s v="ORD-2025-766923"/>
    <x v="146"/>
    <s v="Q1-2025"/>
    <d v="2025-02-15T00:00:00"/>
    <n v="0"/>
    <x v="3"/>
    <x v="6"/>
    <s v="Frankfurt"/>
    <s v="Small Business"/>
    <x v="2"/>
    <x v="4"/>
    <x v="6"/>
    <x v="158"/>
    <n v="815.83"/>
    <n v="1982.18"/>
    <s v="High"/>
    <n v="0.127"/>
    <n v="6"/>
    <n v="10382.65884"/>
    <n v="4894.9800000000005"/>
    <n v="5487.6788399999996"/>
    <n v="0.52854272923408507"/>
  </r>
  <r>
    <s v="ORD-2025-418232"/>
    <x v="90"/>
    <s v="Q3-2025"/>
    <d v="2025-08-21T00:00:00"/>
    <n v="20"/>
    <x v="1"/>
    <x v="9"/>
    <s v="Shanghai"/>
    <s v="Corporate"/>
    <x v="4"/>
    <x v="2"/>
    <x v="3"/>
    <x v="159"/>
    <n v="1220.4100000000001"/>
    <n v="2552.2199999999998"/>
    <s v="High"/>
    <n v="0.18099999999999999"/>
    <n v="14"/>
    <n v="29263.754519999995"/>
    <n v="17085.740000000002"/>
    <n v="12178.014519999993"/>
    <n v="0.41614668793360271"/>
  </r>
  <r>
    <s v="ORD-2023-848013"/>
    <x v="147"/>
    <s v="Q1-2023"/>
    <d v="2023-03-04T00:00:00"/>
    <n v="12"/>
    <x v="1"/>
    <x v="4"/>
    <s v="Delhi"/>
    <s v="Consumer"/>
    <x v="3"/>
    <x v="12"/>
    <x v="5"/>
    <x v="160"/>
    <n v="299.75"/>
    <n v="523.01"/>
    <s v="High"/>
    <n v="0.157"/>
    <n v="50"/>
    <n v="22044.871499999997"/>
    <n v="14987.5"/>
    <n v="7057.3714999999975"/>
    <n v="0.32013665854210122"/>
  </r>
  <r>
    <s v="ORD-2024-357368"/>
    <x v="148"/>
    <s v="Q4-2024"/>
    <d v="2024-11-24T00:00:00"/>
    <n v="25"/>
    <x v="1"/>
    <x v="9"/>
    <s v="Shenzhen"/>
    <s v="Small Business"/>
    <x v="1"/>
    <x v="6"/>
    <x v="0"/>
    <x v="161"/>
    <n v="811.05"/>
    <n v="1217.71"/>
    <s v="High"/>
    <n v="7.1999999999999995E-2"/>
    <n v="5"/>
    <n v="5650.1744000000008"/>
    <n v="4055.25"/>
    <n v="1594.9244000000008"/>
    <n v="0.28227879125288602"/>
  </r>
  <r>
    <s v="ORD-2024-219735"/>
    <x v="149"/>
    <s v="Q2-2024"/>
    <d v="2024-04-07T00:00:00"/>
    <n v="4"/>
    <x v="2"/>
    <x v="5"/>
    <s v="Brasília"/>
    <s v="Non-Profit"/>
    <x v="4"/>
    <x v="13"/>
    <x v="3"/>
    <x v="162"/>
    <n v="1023.27"/>
    <n v="1343.64"/>
    <s v="High"/>
    <n v="0.13300000000000001"/>
    <n v="7"/>
    <n v="8154.5511600000009"/>
    <n v="7162.8899999999994"/>
    <n v="991.66116000000147"/>
    <n v="0.12160830688810116"/>
  </r>
  <r>
    <s v="ORD-2023-240507"/>
    <x v="150"/>
    <s v="Q1-2023"/>
    <d v="2023-03-26T00:00:00"/>
    <n v="1"/>
    <x v="1"/>
    <x v="2"/>
    <s v="Osaka"/>
    <s v="Small Business"/>
    <x v="3"/>
    <x v="2"/>
    <x v="5"/>
    <x v="163"/>
    <n v="135.12"/>
    <n v="301.7"/>
    <s v="High"/>
    <n v="0.14000000000000001"/>
    <n v="47"/>
    <n v="12194.714"/>
    <n v="6350.64"/>
    <n v="5844.0739999999996"/>
    <n v="0.47923009920527859"/>
  </r>
  <r>
    <s v="ORD-2024-134084"/>
    <x v="151"/>
    <s v="Q2-2024"/>
    <d v="2024-06-16T00:00:00"/>
    <n v="12"/>
    <x v="1"/>
    <x v="9"/>
    <s v="Shanghai"/>
    <s v="Corporate"/>
    <x v="0"/>
    <x v="1"/>
    <x v="1"/>
    <x v="164"/>
    <n v="918.42"/>
    <n v="1511.71"/>
    <s v="High"/>
    <n v="0.02"/>
    <n v="8"/>
    <n v="11851.806399999999"/>
    <n v="7347.36"/>
    <n v="4504.4463999999998"/>
    <n v="0.38006412254590999"/>
  </r>
  <r>
    <s v="ORD-2023-884625"/>
    <x v="152"/>
    <s v="Q1-2023"/>
    <d v="2023-03-12T00:00:00"/>
    <n v="21"/>
    <x v="3"/>
    <x v="6"/>
    <s v="Berlin"/>
    <s v="Small Business"/>
    <x v="4"/>
    <x v="4"/>
    <x v="5"/>
    <x v="165"/>
    <n v="1234.81"/>
    <n v="2055.2399999999998"/>
    <s v="High"/>
    <n v="5.2999999999999999E-2"/>
    <n v="44"/>
    <n v="85637.740319999997"/>
    <n v="54331.64"/>
    <n v="31306.100319999998"/>
    <n v="0.36556429680441616"/>
  </r>
  <r>
    <s v="ORD-2023-157993"/>
    <x v="153"/>
    <s v="Q2-2023"/>
    <d v="2023-05-18T00:00:00"/>
    <n v="30"/>
    <x v="1"/>
    <x v="9"/>
    <s v="Shenzhen"/>
    <s v="Non-Profit"/>
    <x v="0"/>
    <x v="10"/>
    <x v="4"/>
    <x v="166"/>
    <n v="329.03"/>
    <n v="391.15"/>
    <s v="High"/>
    <n v="0.19700000000000001"/>
    <n v="46"/>
    <n v="14448.298699999998"/>
    <n v="15135.38"/>
    <n v="-687.08130000000165"/>
    <n v="-4.7554477815440081E-2"/>
  </r>
  <r>
    <s v="ORD-2024-329104"/>
    <x v="154"/>
    <s v="Q2-2024"/>
    <d v="2024-06-14T00:00:00"/>
    <n v="22"/>
    <x v="3"/>
    <x v="7"/>
    <s v="Marseille"/>
    <s v="Small Business"/>
    <x v="1"/>
    <x v="13"/>
    <x v="5"/>
    <x v="167"/>
    <n v="1481.74"/>
    <n v="1848.97"/>
    <s v="High"/>
    <n v="0.254"/>
    <n v="9"/>
    <n v="12413.98458"/>
    <n v="13335.66"/>
    <n v="-921.67541999999958"/>
    <n v="-7.4244930309072407E-2"/>
  </r>
  <r>
    <s v="ORD-2023-304451"/>
    <x v="155"/>
    <s v="Q4-2023"/>
    <d v="2023-10-23T00:00:00"/>
    <n v="16"/>
    <x v="1"/>
    <x v="4"/>
    <s v="Hyderabad"/>
    <s v="Consumer"/>
    <x v="0"/>
    <x v="3"/>
    <x v="5"/>
    <x v="168"/>
    <n v="906.81"/>
    <n v="1395.56"/>
    <s v="High"/>
    <n v="0.185"/>
    <n v="6"/>
    <n v="6824.2884000000004"/>
    <n v="5440.86"/>
    <n v="1383.4284000000007"/>
    <n v="0.20272126834498974"/>
  </r>
  <r>
    <s v="ORD-2024-942981"/>
    <x v="156"/>
    <s v="Q4-2024"/>
    <d v="2024-11-08T00:00:00"/>
    <n v="30"/>
    <x v="3"/>
    <x v="8"/>
    <s v="Manchester"/>
    <s v="Small Business"/>
    <x v="3"/>
    <x v="1"/>
    <x v="0"/>
    <x v="169"/>
    <n v="343.85"/>
    <n v="538.04"/>
    <s v="High"/>
    <n v="0.13900000000000001"/>
    <n v="5"/>
    <n v="2316.2621999999997"/>
    <n v="1719.25"/>
    <n v="597.01219999999967"/>
    <n v="0.25774810813732563"/>
  </r>
  <r>
    <s v="ORD-2024-605629"/>
    <x v="157"/>
    <s v="Q3-2024"/>
    <d v="2024-07-15T00:00:00"/>
    <n v="0"/>
    <x v="1"/>
    <x v="2"/>
    <s v="Tokyo"/>
    <s v="Small Business"/>
    <x v="2"/>
    <x v="3"/>
    <x v="6"/>
    <x v="170"/>
    <n v="801.77"/>
    <n v="1218.92"/>
    <s v="High"/>
    <n v="0.254"/>
    <n v="16"/>
    <n v="14549.029120000001"/>
    <n v="12828.32"/>
    <n v="1720.7091200000013"/>
    <n v="0.11826968698788344"/>
  </r>
  <r>
    <s v="ORD-2023-450877"/>
    <x v="158"/>
    <s v="Q3-2023"/>
    <d v="2023-10-10T00:00:00"/>
    <n v="19"/>
    <x v="1"/>
    <x v="2"/>
    <s v="Tokyo"/>
    <s v="Education"/>
    <x v="1"/>
    <x v="14"/>
    <x v="0"/>
    <x v="171"/>
    <n v="845.63"/>
    <n v="2062.12"/>
    <s v="High"/>
    <n v="0.13400000000000001"/>
    <n v="5"/>
    <n v="8928.9795999999988"/>
    <n v="4228.1499999999996"/>
    <n v="4700.8295999999991"/>
    <n v="0.52646884757133949"/>
  </r>
  <r>
    <s v="ORD-2023-286994"/>
    <x v="159"/>
    <s v="Q1-2023"/>
    <d v="2023-03-09T00:00:00"/>
    <n v="13"/>
    <x v="2"/>
    <x v="10"/>
    <s v="New York"/>
    <s v="Enterprise"/>
    <x v="1"/>
    <x v="12"/>
    <x v="0"/>
    <x v="172"/>
    <n v="6.85"/>
    <n v="10.18"/>
    <s v="High"/>
    <n v="4.7E-2"/>
    <n v="10"/>
    <n v="97.0154"/>
    <n v="68.5"/>
    <n v="28.5154"/>
    <n v="0.2939265312517394"/>
  </r>
  <r>
    <s v="ORD-2025-700847"/>
    <x v="9"/>
    <s v="Q2-2025"/>
    <d v="2025-05-28T00:00:00"/>
    <n v="7"/>
    <x v="0"/>
    <x v="11"/>
    <s v="Johannesburg"/>
    <s v="Non-Profit"/>
    <x v="3"/>
    <x v="7"/>
    <x v="4"/>
    <x v="173"/>
    <n v="1263.8399999999999"/>
    <n v="2281.7199999999998"/>
    <s v="High"/>
    <n v="7.8E-2"/>
    <n v="15"/>
    <n v="31556.187599999997"/>
    <n v="18957.599999999999"/>
    <n v="12598.587599999999"/>
    <n v="0.39924301882398494"/>
  </r>
  <r>
    <s v="ORD-2024-970848"/>
    <x v="154"/>
    <s v="Q2-2024"/>
    <d v="2024-06-03T00:00:00"/>
    <n v="11"/>
    <x v="0"/>
    <x v="11"/>
    <s v="Johannesburg"/>
    <s v="Small Business"/>
    <x v="3"/>
    <x v="9"/>
    <x v="1"/>
    <x v="174"/>
    <n v="180.89"/>
    <n v="249.57"/>
    <s v="High"/>
    <n v="2.1999999999999999E-2"/>
    <n v="8"/>
    <n v="1952.6356799999999"/>
    <n v="1447.12"/>
    <n v="505.51567999999997"/>
    <n v="0.25888888806948362"/>
  </r>
  <r>
    <s v="ORD-2025-845715"/>
    <x v="160"/>
    <s v="Q2-2025"/>
    <d v="2025-05-04T00:00:00"/>
    <n v="20"/>
    <x v="3"/>
    <x v="8"/>
    <s v="Birmingham"/>
    <s v="Enterprise"/>
    <x v="2"/>
    <x v="11"/>
    <x v="5"/>
    <x v="175"/>
    <n v="1413.87"/>
    <n v="3275"/>
    <s v="High"/>
    <n v="0.255"/>
    <n v="38"/>
    <n v="92715.25"/>
    <n v="53727.06"/>
    <n v="38988.19"/>
    <n v="0.42051539525590453"/>
  </r>
  <r>
    <s v="ORD-2023-664749"/>
    <x v="161"/>
    <s v="Q3-2023"/>
    <d v="2023-09-11T00:00:00"/>
    <n v="15"/>
    <x v="3"/>
    <x v="8"/>
    <s v="London"/>
    <s v="Consumer"/>
    <x v="2"/>
    <x v="13"/>
    <x v="1"/>
    <x v="176"/>
    <n v="943.79"/>
    <n v="1913.76"/>
    <s v="High"/>
    <n v="9.0999999999999998E-2"/>
    <n v="9"/>
    <n v="15656.47056"/>
    <n v="8494.11"/>
    <n v="7162.3605599999992"/>
    <n v="0.45746967891338081"/>
  </r>
  <r>
    <s v="ORD-2024-960952"/>
    <x v="162"/>
    <s v="Q1-2024"/>
    <d v="2024-02-21T00:00:00"/>
    <n v="18"/>
    <x v="3"/>
    <x v="6"/>
    <s v="Frankfurt"/>
    <s v="Corporate"/>
    <x v="0"/>
    <x v="10"/>
    <x v="0"/>
    <x v="177"/>
    <n v="39.229999999999997"/>
    <n v="30.09"/>
    <s v="High"/>
    <n v="0.17699999999999999"/>
    <n v="13"/>
    <n v="321.93290999999999"/>
    <n v="509.98999999999995"/>
    <n v="-188.05708999999996"/>
    <n v="-0.58414993981199359"/>
  </r>
  <r>
    <s v="ORD-2023-987700"/>
    <x v="163"/>
    <s v="Q2-2023"/>
    <d v="2023-04-16T00:00:00"/>
    <n v="11"/>
    <x v="2"/>
    <x v="3"/>
    <s v="Vancouver"/>
    <s v="Non-Profit"/>
    <x v="1"/>
    <x v="7"/>
    <x v="5"/>
    <x v="178"/>
    <n v="213.1"/>
    <n v="501.31"/>
    <s v="High"/>
    <n v="5.6000000000000001E-2"/>
    <n v="15"/>
    <n v="7098.5495999999994"/>
    <n v="3196.5"/>
    <n v="3902.0495999999994"/>
    <n v="0.54969674368409005"/>
  </r>
  <r>
    <s v="ORD-2025-652467"/>
    <x v="164"/>
    <s v="Q3-2025"/>
    <d v="2025-09-12T00:00:00"/>
    <n v="22"/>
    <x v="1"/>
    <x v="9"/>
    <s v="Shenzhen"/>
    <s v="Education"/>
    <x v="0"/>
    <x v="5"/>
    <x v="1"/>
    <x v="179"/>
    <n v="352.66"/>
    <n v="411.18"/>
    <s v="High"/>
    <n v="0.17299999999999999"/>
    <n v="13"/>
    <n v="4420.5961799999995"/>
    <n v="4584.58"/>
    <n v="-163.98382000000038"/>
    <n v="-3.7095408248758066E-2"/>
  </r>
  <r>
    <s v="ORD-2025-667201"/>
    <x v="165"/>
    <s v="Q3-2025"/>
    <d v="2025-09-18T00:00:00"/>
    <n v="3"/>
    <x v="2"/>
    <x v="5"/>
    <s v="Rio de Janeiro"/>
    <s v="Non-Profit"/>
    <x v="4"/>
    <x v="4"/>
    <x v="6"/>
    <x v="180"/>
    <n v="5.5"/>
    <n v="5.92"/>
    <s v="High"/>
    <n v="0.21199999999999999"/>
    <n v="4"/>
    <n v="18.659839999999999"/>
    <n v="22"/>
    <n v="-3.3401600000000009"/>
    <n v="-0.17900260666758133"/>
  </r>
  <r>
    <s v="ORD-2024-237478"/>
    <x v="166"/>
    <s v="Q4-2024"/>
    <d v="2024-10-11T00:00:00"/>
    <n v="8"/>
    <x v="1"/>
    <x v="9"/>
    <s v="Beijing"/>
    <s v="Enterprise"/>
    <x v="4"/>
    <x v="5"/>
    <x v="3"/>
    <x v="181"/>
    <n v="1132.6099999999999"/>
    <n v="2206.63"/>
    <s v="High"/>
    <n v="6.3E-2"/>
    <n v="20"/>
    <n v="41352.246200000009"/>
    <n v="22652.199999999997"/>
    <n v="18700.046200000012"/>
    <n v="0.45221355351671338"/>
  </r>
  <r>
    <s v="ORD-2025-898843"/>
    <x v="167"/>
    <s v="Q1-2025"/>
    <d v="2025-03-04T00:00:00"/>
    <n v="30"/>
    <x v="1"/>
    <x v="2"/>
    <s v="Osaka"/>
    <s v="Education"/>
    <x v="3"/>
    <x v="4"/>
    <x v="6"/>
    <x v="182"/>
    <n v="766.59"/>
    <n v="1912.8"/>
    <s v="High"/>
    <n v="0.19600000000000001"/>
    <n v="5"/>
    <n v="7689.4560000000001"/>
    <n v="3832.9500000000003"/>
    <n v="3856.5059999999999"/>
    <n v="0.50153170783472845"/>
  </r>
  <r>
    <s v="ORD-2023-334213"/>
    <x v="66"/>
    <s v="Q3-2023"/>
    <d v="2023-08-23T00:00:00"/>
    <n v="4"/>
    <x v="0"/>
    <x v="1"/>
    <s v="Abuja"/>
    <s v="Small Business"/>
    <x v="1"/>
    <x v="1"/>
    <x v="5"/>
    <x v="183"/>
    <n v="790.63"/>
    <n v="1382.31"/>
    <s v="High"/>
    <n v="0.10100000000000001"/>
    <n v="7"/>
    <n v="8698.8768300000011"/>
    <n v="5534.41"/>
    <n v="3164.4668300000012"/>
    <n v="0.36377878338116448"/>
  </r>
  <r>
    <s v="ORD-2024-640340"/>
    <x v="168"/>
    <s v="Q4-2024"/>
    <d v="2024-10-29T00:00:00"/>
    <n v="7"/>
    <x v="0"/>
    <x v="1"/>
    <s v="Port Harcourt"/>
    <s v="Enterprise"/>
    <x v="3"/>
    <x v="12"/>
    <x v="5"/>
    <x v="184"/>
    <n v="1023.06"/>
    <n v="1355.61"/>
    <s v="High"/>
    <n v="0.153"/>
    <n v="23"/>
    <n v="26408.63841"/>
    <n v="23530.379999999997"/>
    <n v="2878.2584100000022"/>
    <n v="0.10898927711888809"/>
  </r>
  <r>
    <s v="ORD-2023-399631"/>
    <x v="169"/>
    <s v="Q2-2023"/>
    <d v="2023-07-21T00:00:00"/>
    <n v="29"/>
    <x v="3"/>
    <x v="7"/>
    <s v="Lyon"/>
    <s v="Corporate"/>
    <x v="0"/>
    <x v="1"/>
    <x v="6"/>
    <x v="185"/>
    <n v="734.34"/>
    <n v="887.9"/>
    <s v="High"/>
    <n v="2.5000000000000001E-2"/>
    <n v="12"/>
    <n v="10388.429999999998"/>
    <n v="8812.08"/>
    <n v="1576.3499999999985"/>
    <n v="0.15174092716608753"/>
  </r>
  <r>
    <s v="ORD-2025-542939"/>
    <x v="170"/>
    <s v="Q1-2025"/>
    <d v="2025-02-08T00:00:00"/>
    <n v="26"/>
    <x v="3"/>
    <x v="7"/>
    <s v="Paris"/>
    <s v="Non-Profit"/>
    <x v="5"/>
    <x v="6"/>
    <x v="5"/>
    <x v="186"/>
    <n v="594.74"/>
    <n v="1020.69"/>
    <s v="High"/>
    <n v="0.21099999999999999"/>
    <n v="6"/>
    <n v="4831.9464600000001"/>
    <n v="3568.44"/>
    <n v="1263.5064600000001"/>
    <n v="0.26149016146176424"/>
  </r>
  <r>
    <s v="ORD-2023-825836"/>
    <x v="171"/>
    <s v="Q3-2023"/>
    <d v="2023-07-31T00:00:00"/>
    <n v="12"/>
    <x v="2"/>
    <x v="5"/>
    <s v="Rio de Janeiro"/>
    <s v="Corporate"/>
    <x v="0"/>
    <x v="0"/>
    <x v="5"/>
    <x v="187"/>
    <n v="1334.64"/>
    <n v="2273.42"/>
    <s v="High"/>
    <n v="0.11799999999999999"/>
    <n v="14"/>
    <n v="28072.190160000002"/>
    <n v="18684.960000000003"/>
    <n v="9387.2301599999992"/>
    <n v="0.33439607335575267"/>
  </r>
  <r>
    <s v="ORD-2024-503082"/>
    <x v="172"/>
    <s v="Q2-2024"/>
    <d v="2024-06-08T00:00:00"/>
    <n v="20"/>
    <x v="2"/>
    <x v="5"/>
    <s v="Brasília"/>
    <s v="Small Business"/>
    <x v="0"/>
    <x v="6"/>
    <x v="5"/>
    <x v="188"/>
    <n v="1075.9000000000001"/>
    <n v="1242.1500000000001"/>
    <s v="High"/>
    <n v="1.2E-2"/>
    <n v="7"/>
    <n v="8590.7094000000016"/>
    <n v="7531.3000000000011"/>
    <n v="1059.4094000000005"/>
    <n v="0.12332036280961853"/>
  </r>
  <r>
    <s v="ORD-2024-760799"/>
    <x v="162"/>
    <s v="Q1-2024"/>
    <d v="2024-02-19T00:00:00"/>
    <n v="16"/>
    <x v="1"/>
    <x v="9"/>
    <s v="Shenzhen"/>
    <s v="Small Business"/>
    <x v="1"/>
    <x v="10"/>
    <x v="4"/>
    <x v="189"/>
    <n v="993.75"/>
    <n v="1310.29"/>
    <s v="High"/>
    <n v="0.215"/>
    <n v="19"/>
    <n v="19542.975350000001"/>
    <n v="18881.25"/>
    <n v="661.72535000000062"/>
    <n v="3.3860010471742245E-2"/>
  </r>
  <r>
    <s v="ORD-2023-197661"/>
    <x v="173"/>
    <s v="Q3-2023"/>
    <d v="2023-08-22T00:00:00"/>
    <n v="14"/>
    <x v="3"/>
    <x v="8"/>
    <s v="Birmingham"/>
    <s v="Non-Profit"/>
    <x v="4"/>
    <x v="13"/>
    <x v="5"/>
    <x v="190"/>
    <n v="446.69"/>
    <n v="967.25"/>
    <s v="High"/>
    <n v="9.4E-2"/>
    <n v="10"/>
    <n v="8763.2849999999999"/>
    <n v="4466.8999999999996"/>
    <n v="4296.3850000000002"/>
    <n v="0.49027105702941309"/>
  </r>
  <r>
    <s v="ORD-2024-212990"/>
    <x v="174"/>
    <s v="Q3-2024"/>
    <d v="2024-09-03T00:00:00"/>
    <n v="22"/>
    <x v="2"/>
    <x v="10"/>
    <s v="Austin"/>
    <s v="Consumer"/>
    <x v="3"/>
    <x v="2"/>
    <x v="4"/>
    <x v="191"/>
    <n v="797.8"/>
    <n v="886.22"/>
    <s v="High"/>
    <n v="0.23599999999999999"/>
    <n v="36"/>
    <n v="24374.594880000001"/>
    <n v="28720.799999999999"/>
    <n v="-4346.2051199999987"/>
    <n v="-0.17830881462428633"/>
  </r>
  <r>
    <s v="ORD-2023-925146"/>
    <x v="175"/>
    <s v="Q4-2023"/>
    <d v="2023-11-13T00:00:00"/>
    <n v="29"/>
    <x v="1"/>
    <x v="9"/>
    <s v="Shenzhen"/>
    <s v="Non-Profit"/>
    <x v="3"/>
    <x v="1"/>
    <x v="1"/>
    <x v="192"/>
    <n v="986.44"/>
    <n v="790.61"/>
    <s v="High"/>
    <n v="7.1999999999999995E-2"/>
    <n v="6"/>
    <n v="4402.1164799999997"/>
    <n v="5918.64"/>
    <n v="-1516.5235200000006"/>
    <n v="-0.34449872621271499"/>
  </r>
  <r>
    <s v="ORD-2023-177794"/>
    <x v="176"/>
    <s v="Q2-2023"/>
    <d v="2023-05-26T00:00:00"/>
    <n v="22"/>
    <x v="2"/>
    <x v="10"/>
    <s v="San Francisco"/>
    <s v="Enterprise"/>
    <x v="1"/>
    <x v="1"/>
    <x v="2"/>
    <x v="193"/>
    <n v="249.71"/>
    <n v="361.33"/>
    <s v="High"/>
    <n v="9.4E-2"/>
    <n v="12"/>
    <n v="3928.3797600000003"/>
    <n v="2996.52"/>
    <n v="931.85976000000028"/>
    <n v="0.23721223937881206"/>
  </r>
  <r>
    <s v="ORD-2024-444710"/>
    <x v="177"/>
    <s v="Q3-2024"/>
    <d v="2024-10-01T00:00:00"/>
    <n v="9"/>
    <x v="2"/>
    <x v="5"/>
    <s v="São Paulo"/>
    <s v="Non-Profit"/>
    <x v="1"/>
    <x v="11"/>
    <x v="5"/>
    <x v="194"/>
    <n v="1378.8"/>
    <n v="1952.04"/>
    <s v="High"/>
    <n v="0.159"/>
    <n v="19"/>
    <n v="31191.64716"/>
    <n v="26197.200000000001"/>
    <n v="4994.4471599999997"/>
    <n v="0.16012130216723058"/>
  </r>
  <r>
    <s v="ORD-2024-668926"/>
    <x v="1"/>
    <s v="Q4-2024"/>
    <d v="2024-11-14T00:00:00"/>
    <n v="22"/>
    <x v="1"/>
    <x v="2"/>
    <s v="Osaka"/>
    <s v="Non-Profit"/>
    <x v="4"/>
    <x v="5"/>
    <x v="3"/>
    <x v="195"/>
    <n v="1406.4"/>
    <n v="1564.76"/>
    <s v="High"/>
    <n v="0.185"/>
    <n v="17"/>
    <n v="21679.749799999998"/>
    <n v="23908.800000000003"/>
    <n v="-2229.0502000000051"/>
    <n v="-0.10281715520536151"/>
  </r>
  <r>
    <s v="ORD-2024-968374"/>
    <x v="178"/>
    <s v="Q1-2024"/>
    <d v="2024-03-03T00:00:00"/>
    <n v="21"/>
    <x v="0"/>
    <x v="0"/>
    <s v="Kisumu"/>
    <s v="Enterprise"/>
    <x v="1"/>
    <x v="5"/>
    <x v="3"/>
    <x v="196"/>
    <n v="516.86"/>
    <n v="852.54"/>
    <s v="High"/>
    <n v="5.0999999999999997E-2"/>
    <n v="14"/>
    <n v="11326.846439999999"/>
    <n v="7236.04"/>
    <n v="4090.8064399999994"/>
    <n v="0.36116022775355994"/>
  </r>
  <r>
    <s v="ORD-2023-575584"/>
    <x v="179"/>
    <s v="Q1-2023"/>
    <d v="2023-02-21T00:00:00"/>
    <n v="22"/>
    <x v="3"/>
    <x v="6"/>
    <s v="Munich"/>
    <s v="Small Business"/>
    <x v="2"/>
    <x v="3"/>
    <x v="2"/>
    <x v="197"/>
    <n v="1142.8800000000001"/>
    <n v="1465.29"/>
    <s v="High"/>
    <n v="0.186"/>
    <n v="7"/>
    <n v="8349.2224200000001"/>
    <n v="8000.1600000000008"/>
    <n v="349.06241999999929"/>
    <n v="4.1807775915017401E-2"/>
  </r>
  <r>
    <s v="ORD-2023-701153"/>
    <x v="27"/>
    <s v="Q2-2023"/>
    <d v="2023-05-13T00:00:00"/>
    <n v="29"/>
    <x v="3"/>
    <x v="6"/>
    <s v="Frankfurt"/>
    <s v="Consumer"/>
    <x v="4"/>
    <x v="1"/>
    <x v="1"/>
    <x v="198"/>
    <n v="1320.33"/>
    <n v="2645.23"/>
    <s v="High"/>
    <n v="0.155"/>
    <n v="25"/>
    <n v="55880.483749999999"/>
    <n v="33008.25"/>
    <n v="22872.233749999999"/>
    <n v="0.40930629470436536"/>
  </r>
  <r>
    <s v="ORD-2023-382017"/>
    <x v="180"/>
    <s v="Q1-2023"/>
    <d v="2023-01-19T00:00:00"/>
    <n v="6"/>
    <x v="2"/>
    <x v="10"/>
    <s v="Chicago"/>
    <s v="Corporate"/>
    <x v="4"/>
    <x v="10"/>
    <x v="3"/>
    <x v="199"/>
    <n v="833.57"/>
    <n v="881.57"/>
    <s v="High"/>
    <n v="5.7000000000000002E-2"/>
    <n v="18"/>
    <n v="14963.769179999999"/>
    <n v="15004.26"/>
    <n v="-40.490820000000895"/>
    <n v="-2.7059238560107821E-3"/>
  </r>
  <r>
    <s v="ORD-2024-999607"/>
    <x v="181"/>
    <s v="Q1-2024"/>
    <d v="2024-01-29T00:00:00"/>
    <n v="17"/>
    <x v="2"/>
    <x v="10"/>
    <s v="Chicago"/>
    <s v="Education"/>
    <x v="3"/>
    <x v="8"/>
    <x v="1"/>
    <x v="200"/>
    <n v="493.76"/>
    <n v="625.04"/>
    <s v="High"/>
    <n v="0.25800000000000001"/>
    <n v="10"/>
    <n v="4637.7968000000001"/>
    <n v="4937.6000000000004"/>
    <n v="-299.80320000000029"/>
    <n v="-6.464345311549663E-2"/>
  </r>
  <r>
    <s v="ORD-2023-133848"/>
    <x v="182"/>
    <s v="Q3-2023"/>
    <d v="2023-09-07T00:00:00"/>
    <n v="23"/>
    <x v="2"/>
    <x v="10"/>
    <s v="New York"/>
    <s v="Enterprise"/>
    <x v="1"/>
    <x v="11"/>
    <x v="3"/>
    <x v="201"/>
    <n v="590.33000000000004"/>
    <n v="973.04"/>
    <s v="High"/>
    <n v="0"/>
    <n v="26"/>
    <n v="25299.040000000001"/>
    <n v="15348.580000000002"/>
    <n v="9950.4599999999991"/>
    <n v="0.39331373838691108"/>
  </r>
  <r>
    <s v="ORD-2023-586275"/>
    <x v="183"/>
    <s v="Q1-2023"/>
    <d v="2023-02-03T00:00:00"/>
    <n v="14"/>
    <x v="0"/>
    <x v="0"/>
    <s v="Kisumu"/>
    <s v="Corporate"/>
    <x v="0"/>
    <x v="12"/>
    <x v="2"/>
    <x v="202"/>
    <n v="884.36"/>
    <n v="1545.34"/>
    <s v="High"/>
    <n v="0.24299999999999999"/>
    <n v="41"/>
    <n v="47962.717579999997"/>
    <n v="36258.76"/>
    <n v="11703.957579999995"/>
    <n v="0.24402198562827965"/>
  </r>
  <r>
    <s v="ORD-2025-964661"/>
    <x v="184"/>
    <s v="Q1-2025"/>
    <d v="2025-02-25T00:00:00"/>
    <n v="21"/>
    <x v="3"/>
    <x v="8"/>
    <s v="Birmingham"/>
    <s v="Corporate"/>
    <x v="2"/>
    <x v="14"/>
    <x v="5"/>
    <x v="203"/>
    <n v="1016.32"/>
    <n v="2253.42"/>
    <s v="High"/>
    <n v="5.5E-2"/>
    <n v="12"/>
    <n v="25553.782800000001"/>
    <n v="12195.84"/>
    <n v="13357.942800000001"/>
    <n v="0.52273837124419797"/>
  </r>
  <r>
    <s v="ORD-2023-390998"/>
    <x v="43"/>
    <s v="Q2-2023"/>
    <d v="2023-04-28T00:00:00"/>
    <n v="9"/>
    <x v="3"/>
    <x v="6"/>
    <s v="Berlin"/>
    <s v="Education"/>
    <x v="1"/>
    <x v="6"/>
    <x v="5"/>
    <x v="204"/>
    <n v="1178.42"/>
    <n v="2446.56"/>
    <s v="High"/>
    <n v="2.9000000000000001E-2"/>
    <n v="11"/>
    <n v="26131.70736"/>
    <n v="12962.62"/>
    <n v="13169.08736"/>
    <n v="0.5039505141618883"/>
  </r>
  <r>
    <s v="ORD-2023-920483"/>
    <x v="185"/>
    <s v="Q3-2023"/>
    <d v="2023-08-01T00:00:00"/>
    <n v="30"/>
    <x v="3"/>
    <x v="8"/>
    <s v="Birmingham"/>
    <s v="Small Business"/>
    <x v="0"/>
    <x v="5"/>
    <x v="0"/>
    <x v="205"/>
    <n v="137.46"/>
    <n v="188.3"/>
    <s v="High"/>
    <n v="3.7999999999999999E-2"/>
    <n v="37"/>
    <n v="6702.3501999999999"/>
    <n v="5086.0200000000004"/>
    <n v="1616.3301999999994"/>
    <n v="0.24115872071262398"/>
  </r>
  <r>
    <s v="ORD-2025-146850"/>
    <x v="51"/>
    <s v="Q1-2025"/>
    <d v="2025-02-14T00:00:00"/>
    <n v="24"/>
    <x v="0"/>
    <x v="0"/>
    <s v="Nairobi"/>
    <s v="Small Business"/>
    <x v="0"/>
    <x v="1"/>
    <x v="6"/>
    <x v="206"/>
    <n v="1030.44"/>
    <n v="2562.84"/>
    <s v="High"/>
    <n v="0.14799999999999999"/>
    <n v="13"/>
    <n v="28386.015839999996"/>
    <n v="13395.720000000001"/>
    <n v="14990.295839999995"/>
    <n v="0.52808734852027039"/>
  </r>
  <r>
    <s v="ORD-2024-687100"/>
    <x v="186"/>
    <s v="Q3-2024"/>
    <d v="2024-10-07T00:00:00"/>
    <n v="27"/>
    <x v="0"/>
    <x v="0"/>
    <s v="Kisumu"/>
    <s v="Consumer"/>
    <x v="0"/>
    <x v="4"/>
    <x v="1"/>
    <x v="207"/>
    <n v="1248.3900000000001"/>
    <n v="1805.11"/>
    <s v="High"/>
    <n v="0.20300000000000001"/>
    <n v="11"/>
    <n v="15825.399369999997"/>
    <n v="13732.29"/>
    <n v="2093.1093699999965"/>
    <n v="0.13226265707820786"/>
  </r>
  <r>
    <s v="ORD-2025-629393"/>
    <x v="187"/>
    <s v="Q3-2025"/>
    <d v="2025-08-07T00:00:00"/>
    <n v="17"/>
    <x v="0"/>
    <x v="1"/>
    <s v="Lagos"/>
    <s v="Enterprise"/>
    <x v="4"/>
    <x v="12"/>
    <x v="6"/>
    <x v="208"/>
    <n v="1204.95"/>
    <n v="2065.73"/>
    <s v="High"/>
    <n v="0.13600000000000001"/>
    <n v="10"/>
    <n v="17847.907199999998"/>
    <n v="12049.5"/>
    <n v="5798.4071999999978"/>
    <n v="0.32487882949100039"/>
  </r>
  <r>
    <s v="ORD-2024-686712"/>
    <x v="188"/>
    <s v="Q4-2024"/>
    <d v="2024-10-23T00:00:00"/>
    <n v="21"/>
    <x v="0"/>
    <x v="11"/>
    <s v="Durban"/>
    <s v="Corporate"/>
    <x v="2"/>
    <x v="8"/>
    <x v="0"/>
    <x v="209"/>
    <n v="1095.6099999999999"/>
    <n v="2366.5100000000002"/>
    <s v="High"/>
    <n v="0.152"/>
    <n v="9"/>
    <n v="18061.204320000004"/>
    <n v="9860.49"/>
    <n v="8200.7143200000046"/>
    <n v="0.4540513564158607"/>
  </r>
  <r>
    <s v="ORD-2025-586799"/>
    <x v="189"/>
    <s v="Q3-2025"/>
    <d v="2025-08-04T00:00:00"/>
    <n v="21"/>
    <x v="2"/>
    <x v="3"/>
    <s v="Montreal"/>
    <s v="Consumer"/>
    <x v="1"/>
    <x v="10"/>
    <x v="5"/>
    <x v="210"/>
    <n v="90.3"/>
    <n v="131.76"/>
    <s v="High"/>
    <n v="0.10199999999999999"/>
    <n v="15"/>
    <n v="1774.8072"/>
    <n v="1354.5"/>
    <n v="420.30719999999997"/>
    <n v="0.23681851189244668"/>
  </r>
  <r>
    <s v="ORD-2024-988736"/>
    <x v="190"/>
    <s v="Q3-2024"/>
    <d v="2024-10-01T00:00:00"/>
    <n v="22"/>
    <x v="1"/>
    <x v="9"/>
    <s v="Shenzhen"/>
    <s v="Consumer"/>
    <x v="4"/>
    <x v="4"/>
    <x v="1"/>
    <x v="211"/>
    <n v="1166.18"/>
    <n v="1335.02"/>
    <s v="High"/>
    <n v="0.128"/>
    <n v="6"/>
    <n v="6984.8246399999998"/>
    <n v="6997.08"/>
    <n v="-12.25536000000011"/>
    <n v="-1.7545694604582242E-3"/>
  </r>
  <r>
    <s v="ORD-2025-564184"/>
    <x v="191"/>
    <s v="Q1-2025"/>
    <d v="2025-02-06T00:00:00"/>
    <n v="8"/>
    <x v="0"/>
    <x v="0"/>
    <s v="Kisumu"/>
    <s v="Education"/>
    <x v="0"/>
    <x v="5"/>
    <x v="3"/>
    <x v="212"/>
    <n v="1445.27"/>
    <n v="2691.45"/>
    <s v="High"/>
    <n v="0"/>
    <n v="9"/>
    <n v="24223.05"/>
    <n v="13007.43"/>
    <n v="11215.619999999999"/>
    <n v="0.46301436028906351"/>
  </r>
  <r>
    <s v="ORD-2023-653343"/>
    <x v="192"/>
    <s v="Q4-2023"/>
    <d v="2023-11-28T00:00:00"/>
    <n v="18"/>
    <x v="2"/>
    <x v="5"/>
    <s v="Brasília"/>
    <s v="Education"/>
    <x v="2"/>
    <x v="4"/>
    <x v="6"/>
    <x v="213"/>
    <n v="388.51"/>
    <n v="776.46"/>
    <s v="High"/>
    <n v="0.157"/>
    <n v="12"/>
    <n v="7854.6693599999999"/>
    <n v="4662.12"/>
    <n v="3192.54936"/>
    <n v="0.40645241876864946"/>
  </r>
  <r>
    <s v="ORD-2024-197852"/>
    <x v="193"/>
    <s v="Q1-2024"/>
    <d v="2024-03-30T00:00:00"/>
    <n v="30"/>
    <x v="1"/>
    <x v="2"/>
    <s v="Nagoya"/>
    <s v="Small Business"/>
    <x v="4"/>
    <x v="2"/>
    <x v="2"/>
    <x v="214"/>
    <n v="231.11"/>
    <n v="318.17"/>
    <s v="High"/>
    <n v="0.20100000000000001"/>
    <n v="60"/>
    <n v="15253.069799999999"/>
    <n v="13866.6"/>
    <n v="1386.4697999999989"/>
    <n v="9.0897754889969692E-2"/>
  </r>
  <r>
    <s v="ORD-2023-431328"/>
    <x v="194"/>
    <s v="Q4-2023"/>
    <d v="2024-01-14T00:00:00"/>
    <n v="25"/>
    <x v="1"/>
    <x v="4"/>
    <s v="Mumbai"/>
    <s v="Non-Profit"/>
    <x v="2"/>
    <x v="4"/>
    <x v="5"/>
    <x v="215"/>
    <n v="1085.6099999999999"/>
    <n v="1246.4100000000001"/>
    <s v="High"/>
    <n v="0.113"/>
    <n v="7"/>
    <n v="7738.9596900000006"/>
    <n v="7599.2699999999995"/>
    <n v="139.68969000000106"/>
    <n v="1.8050189637310417E-2"/>
  </r>
  <r>
    <s v="ORD-2023-613317"/>
    <x v="119"/>
    <s v="Q1-2023"/>
    <d v="2023-01-29T00:00:00"/>
    <n v="7"/>
    <x v="3"/>
    <x v="6"/>
    <s v="Munich"/>
    <s v="Corporate"/>
    <x v="4"/>
    <x v="9"/>
    <x v="5"/>
    <x v="216"/>
    <n v="150.86000000000001"/>
    <n v="346.96"/>
    <s v="High"/>
    <n v="0.19600000000000001"/>
    <n v="8"/>
    <n v="2231.6467200000002"/>
    <n v="1206.8800000000001"/>
    <n v="1024.7667200000001"/>
    <n v="0.45919755614365343"/>
  </r>
  <r>
    <s v="ORD-2024-720756"/>
    <x v="195"/>
    <s v="Q4-2024"/>
    <d v="2024-11-09T00:00:00"/>
    <n v="29"/>
    <x v="1"/>
    <x v="9"/>
    <s v="Shanghai"/>
    <s v="Non-Profit"/>
    <x v="1"/>
    <x v="9"/>
    <x v="1"/>
    <x v="217"/>
    <n v="391.64"/>
    <n v="504.76"/>
    <s v="High"/>
    <n v="4.0000000000000001E-3"/>
    <n v="13"/>
    <n v="6535.6324800000002"/>
    <n v="5091.32"/>
    <n v="1444.3124800000005"/>
    <n v="0.22099046793402319"/>
  </r>
  <r>
    <s v="ORD-2024-777623"/>
    <x v="196"/>
    <s v="Q3-2024"/>
    <d v="2024-10-14T00:00:00"/>
    <n v="25"/>
    <x v="2"/>
    <x v="5"/>
    <s v="Rio de Janeiro"/>
    <s v="Small Business"/>
    <x v="0"/>
    <x v="11"/>
    <x v="1"/>
    <x v="218"/>
    <n v="386.96"/>
    <n v="937.46"/>
    <s v="High"/>
    <n v="0.26600000000000001"/>
    <n v="41"/>
    <n v="28211.92124"/>
    <n v="15865.359999999999"/>
    <n v="12346.561240000001"/>
    <n v="0.43763631462626335"/>
  </r>
  <r>
    <s v="ORD-2025-762212"/>
    <x v="197"/>
    <s v="Q3-2025"/>
    <d v="2025-09-24T00:00:00"/>
    <n v="30"/>
    <x v="0"/>
    <x v="0"/>
    <s v="Nairobi"/>
    <s v="Consumer"/>
    <x v="4"/>
    <x v="5"/>
    <x v="0"/>
    <x v="219"/>
    <n v="589.14"/>
    <n v="1300.58"/>
    <s v="High"/>
    <n v="5.5E-2"/>
    <n v="11"/>
    <n v="13519.529099999998"/>
    <n v="6480.54"/>
    <n v="7038.989099999998"/>
    <n v="0.52065342275863724"/>
  </r>
  <r>
    <s v="ORD-2023-271918"/>
    <x v="198"/>
    <s v="Q3-2023"/>
    <d v="2023-10-02T00:00:00"/>
    <n v="7"/>
    <x v="2"/>
    <x v="10"/>
    <s v="New York"/>
    <s v="Education"/>
    <x v="2"/>
    <x v="2"/>
    <x v="6"/>
    <x v="220"/>
    <n v="145.58000000000001"/>
    <n v="228.15"/>
    <s v="High"/>
    <n v="0.20399999999999999"/>
    <n v="5"/>
    <n v="908.03700000000003"/>
    <n v="727.90000000000009"/>
    <n v="180.13699999999994"/>
    <n v="0.19838068272548359"/>
  </r>
  <r>
    <s v="ORD-2023-713375"/>
    <x v="199"/>
    <s v="Q3-2023"/>
    <d v="2023-09-10T00:00:00"/>
    <n v="15"/>
    <x v="0"/>
    <x v="11"/>
    <s v="Cape Town"/>
    <s v="Non-Profit"/>
    <x v="4"/>
    <x v="13"/>
    <x v="0"/>
    <x v="221"/>
    <n v="241.14"/>
    <n v="496.52"/>
    <s v="High"/>
    <n v="9.2999999999999999E-2"/>
    <n v="10"/>
    <n v="4503.4363999999996"/>
    <n v="2411.3999999999996"/>
    <n v="2092.0364"/>
    <n v="0.46454223268257994"/>
  </r>
  <r>
    <s v="ORD-2025-678688"/>
    <x v="200"/>
    <s v="Q3-2025"/>
    <d v="2025-07-17T00:00:00"/>
    <n v="1"/>
    <x v="0"/>
    <x v="11"/>
    <s v="Durban"/>
    <s v="Small Business"/>
    <x v="3"/>
    <x v="5"/>
    <x v="2"/>
    <x v="222"/>
    <n v="1198.9000000000001"/>
    <n v="2941.2"/>
    <s v="High"/>
    <n v="5.0999999999999997E-2"/>
    <n v="24"/>
    <n v="66988.771199999988"/>
    <n v="28773.600000000002"/>
    <n v="38215.171199999982"/>
    <n v="0.57047129713583977"/>
  </r>
  <r>
    <s v="ORD-2023-501220"/>
    <x v="43"/>
    <s v="Q2-2023"/>
    <d v="2023-05-07T00:00:00"/>
    <n v="18"/>
    <x v="3"/>
    <x v="8"/>
    <s v="Birmingham"/>
    <s v="Enterprise"/>
    <x v="0"/>
    <x v="13"/>
    <x v="4"/>
    <x v="223"/>
    <n v="1089.1500000000001"/>
    <n v="1088.2"/>
    <s v="High"/>
    <n v="5.0999999999999997E-2"/>
    <n v="15"/>
    <n v="15490.527"/>
    <n v="16337.250000000002"/>
    <n v="-846.72300000000178"/>
    <n v="-5.4660696824582002E-2"/>
  </r>
  <r>
    <s v="ORD-2023-195665"/>
    <x v="201"/>
    <s v="Q4-2023"/>
    <d v="2023-12-20T00:00:00"/>
    <n v="1"/>
    <x v="2"/>
    <x v="5"/>
    <s v="Rio de Janeiro"/>
    <s v="Consumer"/>
    <x v="3"/>
    <x v="1"/>
    <x v="3"/>
    <x v="224"/>
    <n v="1080.43"/>
    <n v="2529.15"/>
    <s v="High"/>
    <n v="0.14699999999999999"/>
    <n v="10"/>
    <n v="21573.6495"/>
    <n v="10804.300000000001"/>
    <n v="10769.349499999998"/>
    <n v="0.49918997247081437"/>
  </r>
  <r>
    <s v="ORD-2023-290237"/>
    <x v="202"/>
    <s v="Q3-2023"/>
    <d v="2023-08-07T00:00:00"/>
    <n v="8"/>
    <x v="1"/>
    <x v="2"/>
    <s v="Nagoya"/>
    <s v="Education"/>
    <x v="2"/>
    <x v="8"/>
    <x v="2"/>
    <x v="225"/>
    <n v="1352.44"/>
    <n v="2698.01"/>
    <s v="High"/>
    <n v="0.13100000000000001"/>
    <n v="13"/>
    <n v="30479.418970000002"/>
    <n v="17581.72"/>
    <n v="12897.698970000001"/>
    <n v="0.42316091992090887"/>
  </r>
  <r>
    <s v="ORD-2023-302041"/>
    <x v="203"/>
    <s v="Q4-2023"/>
    <d v="2023-10-29T00:00:00"/>
    <n v="25"/>
    <x v="2"/>
    <x v="10"/>
    <s v="San Francisco"/>
    <s v="Small Business"/>
    <x v="3"/>
    <x v="7"/>
    <x v="6"/>
    <x v="226"/>
    <n v="1239.8399999999999"/>
    <n v="1482.75"/>
    <s v="High"/>
    <n v="6.7000000000000004E-2"/>
    <n v="4"/>
    <n v="5533.6230000000005"/>
    <n v="4959.3599999999997"/>
    <n v="574.26300000000083"/>
    <n v="0.10377703721413634"/>
  </r>
  <r>
    <s v="ORD-2025-289139"/>
    <x v="204"/>
    <s v="Q3-2025"/>
    <d v="2025-08-30T00:00:00"/>
    <n v="20"/>
    <x v="2"/>
    <x v="10"/>
    <s v="San Francisco"/>
    <s v="Corporate"/>
    <x v="2"/>
    <x v="11"/>
    <x v="1"/>
    <x v="227"/>
    <n v="933.29"/>
    <n v="1456.81"/>
    <s v="High"/>
    <n v="0.123"/>
    <n v="13"/>
    <n v="16609.090809999998"/>
    <n v="12132.77"/>
    <n v="4476.3208099999974"/>
    <n v="0.26951028573489977"/>
  </r>
  <r>
    <s v="ORD-2023-949710"/>
    <x v="205"/>
    <s v="Q1-2023"/>
    <d v="2023-04-01T00:00:00"/>
    <n v="25"/>
    <x v="0"/>
    <x v="0"/>
    <s v="Nairobi"/>
    <s v="Consumer"/>
    <x v="2"/>
    <x v="14"/>
    <x v="1"/>
    <x v="228"/>
    <n v="1024.0999999999999"/>
    <n v="918.19"/>
    <s v="High"/>
    <n v="0.189"/>
    <n v="10"/>
    <n v="7446.5209000000004"/>
    <n v="10241"/>
    <n v="-2794.4790999999996"/>
    <n v="-0.37527311579827827"/>
  </r>
  <r>
    <s v="ORD-2023-603650"/>
    <x v="206"/>
    <s v="Q2-2023"/>
    <d v="2023-06-10T00:00:00"/>
    <n v="18"/>
    <x v="1"/>
    <x v="9"/>
    <s v="Shanghai"/>
    <s v="Corporate"/>
    <x v="3"/>
    <x v="6"/>
    <x v="0"/>
    <x v="229"/>
    <n v="54.62"/>
    <n v="48.94"/>
    <s v="High"/>
    <n v="0.14799999999999999"/>
    <n v="16"/>
    <n v="667.15008"/>
    <n v="873.92"/>
    <n v="-206.76991999999996"/>
    <n v="-0.3099301434543783"/>
  </r>
  <r>
    <s v="ORD-2025-757957"/>
    <x v="207"/>
    <s v="Q2-2025"/>
    <d v="2025-05-06T00:00:00"/>
    <n v="12"/>
    <x v="2"/>
    <x v="5"/>
    <s v="Brasília"/>
    <s v="Consumer"/>
    <x v="1"/>
    <x v="0"/>
    <x v="3"/>
    <x v="230"/>
    <n v="394.13"/>
    <n v="932.29"/>
    <s v="High"/>
    <n v="0.109"/>
    <n v="7"/>
    <n v="5814.6927299999998"/>
    <n v="2758.91"/>
    <n v="3055.7827299999999"/>
    <n v="0.5255278089303268"/>
  </r>
  <r>
    <s v="ORD-2024-423853"/>
    <x v="208"/>
    <s v="Q3-2024"/>
    <d v="2024-09-08T00:00:00"/>
    <n v="5"/>
    <x v="0"/>
    <x v="1"/>
    <s v="Lagos"/>
    <s v="Small Business"/>
    <x v="4"/>
    <x v="11"/>
    <x v="1"/>
    <x v="231"/>
    <n v="197.63"/>
    <n v="325.79000000000002"/>
    <s v="High"/>
    <n v="0.11600000000000001"/>
    <n v="10"/>
    <n v="2879.9836"/>
    <n v="1976.3"/>
    <n v="903.68360000000007"/>
    <n v="0.31378081458519419"/>
  </r>
  <r>
    <s v="ORD-2024-569164"/>
    <x v="209"/>
    <s v="Q3-2024"/>
    <d v="2024-09-25T00:00:00"/>
    <n v="20"/>
    <x v="1"/>
    <x v="2"/>
    <s v="Osaka"/>
    <s v="Enterprise"/>
    <x v="3"/>
    <x v="14"/>
    <x v="5"/>
    <x v="232"/>
    <n v="195.54"/>
    <n v="405.97"/>
    <s v="High"/>
    <n v="0.187"/>
    <n v="16"/>
    <n v="5280.8577599999999"/>
    <n v="3128.64"/>
    <n v="2152.21776"/>
    <n v="0.40755079152141377"/>
  </r>
  <r>
    <s v="ORD-2023-946143"/>
    <x v="210"/>
    <s v="Q1-2023"/>
    <d v="2023-03-30T00:00:00"/>
    <n v="16"/>
    <x v="0"/>
    <x v="11"/>
    <s v="Cape Town"/>
    <s v="Consumer"/>
    <x v="3"/>
    <x v="11"/>
    <x v="0"/>
    <x v="233"/>
    <n v="1309.77"/>
    <n v="1589.07"/>
    <s v="High"/>
    <n v="0.10199999999999999"/>
    <n v="10"/>
    <n v="14269.848599999999"/>
    <n v="13097.7"/>
    <n v="1172.1485999999986"/>
    <n v="8.2141628328137886E-2"/>
  </r>
  <r>
    <s v="ORD-2024-281211"/>
    <x v="39"/>
    <s v="Q1-2024"/>
    <d v="2024-02-02T00:00:00"/>
    <n v="22"/>
    <x v="1"/>
    <x v="2"/>
    <s v="Nagoya"/>
    <s v="Small Business"/>
    <x v="1"/>
    <x v="15"/>
    <x v="1"/>
    <x v="234"/>
    <n v="1237.68"/>
    <n v="1432.8"/>
    <s v="High"/>
    <n v="6.8000000000000005E-2"/>
    <n v="13"/>
    <n v="17359.804799999998"/>
    <n v="16089.84"/>
    <n v="1269.9647999999979"/>
    <n v="7.315547695559331E-2"/>
  </r>
  <r>
    <s v="ORD-2024-805860"/>
    <x v="211"/>
    <s v="Q3-2024"/>
    <d v="2024-10-02T00:00:00"/>
    <n v="19"/>
    <x v="0"/>
    <x v="0"/>
    <s v="Mombasa"/>
    <s v="Small Business"/>
    <x v="0"/>
    <x v="12"/>
    <x v="3"/>
    <x v="235"/>
    <n v="1338.99"/>
    <n v="1765.76"/>
    <s v="High"/>
    <n v="0.126"/>
    <n v="24"/>
    <n v="37038.581760000001"/>
    <n v="32135.760000000002"/>
    <n v="4902.8217599999989"/>
    <n v="0.1323706666677725"/>
  </r>
  <r>
    <s v="ORD-2025-132174"/>
    <x v="212"/>
    <s v="Q3-2025"/>
    <d v="2025-07-23T00:00:00"/>
    <n v="6"/>
    <x v="2"/>
    <x v="3"/>
    <s v="Vancouver"/>
    <s v="Consumer"/>
    <x v="1"/>
    <x v="10"/>
    <x v="0"/>
    <x v="236"/>
    <n v="1364.89"/>
    <n v="2757.54"/>
    <s v="High"/>
    <n v="0.17199999999999999"/>
    <n v="61"/>
    <n v="139277.83032000001"/>
    <n v="83258.290000000008"/>
    <n v="56019.54032"/>
    <n v="0.4022143379983118"/>
  </r>
  <r>
    <s v="ORD-2023-964434"/>
    <x v="213"/>
    <s v="Q4-2023"/>
    <d v="2023-12-07T00:00:00"/>
    <n v="9"/>
    <x v="1"/>
    <x v="4"/>
    <s v="Delhi"/>
    <s v="Enterprise"/>
    <x v="2"/>
    <x v="4"/>
    <x v="3"/>
    <x v="237"/>
    <n v="699.33"/>
    <n v="873.75"/>
    <s v="High"/>
    <n v="0.23499999999999999"/>
    <n v="10"/>
    <n v="6684.1875"/>
    <n v="6993.3"/>
    <n v="-309.11250000000018"/>
    <n v="-4.6245336475076469E-2"/>
  </r>
  <r>
    <s v="ORD-2024-897622"/>
    <x v="214"/>
    <s v="Q1-2024"/>
    <d v="2024-04-24T00:00:00"/>
    <n v="25"/>
    <x v="2"/>
    <x v="10"/>
    <s v="Austin"/>
    <s v="Non-Profit"/>
    <x v="1"/>
    <x v="3"/>
    <x v="4"/>
    <x v="238"/>
    <n v="160.82"/>
    <n v="258.52"/>
    <s v="High"/>
    <n v="0.13"/>
    <n v="17"/>
    <n v="3823.5108"/>
    <n v="2733.94"/>
    <n v="1089.5708"/>
    <n v="0.28496605789631874"/>
  </r>
  <r>
    <s v="ORD-2023-517216"/>
    <x v="215"/>
    <s v="Q3-2023"/>
    <d v="2023-10-08T00:00:00"/>
    <n v="19"/>
    <x v="1"/>
    <x v="4"/>
    <s v="Bengaluru"/>
    <s v="Education"/>
    <x v="4"/>
    <x v="1"/>
    <x v="1"/>
    <x v="239"/>
    <n v="385.32"/>
    <n v="606.76"/>
    <s v="High"/>
    <n v="8.5999999999999993E-2"/>
    <n v="8"/>
    <n v="4436.6291200000005"/>
    <n v="3082.56"/>
    <n v="1354.0691200000006"/>
    <n v="0.30520223425842735"/>
  </r>
  <r>
    <s v="ORD-2025-509940"/>
    <x v="216"/>
    <s v="Q2-2025"/>
    <d v="2025-05-27T00:00:00"/>
    <n v="11"/>
    <x v="1"/>
    <x v="9"/>
    <s v="Beijing"/>
    <s v="Enterprise"/>
    <x v="1"/>
    <x v="9"/>
    <x v="3"/>
    <x v="240"/>
    <n v="918.12"/>
    <n v="1337.69"/>
    <s v="High"/>
    <n v="9.5000000000000001E-2"/>
    <n v="8"/>
    <n v="9684.8756000000012"/>
    <n v="7344.96"/>
    <n v="2339.9156000000012"/>
    <n v="0.24160512707050164"/>
  </r>
  <r>
    <s v="ORD-2025-646342"/>
    <x v="217"/>
    <s v="Q3-2025"/>
    <d v="2025-08-08T00:00:00"/>
    <n v="6"/>
    <x v="1"/>
    <x v="2"/>
    <s v="Osaka"/>
    <s v="Consumer"/>
    <x v="4"/>
    <x v="13"/>
    <x v="4"/>
    <x v="241"/>
    <n v="1225.94"/>
    <n v="1793.08"/>
    <s v="High"/>
    <n v="0.13600000000000001"/>
    <n v="22"/>
    <n v="34082.864639999993"/>
    <n v="26970.68"/>
    <n v="7112.1846399999922"/>
    <n v="0.20867332353434462"/>
  </r>
  <r>
    <s v="ORD-2024-866535"/>
    <x v="218"/>
    <s v="Q4-2024"/>
    <d v="2024-12-12T00:00:00"/>
    <n v="8"/>
    <x v="3"/>
    <x v="6"/>
    <s v="Frankfurt"/>
    <s v="Enterprise"/>
    <x v="2"/>
    <x v="5"/>
    <x v="1"/>
    <x v="242"/>
    <n v="72.06"/>
    <n v="122.74"/>
    <s v="High"/>
    <n v="0.23799999999999999"/>
    <n v="8"/>
    <n v="748.22303999999997"/>
    <n v="576.48"/>
    <n v="171.74303999999995"/>
    <n v="0.22953455162246802"/>
  </r>
  <r>
    <s v="ORD-2023-747341"/>
    <x v="43"/>
    <s v="Q2-2023"/>
    <d v="2023-04-28T00:00:00"/>
    <n v="9"/>
    <x v="2"/>
    <x v="5"/>
    <s v="Rio de Janeiro"/>
    <s v="Corporate"/>
    <x v="3"/>
    <x v="12"/>
    <x v="3"/>
    <x v="243"/>
    <n v="1013.54"/>
    <n v="927.93"/>
    <s v="High"/>
    <n v="0.17499999999999999"/>
    <n v="16"/>
    <n v="12248.675999999999"/>
    <n v="16216.64"/>
    <n v="-3967.9639999999999"/>
    <n v="-0.32395044166406234"/>
  </r>
  <r>
    <s v="ORD-2024-853298"/>
    <x v="219"/>
    <s v="Q1-2024"/>
    <d v="2024-03-26T00:00:00"/>
    <n v="20"/>
    <x v="0"/>
    <x v="1"/>
    <s v="Port Harcourt"/>
    <s v="Consumer"/>
    <x v="2"/>
    <x v="2"/>
    <x v="3"/>
    <x v="244"/>
    <n v="65.64"/>
    <n v="151.88"/>
    <s v="High"/>
    <n v="0.16700000000000001"/>
    <n v="23"/>
    <n v="2909.8689199999999"/>
    <n v="1509.72"/>
    <n v="1400.1489199999999"/>
    <n v="0.48117250587356353"/>
  </r>
  <r>
    <s v="ORD-2024-544865"/>
    <x v="220"/>
    <s v="Q1-2024"/>
    <d v="2024-03-04T00:00:00"/>
    <n v="17"/>
    <x v="2"/>
    <x v="3"/>
    <s v="Montreal"/>
    <s v="Non-Profit"/>
    <x v="0"/>
    <x v="14"/>
    <x v="4"/>
    <x v="245"/>
    <n v="1350.98"/>
    <n v="2210.4"/>
    <s v="High"/>
    <n v="0.26300000000000001"/>
    <n v="6"/>
    <n v="9774.3888000000006"/>
    <n v="8105.88"/>
    <n v="1668.5088000000005"/>
    <n v="0.17070211080615091"/>
  </r>
  <r>
    <s v="ORD-2025-946490"/>
    <x v="221"/>
    <s v="Q2-2025"/>
    <d v="2025-05-02T00:00:00"/>
    <n v="10"/>
    <x v="3"/>
    <x v="6"/>
    <s v="Berlin"/>
    <s v="Corporate"/>
    <x v="2"/>
    <x v="0"/>
    <x v="5"/>
    <x v="246"/>
    <n v="20.149999999999999"/>
    <n v="39.74"/>
    <s v="High"/>
    <n v="0.151"/>
    <n v="18"/>
    <n v="607.30668000000003"/>
    <n v="362.7"/>
    <n v="244.60668000000004"/>
    <n v="0.4027729120318585"/>
  </r>
  <r>
    <s v="ORD-2024-320972"/>
    <x v="222"/>
    <s v="Q4-2024"/>
    <d v="2024-11-08T00:00:00"/>
    <n v="0"/>
    <x v="0"/>
    <x v="0"/>
    <s v="Nakuru"/>
    <s v="Enterprise"/>
    <x v="2"/>
    <x v="12"/>
    <x v="2"/>
    <x v="247"/>
    <n v="803.28"/>
    <n v="1009"/>
    <s v="High"/>
    <n v="0.11"/>
    <n v="4"/>
    <n v="3592.04"/>
    <n v="3213.12"/>
    <n v="378.92000000000007"/>
    <n v="0.10548880302001093"/>
  </r>
  <r>
    <s v="ORD-2025-248586"/>
    <x v="223"/>
    <s v="Q3-2025"/>
    <d v="2025-09-30T00:00:00"/>
    <n v="18"/>
    <x v="1"/>
    <x v="2"/>
    <s v="Nagoya"/>
    <s v="Non-Profit"/>
    <x v="2"/>
    <x v="9"/>
    <x v="5"/>
    <x v="248"/>
    <n v="1212.99"/>
    <n v="1653.64"/>
    <s v="High"/>
    <n v="0.107"/>
    <n v="8"/>
    <n v="11813.604160000001"/>
    <n v="9703.92"/>
    <n v="2109.6841600000007"/>
    <n v="0.17858090819931455"/>
  </r>
  <r>
    <s v="ORD-2024-664046"/>
    <x v="224"/>
    <s v="Q3-2024"/>
    <d v="2024-09-08T00:00:00"/>
    <n v="6"/>
    <x v="2"/>
    <x v="10"/>
    <s v="Austin"/>
    <s v="Consumer"/>
    <x v="4"/>
    <x v="10"/>
    <x v="0"/>
    <x v="249"/>
    <n v="462.94"/>
    <n v="1015.7"/>
    <s v="High"/>
    <n v="0.14299999999999999"/>
    <n v="14"/>
    <n v="12186.368600000002"/>
    <n v="6481.16"/>
    <n v="5705.2086000000018"/>
    <n v="0.46816314090483041"/>
  </r>
  <r>
    <s v="ORD-2023-276806"/>
    <x v="225"/>
    <s v="Q1-2023"/>
    <d v="2023-03-24T00:00:00"/>
    <n v="20"/>
    <x v="2"/>
    <x v="3"/>
    <s v="Montreal"/>
    <s v="Consumer"/>
    <x v="3"/>
    <x v="2"/>
    <x v="4"/>
    <x v="250"/>
    <n v="481.71"/>
    <n v="912.45"/>
    <s v="High"/>
    <n v="0.20300000000000001"/>
    <n v="24"/>
    <n v="17453.3436"/>
    <n v="11561.039999999999"/>
    <n v="5892.3036000000011"/>
    <n v="0.33760313983619739"/>
  </r>
  <r>
    <s v="ORD-2024-220234"/>
    <x v="226"/>
    <s v="Q1-2024"/>
    <d v="2024-04-09T00:00:00"/>
    <n v="25"/>
    <x v="2"/>
    <x v="3"/>
    <s v="Vancouver"/>
    <s v="Consumer"/>
    <x v="1"/>
    <x v="9"/>
    <x v="5"/>
    <x v="251"/>
    <n v="648.64"/>
    <n v="815.19"/>
    <s v="High"/>
    <n v="0.22500000000000001"/>
    <n v="28"/>
    <n v="17689.623"/>
    <n v="18161.919999999998"/>
    <n v="-472.29699999999866"/>
    <n v="-2.6699099240272032E-2"/>
  </r>
  <r>
    <s v="ORD-2024-301260"/>
    <x v="227"/>
    <s v="Q3-2024"/>
    <d v="2024-07-31T00:00:00"/>
    <n v="2"/>
    <x v="2"/>
    <x v="10"/>
    <s v="New York"/>
    <s v="Education"/>
    <x v="2"/>
    <x v="2"/>
    <x v="1"/>
    <x v="252"/>
    <n v="798.97"/>
    <n v="1814.06"/>
    <s v="High"/>
    <n v="0.122"/>
    <n v="16"/>
    <n v="25483.91488"/>
    <n v="12783.52"/>
    <n v="12700.39488"/>
    <n v="0.49836906691159061"/>
  </r>
  <r>
    <s v="ORD-2024-350100"/>
    <x v="228"/>
    <s v="Q4-2024"/>
    <d v="2024-11-20T00:00:00"/>
    <n v="24"/>
    <x v="1"/>
    <x v="2"/>
    <s v="Nagoya"/>
    <s v="Non-Profit"/>
    <x v="1"/>
    <x v="10"/>
    <x v="5"/>
    <x v="253"/>
    <n v="317.25"/>
    <n v="758.92"/>
    <s v="High"/>
    <n v="5.2999999999999999E-2"/>
    <n v="9"/>
    <n v="6468.2751599999992"/>
    <n v="2855.25"/>
    <n v="3613.0251599999992"/>
    <n v="0.5585762928489888"/>
  </r>
  <r>
    <s v="ORD-2024-855600"/>
    <x v="229"/>
    <s v="Q2-2024"/>
    <d v="2024-05-19T00:00:00"/>
    <n v="20"/>
    <x v="3"/>
    <x v="6"/>
    <s v="Frankfurt"/>
    <s v="Enterprise"/>
    <x v="2"/>
    <x v="0"/>
    <x v="4"/>
    <x v="254"/>
    <n v="668.97"/>
    <n v="1667.44"/>
    <s v="High"/>
    <n v="3.4000000000000002E-2"/>
    <n v="15"/>
    <n v="24161.205600000001"/>
    <n v="10034.550000000001"/>
    <n v="14126.6556"/>
    <n v="0.58468339013679016"/>
  </r>
  <r>
    <s v="ORD-2023-474313"/>
    <x v="230"/>
    <s v="Q4-2023"/>
    <d v="2023-10-06T00:00:00"/>
    <n v="1"/>
    <x v="1"/>
    <x v="4"/>
    <s v="Bengaluru"/>
    <s v="Non-Profit"/>
    <x v="1"/>
    <x v="2"/>
    <x v="0"/>
    <x v="255"/>
    <n v="1470.26"/>
    <n v="2562.5500000000002"/>
    <s v="High"/>
    <n v="0.17299999999999999"/>
    <n v="9"/>
    <n v="19073.059649999999"/>
    <n v="13232.34"/>
    <n v="5840.7196499999991"/>
    <n v="0.30622877279157462"/>
  </r>
  <r>
    <s v="ORD-2023-256951"/>
    <x v="43"/>
    <s v="Q2-2023"/>
    <d v="2023-05-07T00:00:00"/>
    <n v="18"/>
    <x v="3"/>
    <x v="8"/>
    <s v="London"/>
    <s v="Non-Profit"/>
    <x v="4"/>
    <x v="10"/>
    <x v="2"/>
    <x v="256"/>
    <n v="516.96"/>
    <n v="745.38"/>
    <s v="High"/>
    <n v="0.19700000000000001"/>
    <n v="4"/>
    <n v="2394.1605599999998"/>
    <n v="2067.84"/>
    <n v="326.32055999999966"/>
    <n v="0.13629852794835101"/>
  </r>
  <r>
    <s v="ORD-2025-184754"/>
    <x v="231"/>
    <s v="Q2-2025"/>
    <d v="2025-07-05T00:00:00"/>
    <n v="8"/>
    <x v="3"/>
    <x v="6"/>
    <s v="Munich"/>
    <s v="Small Business"/>
    <x v="4"/>
    <x v="3"/>
    <x v="5"/>
    <x v="257"/>
    <n v="314.93"/>
    <n v="687.95"/>
    <s v="High"/>
    <n v="0.20499999999999999"/>
    <n v="8"/>
    <n v="4375.3620000000001"/>
    <n v="2519.44"/>
    <n v="1855.922"/>
    <n v="0.424175645352316"/>
  </r>
  <r>
    <s v="ORD-2023-888140"/>
    <x v="232"/>
    <s v="Q4-2023"/>
    <d v="2023-10-13T00:00:00"/>
    <n v="2"/>
    <x v="2"/>
    <x v="5"/>
    <s v="Brasília"/>
    <s v="Consumer"/>
    <x v="3"/>
    <x v="15"/>
    <x v="6"/>
    <x v="258"/>
    <n v="715.94"/>
    <n v="550.07000000000005"/>
    <s v="High"/>
    <n v="0.14000000000000001"/>
    <n v="16"/>
    <n v="7568.9632000000001"/>
    <n v="11455.04"/>
    <n v="-3886.0768000000007"/>
    <n v="-0.51342260456491595"/>
  </r>
  <r>
    <s v="ORD-2023-638181"/>
    <x v="72"/>
    <s v="Q2-2023"/>
    <d v="2023-06-07T00:00:00"/>
    <n v="18"/>
    <x v="0"/>
    <x v="1"/>
    <s v="Port Harcourt"/>
    <s v="Enterprise"/>
    <x v="3"/>
    <x v="6"/>
    <x v="0"/>
    <x v="259"/>
    <n v="1120.06"/>
    <n v="2068.21"/>
    <s v="High"/>
    <n v="7.8E-2"/>
    <n v="12"/>
    <n v="22882.675440000003"/>
    <n v="13440.72"/>
    <n v="9441.9554400000034"/>
    <n v="0.41262462795303284"/>
  </r>
  <r>
    <s v="ORD-2023-521280"/>
    <x v="233"/>
    <s v="Q2-2023"/>
    <d v="2023-06-19T00:00:00"/>
    <n v="23"/>
    <x v="3"/>
    <x v="6"/>
    <s v="Berlin"/>
    <s v="Education"/>
    <x v="0"/>
    <x v="7"/>
    <x v="6"/>
    <x v="260"/>
    <n v="1471.58"/>
    <n v="2576.65"/>
    <s v="High"/>
    <n v="4.0000000000000001E-3"/>
    <n v="7"/>
    <n v="17964.4038"/>
    <n v="10301.06"/>
    <n v="7663.3438000000006"/>
    <n v="0.4265849223451546"/>
  </r>
  <r>
    <s v="ORD-2023-630430"/>
    <x v="234"/>
    <s v="Q3-2023"/>
    <d v="2023-08-24T00:00:00"/>
    <n v="20"/>
    <x v="2"/>
    <x v="5"/>
    <s v="Brasília"/>
    <s v="Non-Profit"/>
    <x v="4"/>
    <x v="15"/>
    <x v="2"/>
    <x v="261"/>
    <n v="582.88"/>
    <n v="1044.1400000000001"/>
    <s v="High"/>
    <n v="0.216"/>
    <n v="10"/>
    <n v="8186.057600000001"/>
    <n v="5828.8"/>
    <n v="2357.2576000000008"/>
    <n v="0.28796005539956138"/>
  </r>
  <r>
    <s v="ORD-2025-908258"/>
    <x v="235"/>
    <s v="Q2-2025"/>
    <d v="2025-06-27T00:00:00"/>
    <n v="6"/>
    <x v="0"/>
    <x v="11"/>
    <s v="Durban"/>
    <s v="Enterprise"/>
    <x v="3"/>
    <x v="13"/>
    <x v="3"/>
    <x v="262"/>
    <n v="93.91"/>
    <n v="99.04"/>
    <s v="High"/>
    <n v="5.7000000000000002E-2"/>
    <n v="6"/>
    <n v="560.36831999999993"/>
    <n v="563.46"/>
    <n v="-3.0916800000001103"/>
    <n v="-5.5172283829323376E-3"/>
  </r>
  <r>
    <s v="ORD-2025-440093"/>
    <x v="139"/>
    <s v="Q2-2025"/>
    <d v="2025-04-26T00:00:00"/>
    <n v="10"/>
    <x v="0"/>
    <x v="1"/>
    <s v="Port Harcourt"/>
    <s v="Enterprise"/>
    <x v="2"/>
    <x v="9"/>
    <x v="4"/>
    <x v="263"/>
    <n v="1457.44"/>
    <n v="1996.81"/>
    <s v="High"/>
    <n v="0.126"/>
    <n v="23"/>
    <n v="40139.874619999995"/>
    <n v="33521.120000000003"/>
    <n v="6618.7546199999924"/>
    <n v="0.16489225944672353"/>
  </r>
  <r>
    <s v="ORD-2025-898022"/>
    <x v="236"/>
    <s v="Q3-2025"/>
    <d v="2025-09-11T00:00:00"/>
    <n v="9"/>
    <x v="2"/>
    <x v="3"/>
    <s v="Toronto"/>
    <s v="Corporate"/>
    <x v="3"/>
    <x v="12"/>
    <x v="1"/>
    <x v="264"/>
    <n v="1207.6300000000001"/>
    <n v="921.68"/>
    <s v="High"/>
    <n v="0.19600000000000001"/>
    <n v="17"/>
    <n v="12597.52224"/>
    <n v="20529.710000000003"/>
    <n v="-7932.1877600000025"/>
    <n v="-0.62966253274897988"/>
  </r>
  <r>
    <s v="ORD-2024-500511"/>
    <x v="237"/>
    <s v="Q4-2024"/>
    <d v="2024-10-08T00:00:00"/>
    <n v="0"/>
    <x v="3"/>
    <x v="8"/>
    <s v="London"/>
    <s v="Corporate"/>
    <x v="1"/>
    <x v="6"/>
    <x v="5"/>
    <x v="265"/>
    <n v="1108.1099999999999"/>
    <n v="2503.79"/>
    <s v="High"/>
    <n v="0.184"/>
    <n v="19"/>
    <n v="38818.760160000005"/>
    <n v="21054.089999999997"/>
    <n v="17764.670160000009"/>
    <n v="0.45763105485025896"/>
  </r>
  <r>
    <s v="ORD-2023-632893"/>
    <x v="238"/>
    <s v="Q2-2023"/>
    <d v="2023-05-14T00:00:00"/>
    <n v="7"/>
    <x v="0"/>
    <x v="1"/>
    <s v="Port Harcourt"/>
    <s v="Non-Profit"/>
    <x v="2"/>
    <x v="8"/>
    <x v="0"/>
    <x v="266"/>
    <n v="1269.6500000000001"/>
    <n v="2462.77"/>
    <s v="High"/>
    <n v="0.107"/>
    <n v="8"/>
    <n v="17594.028880000002"/>
    <n v="10157.200000000001"/>
    <n v="7436.8288800000009"/>
    <n v="0.42269050089225502"/>
  </r>
  <r>
    <s v="ORD-2023-967239"/>
    <x v="239"/>
    <s v="Q4-2023"/>
    <d v="2024-01-01T00:00:00"/>
    <n v="8"/>
    <x v="2"/>
    <x v="5"/>
    <s v="São Paulo"/>
    <s v="Education"/>
    <x v="4"/>
    <x v="0"/>
    <x v="3"/>
    <x v="267"/>
    <n v="526.49"/>
    <n v="496.2"/>
    <s v="High"/>
    <n v="0"/>
    <n v="14"/>
    <n v="6946.8"/>
    <n v="7370.8600000000006"/>
    <n v="-424.0600000000004"/>
    <n v="-6.1043933897621985E-2"/>
  </r>
  <r>
    <s v="ORD-2024-885858"/>
    <x v="240"/>
    <s v="Q1-2024"/>
    <d v="2024-01-23T00:00:00"/>
    <n v="13"/>
    <x v="3"/>
    <x v="7"/>
    <s v="Marseille"/>
    <s v="Corporate"/>
    <x v="4"/>
    <x v="8"/>
    <x v="1"/>
    <x v="268"/>
    <n v="720"/>
    <n v="907.59"/>
    <s v="High"/>
    <n v="0.154"/>
    <n v="10"/>
    <n v="7678.2113999999992"/>
    <n v="7200"/>
    <n v="478.21139999999923"/>
    <n v="6.2281614179052078E-2"/>
  </r>
  <r>
    <s v="ORD-2023-253245"/>
    <x v="241"/>
    <s v="Q3-2023"/>
    <d v="2023-08-14T00:00:00"/>
    <n v="11"/>
    <x v="2"/>
    <x v="5"/>
    <s v="Brasília"/>
    <s v="Corporate"/>
    <x v="4"/>
    <x v="1"/>
    <x v="6"/>
    <x v="269"/>
    <n v="232.73"/>
    <n v="334.19"/>
    <s v="High"/>
    <n v="0.13400000000000001"/>
    <n v="25"/>
    <n v="7235.2134999999998"/>
    <n v="5818.25"/>
    <n v="1416.9634999999998"/>
    <n v="0.1958426658729559"/>
  </r>
  <r>
    <s v="ORD-2025-484073"/>
    <x v="242"/>
    <s v="Q1-2025"/>
    <d v="2025-03-09T00:00:00"/>
    <n v="18"/>
    <x v="1"/>
    <x v="4"/>
    <s v="Delhi"/>
    <s v="Small Business"/>
    <x v="4"/>
    <x v="7"/>
    <x v="5"/>
    <x v="270"/>
    <n v="325.87"/>
    <n v="538.79"/>
    <s v="High"/>
    <n v="0.17399999999999999"/>
    <n v="16"/>
    <n v="7120.6486400000003"/>
    <n v="5213.92"/>
    <n v="1906.7286400000003"/>
    <n v="0.26777457172778013"/>
  </r>
  <r>
    <s v="ORD-2024-745822"/>
    <x v="243"/>
    <s v="Q1-2024"/>
    <d v="2024-04-17T00:00:00"/>
    <n v="17"/>
    <x v="3"/>
    <x v="6"/>
    <s v="Frankfurt"/>
    <s v="Education"/>
    <x v="4"/>
    <x v="10"/>
    <x v="5"/>
    <x v="271"/>
    <n v="1025.51"/>
    <n v="1436.54"/>
    <s v="High"/>
    <n v="0.13900000000000001"/>
    <n v="28"/>
    <n v="34632.106319999999"/>
    <n v="28714.28"/>
    <n v="5917.8263200000001"/>
    <n v="0.17087688127656453"/>
  </r>
  <r>
    <s v="ORD-2023-369160"/>
    <x v="244"/>
    <s v="Q3-2023"/>
    <d v="2023-08-13T00:00:00"/>
    <n v="20"/>
    <x v="2"/>
    <x v="3"/>
    <s v="Montreal"/>
    <s v="Education"/>
    <x v="4"/>
    <x v="0"/>
    <x v="5"/>
    <x v="272"/>
    <n v="1082.3800000000001"/>
    <n v="1766.55"/>
    <s v="High"/>
    <n v="0.16400000000000001"/>
    <n v="20"/>
    <n v="29536.716"/>
    <n v="21647.600000000002"/>
    <n v="7889.1159999999982"/>
    <n v="0.26709523157550752"/>
  </r>
  <r>
    <s v="ORD-2024-834983"/>
    <x v="245"/>
    <s v="Q1-2024"/>
    <d v="2024-04-13T00:00:00"/>
    <n v="28"/>
    <x v="3"/>
    <x v="7"/>
    <s v="Paris"/>
    <s v="Small Business"/>
    <x v="1"/>
    <x v="11"/>
    <x v="1"/>
    <x v="273"/>
    <n v="287.61"/>
    <n v="628.54"/>
    <s v="High"/>
    <n v="0.13500000000000001"/>
    <n v="21"/>
    <n v="11417.429099999999"/>
    <n v="6039.81"/>
    <n v="5377.619099999999"/>
    <n v="0.47100087531964613"/>
  </r>
  <r>
    <s v="ORD-2024-499009"/>
    <x v="246"/>
    <s v="Q1-2024"/>
    <d v="2024-01-27T00:00:00"/>
    <n v="2"/>
    <x v="2"/>
    <x v="5"/>
    <s v="São Paulo"/>
    <s v="Non-Profit"/>
    <x v="2"/>
    <x v="13"/>
    <x v="4"/>
    <x v="274"/>
    <n v="1410.97"/>
    <n v="1650.75"/>
    <s v="High"/>
    <n v="0.13500000000000001"/>
    <n v="6"/>
    <n v="8567.3924999999999"/>
    <n v="8465.82"/>
    <n v="101.57250000000022"/>
    <n v="1.1855707556295596E-2"/>
  </r>
  <r>
    <s v="ORD-2024-948800"/>
    <x v="247"/>
    <s v="Q1-2024"/>
    <d v="2024-04-11T00:00:00"/>
    <n v="15"/>
    <x v="2"/>
    <x v="10"/>
    <s v="San Francisco"/>
    <s v="Small Business"/>
    <x v="4"/>
    <x v="7"/>
    <x v="2"/>
    <x v="275"/>
    <n v="1338.35"/>
    <n v="2247.14"/>
    <s v="High"/>
    <n v="0.115"/>
    <n v="40"/>
    <n v="79548.755999999994"/>
    <n v="53534"/>
    <n v="26014.755999999994"/>
    <n v="0.32702907384246205"/>
  </r>
  <r>
    <s v="ORD-2025-678328"/>
    <x v="35"/>
    <s v="Q2-2025"/>
    <d v="2025-07-14T00:00:00"/>
    <n v="20"/>
    <x v="3"/>
    <x v="6"/>
    <s v="Berlin"/>
    <s v="Corporate"/>
    <x v="4"/>
    <x v="7"/>
    <x v="6"/>
    <x v="276"/>
    <n v="385.08"/>
    <n v="893.19"/>
    <s v="High"/>
    <n v="0.151"/>
    <n v="8"/>
    <n v="6066.54648"/>
    <n v="3080.64"/>
    <n v="2985.9064800000001"/>
    <n v="0.49219213762621666"/>
  </r>
  <r>
    <s v="ORD-2024-580808"/>
    <x v="248"/>
    <s v="Q2-2024"/>
    <d v="2024-07-03T00:00:00"/>
    <n v="17"/>
    <x v="0"/>
    <x v="11"/>
    <s v="Johannesburg"/>
    <s v="Enterprise"/>
    <x v="2"/>
    <x v="9"/>
    <x v="3"/>
    <x v="277"/>
    <n v="1173.83"/>
    <n v="2328.9"/>
    <s v="High"/>
    <n v="0.12"/>
    <n v="17"/>
    <n v="34840.344000000005"/>
    <n v="19955.11"/>
    <n v="14885.234000000004"/>
    <n v="0.42724130393201637"/>
  </r>
  <r>
    <s v="ORD-2023-211715"/>
    <x v="249"/>
    <s v="Q4-2023"/>
    <d v="2023-11-14T00:00:00"/>
    <n v="15"/>
    <x v="1"/>
    <x v="4"/>
    <s v="Bengaluru"/>
    <s v="Corporate"/>
    <x v="1"/>
    <x v="9"/>
    <x v="4"/>
    <x v="278"/>
    <n v="953.46"/>
    <n v="2066.75"/>
    <s v="High"/>
    <n v="0.13800000000000001"/>
    <n v="5"/>
    <n v="8907.6924999999992"/>
    <n v="4767.3"/>
    <n v="4140.392499999999"/>
    <n v="0.46481089238318446"/>
  </r>
  <r>
    <s v="ORD-2023-715175"/>
    <x v="250"/>
    <s v="Q2-2023"/>
    <d v="2023-06-23T00:00:00"/>
    <n v="8"/>
    <x v="2"/>
    <x v="10"/>
    <s v="San Francisco"/>
    <s v="Consumer"/>
    <x v="3"/>
    <x v="7"/>
    <x v="5"/>
    <x v="279"/>
    <n v="1097.0899999999999"/>
    <n v="2182.31"/>
    <s v="High"/>
    <n v="0.112"/>
    <n v="9"/>
    <n v="17441.021520000002"/>
    <n v="9873.81"/>
    <n v="7567.2115200000026"/>
    <n v="0.43387432962699546"/>
  </r>
  <r>
    <s v="ORD-2025-685236"/>
    <x v="251"/>
    <s v="Q1-2025"/>
    <d v="2025-03-29T00:00:00"/>
    <n v="15"/>
    <x v="1"/>
    <x v="2"/>
    <s v="Tokyo"/>
    <s v="Non-Profit"/>
    <x v="4"/>
    <x v="10"/>
    <x v="2"/>
    <x v="280"/>
    <n v="1106.96"/>
    <n v="2726.62"/>
    <s v="High"/>
    <n v="0.3"/>
    <n v="7"/>
    <n v="13360.438"/>
    <n v="7748.72"/>
    <n v="5611.7179999999998"/>
    <n v="0.42002500217432992"/>
  </r>
  <r>
    <s v="ORD-2023-274037"/>
    <x v="182"/>
    <s v="Q3-2023"/>
    <d v="2023-08-25T00:00:00"/>
    <n v="10"/>
    <x v="0"/>
    <x v="0"/>
    <s v="Nairobi"/>
    <s v="Small Business"/>
    <x v="0"/>
    <x v="13"/>
    <x v="3"/>
    <x v="281"/>
    <n v="91.85"/>
    <n v="111.29"/>
    <s v="High"/>
    <n v="0"/>
    <n v="6"/>
    <n v="667.74"/>
    <n v="551.09999999999991"/>
    <n v="116.6400000000001"/>
    <n v="0.17467876718483258"/>
  </r>
  <r>
    <s v="ORD-2025-983096"/>
    <x v="252"/>
    <s v="Q2-2025"/>
    <d v="2025-05-28T00:00:00"/>
    <n v="11"/>
    <x v="1"/>
    <x v="4"/>
    <s v="Bengaluru"/>
    <s v="Corporate"/>
    <x v="3"/>
    <x v="5"/>
    <x v="4"/>
    <x v="282"/>
    <n v="623.4"/>
    <n v="1100.0899999999999"/>
    <s v="High"/>
    <n v="0.114"/>
    <n v="12"/>
    <n v="11696.156879999999"/>
    <n v="7480.7999999999993"/>
    <n v="4215.3568799999994"/>
    <n v="0.36040529579490388"/>
  </r>
  <r>
    <s v="ORD-2024-366010"/>
    <x v="94"/>
    <s v="Q1-2024"/>
    <d v="2024-02-05T00:00:00"/>
    <n v="23"/>
    <x v="3"/>
    <x v="6"/>
    <s v="Frankfurt"/>
    <s v="Education"/>
    <x v="4"/>
    <x v="5"/>
    <x v="4"/>
    <x v="283"/>
    <n v="1017.93"/>
    <n v="1529.14"/>
    <s v="High"/>
    <n v="0.155"/>
    <n v="12"/>
    <n v="15505.479600000001"/>
    <n v="12215.16"/>
    <n v="3290.3196000000007"/>
    <n v="0.21220366508366503"/>
  </r>
  <r>
    <s v="ORD-2023-610470"/>
    <x v="87"/>
    <s v="Q2-2023"/>
    <d v="2023-07-21T00:00:00"/>
    <n v="27"/>
    <x v="1"/>
    <x v="2"/>
    <s v="Nagoya"/>
    <s v="Consumer"/>
    <x v="2"/>
    <x v="1"/>
    <x v="3"/>
    <x v="284"/>
    <n v="554.76"/>
    <n v="728.69"/>
    <s v="High"/>
    <n v="0.22"/>
    <n v="7"/>
    <n v="3978.6474000000003"/>
    <n v="3883.3199999999997"/>
    <n v="95.32740000000058"/>
    <n v="2.395975074343119E-2"/>
  </r>
  <r>
    <s v="ORD-2025-541048"/>
    <x v="253"/>
    <s v="Q2-2025"/>
    <d v="2025-04-13T00:00:00"/>
    <n v="9"/>
    <x v="3"/>
    <x v="6"/>
    <s v="Munich"/>
    <s v="Consumer"/>
    <x v="2"/>
    <x v="9"/>
    <x v="3"/>
    <x v="285"/>
    <n v="7.02"/>
    <n v="6.28"/>
    <s v="High"/>
    <n v="0.13400000000000001"/>
    <n v="14"/>
    <n v="76.138720000000006"/>
    <n v="98.28"/>
    <n v="-22.141279999999995"/>
    <n v="-0.29080184169106066"/>
  </r>
  <r>
    <s v="ORD-2024-862371"/>
    <x v="254"/>
    <s v="Q3-2024"/>
    <d v="2024-09-07T00:00:00"/>
    <n v="0"/>
    <x v="1"/>
    <x v="4"/>
    <s v="Mumbai"/>
    <s v="Education"/>
    <x v="3"/>
    <x v="5"/>
    <x v="2"/>
    <x v="286"/>
    <n v="1066.6500000000001"/>
    <n v="2569.77"/>
    <s v="High"/>
    <n v="0.13400000000000001"/>
    <n v="9"/>
    <n v="20028.787380000002"/>
    <n v="9599.85"/>
    <n v="10428.937380000001"/>
    <n v="0.52069739331368348"/>
  </r>
  <r>
    <s v="ORD-2024-277241"/>
    <x v="10"/>
    <s v="Q1-2024"/>
    <d v="2024-01-30T00:00:00"/>
    <n v="2"/>
    <x v="0"/>
    <x v="11"/>
    <s v="Cape Town"/>
    <s v="Consumer"/>
    <x v="4"/>
    <x v="9"/>
    <x v="6"/>
    <x v="287"/>
    <n v="798.45"/>
    <n v="1592.02"/>
    <s v="High"/>
    <n v="6.6000000000000003E-2"/>
    <n v="18"/>
    <n v="26765.040239999998"/>
    <n v="14372.1"/>
    <n v="12392.940239999998"/>
    <n v="0.46302714768494585"/>
  </r>
  <r>
    <s v="ORD-2023-369150"/>
    <x v="255"/>
    <s v="Q3-2023"/>
    <d v="2023-08-10T00:00:00"/>
    <n v="23"/>
    <x v="0"/>
    <x v="11"/>
    <s v="Johannesburg"/>
    <s v="Small Business"/>
    <x v="0"/>
    <x v="4"/>
    <x v="0"/>
    <x v="288"/>
    <n v="1271.56"/>
    <n v="995.47"/>
    <s v="High"/>
    <n v="0.192"/>
    <n v="13"/>
    <n v="10456.416880000001"/>
    <n v="16530.28"/>
    <n v="-6073.8631199999982"/>
    <n v="-0.58087423155607754"/>
  </r>
  <r>
    <s v="ORD-2025-922513"/>
    <x v="256"/>
    <s v="Q3-2025"/>
    <d v="2025-09-04T00:00:00"/>
    <n v="7"/>
    <x v="0"/>
    <x v="1"/>
    <s v="Port Harcourt"/>
    <s v="Small Business"/>
    <x v="0"/>
    <x v="8"/>
    <x v="6"/>
    <x v="289"/>
    <n v="521.05999999999995"/>
    <n v="1240.31"/>
    <s v="High"/>
    <n v="0.14599999999999999"/>
    <n v="18"/>
    <n v="19066.045319999997"/>
    <n v="9379.0799999999981"/>
    <n v="9686.9653199999993"/>
    <n v="0.50807417885650974"/>
  </r>
  <r>
    <s v="ORD-2025-752845"/>
    <x v="257"/>
    <s v="Q1-2025"/>
    <d v="2025-04-07T00:00:00"/>
    <n v="8"/>
    <x v="2"/>
    <x v="5"/>
    <s v="São Paulo"/>
    <s v="Non-Profit"/>
    <x v="4"/>
    <x v="4"/>
    <x v="1"/>
    <x v="290"/>
    <n v="71.62"/>
    <n v="118.37"/>
    <s v="High"/>
    <n v="0.156"/>
    <n v="11"/>
    <n v="1098.9470800000001"/>
    <n v="787.82"/>
    <n v="311.12708000000009"/>
    <n v="0.28311379652603474"/>
  </r>
  <r>
    <s v="ORD-2023-667815"/>
    <x v="258"/>
    <s v="Q4-2023"/>
    <d v="2023-11-09T00:00:00"/>
    <n v="19"/>
    <x v="3"/>
    <x v="8"/>
    <s v="London"/>
    <s v="Non-Profit"/>
    <x v="4"/>
    <x v="8"/>
    <x v="6"/>
    <x v="291"/>
    <n v="1142.48"/>
    <n v="2105.5300000000002"/>
    <s v="High"/>
    <n v="0.20699999999999999"/>
    <n v="14"/>
    <n v="23375.594060000003"/>
    <n v="15994.720000000001"/>
    <n v="7380.8740600000019"/>
    <n v="0.31575129346680658"/>
  </r>
  <r>
    <s v="ORD-2023-375011"/>
    <x v="259"/>
    <s v="Q3-2023"/>
    <d v="2023-09-22T00:00:00"/>
    <n v="30"/>
    <x v="3"/>
    <x v="8"/>
    <s v="London"/>
    <s v="Consumer"/>
    <x v="3"/>
    <x v="7"/>
    <x v="6"/>
    <x v="292"/>
    <n v="209.81"/>
    <n v="523"/>
    <s v="High"/>
    <n v="5.8999999999999997E-2"/>
    <n v="15"/>
    <n v="7382.1450000000004"/>
    <n v="3147.15"/>
    <n v="4234.9950000000008"/>
    <n v="0.57368082041195356"/>
  </r>
  <r>
    <s v="ORD-2025-487025"/>
    <x v="260"/>
    <s v="Q2-2025"/>
    <d v="2025-05-04T00:00:00"/>
    <n v="23"/>
    <x v="1"/>
    <x v="2"/>
    <s v="Osaka"/>
    <s v="Small Business"/>
    <x v="1"/>
    <x v="12"/>
    <x v="0"/>
    <x v="293"/>
    <n v="786.2"/>
    <n v="1075.3"/>
    <s v="High"/>
    <n v="0.08"/>
    <n v="9"/>
    <n v="8903.4839999999986"/>
    <n v="7075.8"/>
    <n v="1827.6839999999984"/>
    <n v="0.20527739478163815"/>
  </r>
  <r>
    <s v="ORD-2025-398335"/>
    <x v="261"/>
    <s v="Q2-2025"/>
    <d v="2025-06-27T00:00:00"/>
    <n v="26"/>
    <x v="3"/>
    <x v="6"/>
    <s v="Munich"/>
    <s v="Consumer"/>
    <x v="3"/>
    <x v="6"/>
    <x v="4"/>
    <x v="294"/>
    <n v="1362.31"/>
    <n v="3294.57"/>
    <s v="High"/>
    <n v="0.113"/>
    <n v="7"/>
    <n v="20455.985130000001"/>
    <n v="9536.17"/>
    <n v="10919.815130000001"/>
    <n v="0.5338200561157721"/>
  </r>
  <r>
    <s v="ORD-2024-792137"/>
    <x v="262"/>
    <s v="Q1-2024"/>
    <d v="2024-03-16T00:00:00"/>
    <n v="14"/>
    <x v="2"/>
    <x v="3"/>
    <s v="Vancouver"/>
    <s v="Non-Profit"/>
    <x v="4"/>
    <x v="7"/>
    <x v="1"/>
    <x v="295"/>
    <n v="248.24"/>
    <n v="464.05"/>
    <s v="High"/>
    <n v="0.16900000000000001"/>
    <n v="11"/>
    <n v="4241.88105"/>
    <n v="2730.6400000000003"/>
    <n v="1511.2410499999996"/>
    <n v="0.3562667203975462"/>
  </r>
  <r>
    <s v="ORD-2023-602648"/>
    <x v="263"/>
    <s v="Q2-2023"/>
    <d v="2023-07-08T00:00:00"/>
    <n v="18"/>
    <x v="2"/>
    <x v="10"/>
    <s v="Austin"/>
    <s v="Non-Profit"/>
    <x v="4"/>
    <x v="9"/>
    <x v="5"/>
    <x v="296"/>
    <n v="337"/>
    <n v="511.03"/>
    <s v="High"/>
    <n v="0.108"/>
    <n v="7"/>
    <n v="3190.8713200000002"/>
    <n v="2359"/>
    <n v="831.8713200000002"/>
    <n v="0.26070349963219458"/>
  </r>
  <r>
    <s v="ORD-2024-207096"/>
    <x v="264"/>
    <s v="Q1-2024"/>
    <d v="2024-04-05T00:00:00"/>
    <n v="10"/>
    <x v="2"/>
    <x v="10"/>
    <s v="Austin"/>
    <s v="Consumer"/>
    <x v="4"/>
    <x v="1"/>
    <x v="5"/>
    <x v="297"/>
    <n v="5.66"/>
    <n v="4.22"/>
    <s v="High"/>
    <n v="0.11899999999999999"/>
    <n v="18"/>
    <n v="66.920760000000001"/>
    <n v="101.88"/>
    <n v="-34.959239999999994"/>
    <n v="-0.52239753403876454"/>
  </r>
  <r>
    <s v="ORD-2025-939953"/>
    <x v="265"/>
    <s v="Q1-2025"/>
    <d v="2025-01-22T00:00:00"/>
    <n v="0"/>
    <x v="3"/>
    <x v="7"/>
    <s v="Lyon"/>
    <s v="Small Business"/>
    <x v="1"/>
    <x v="5"/>
    <x v="6"/>
    <x v="298"/>
    <n v="591.72"/>
    <n v="577.24"/>
    <s v="High"/>
    <n v="0"/>
    <n v="22"/>
    <n v="12699.28"/>
    <n v="13017.84"/>
    <n v="-318.55999999999949"/>
    <n v="-2.5084886702238195E-2"/>
  </r>
  <r>
    <s v="ORD-2025-191328"/>
    <x v="266"/>
    <s v="Q2-2025"/>
    <d v="2025-05-27T00:00:00"/>
    <n v="17"/>
    <x v="2"/>
    <x v="3"/>
    <s v="Vancouver"/>
    <s v="Education"/>
    <x v="4"/>
    <x v="0"/>
    <x v="0"/>
    <x v="299"/>
    <n v="862.89"/>
    <n v="1426.03"/>
    <s v="High"/>
    <n v="5.6000000000000001E-2"/>
    <n v="19"/>
    <n v="25577.274079999999"/>
    <n v="16394.91"/>
    <n v="9182.3640799999994"/>
    <n v="0.35900479665188778"/>
  </r>
  <r>
    <s v="ORD-2023-166668"/>
    <x v="230"/>
    <s v="Q4-2023"/>
    <d v="2023-10-31T00:00:00"/>
    <n v="26"/>
    <x v="1"/>
    <x v="9"/>
    <s v="Shanghai"/>
    <s v="Consumer"/>
    <x v="5"/>
    <x v="1"/>
    <x v="1"/>
    <x v="300"/>
    <n v="649.91"/>
    <n v="1360.12"/>
    <s v="High"/>
    <n v="0.19400000000000001"/>
    <n v="9"/>
    <n v="9866.3104799999983"/>
    <n v="5849.19"/>
    <n v="4017.1204799999987"/>
    <n v="0.40715528749506769"/>
  </r>
  <r>
    <s v="ORD-2023-594700"/>
    <x v="255"/>
    <s v="Q3-2023"/>
    <d v="2023-07-22T00:00:00"/>
    <n v="4"/>
    <x v="2"/>
    <x v="5"/>
    <s v="São Paulo"/>
    <s v="Consumer"/>
    <x v="4"/>
    <x v="9"/>
    <x v="2"/>
    <x v="301"/>
    <n v="1269.55"/>
    <n v="2071.1"/>
    <s v="High"/>
    <n v="0.129"/>
    <n v="22"/>
    <n v="39686.4182"/>
    <n v="27930.1"/>
    <n v="11756.318200000002"/>
    <n v="0.29623026549672354"/>
  </r>
  <r>
    <s v="ORD-2025-278048"/>
    <x v="267"/>
    <s v="Q2-2025"/>
    <d v="2025-07-08T00:00:00"/>
    <n v="16"/>
    <x v="3"/>
    <x v="8"/>
    <s v="London"/>
    <s v="Education"/>
    <x v="4"/>
    <x v="8"/>
    <x v="3"/>
    <x v="302"/>
    <n v="892.73"/>
    <n v="979.84"/>
    <s v="High"/>
    <n v="0.17399999999999999"/>
    <n v="10"/>
    <n v="8093.4784"/>
    <n v="8927.2999999999993"/>
    <n v="-833.82159999999931"/>
    <n v="-0.10302388649112838"/>
  </r>
  <r>
    <s v="ORD-2024-878493"/>
    <x v="268"/>
    <s v="Q2-2024"/>
    <d v="2024-06-20T00:00:00"/>
    <n v="1"/>
    <x v="0"/>
    <x v="0"/>
    <s v="Kisumu"/>
    <s v="Small Business"/>
    <x v="4"/>
    <x v="1"/>
    <x v="4"/>
    <x v="303"/>
    <n v="231.63"/>
    <n v="537.39"/>
    <s v="High"/>
    <n v="0.08"/>
    <n v="12"/>
    <n v="5932.7856000000002"/>
    <n v="2779.56"/>
    <n v="3153.2256000000002"/>
    <n v="0.53149158129024587"/>
  </r>
  <r>
    <s v="ORD-2025-138578"/>
    <x v="69"/>
    <s v="Q2-2025"/>
    <d v="2025-04-12T00:00:00"/>
    <n v="3"/>
    <x v="3"/>
    <x v="7"/>
    <s v="Lyon"/>
    <s v="Small Business"/>
    <x v="3"/>
    <x v="10"/>
    <x v="5"/>
    <x v="304"/>
    <n v="86.68"/>
    <n v="213.32"/>
    <s v="High"/>
    <n v="3.7999999999999999E-2"/>
    <n v="8"/>
    <n v="1641.7107199999998"/>
    <n v="693.44"/>
    <n v="948.27071999999976"/>
    <n v="0.57761133459614611"/>
  </r>
  <r>
    <s v="ORD-2025-944081"/>
    <x v="80"/>
    <s v="Q1-2025"/>
    <d v="2025-03-26T00:00:00"/>
    <n v="1"/>
    <x v="0"/>
    <x v="1"/>
    <s v="Lagos"/>
    <s v="Education"/>
    <x v="3"/>
    <x v="3"/>
    <x v="6"/>
    <x v="305"/>
    <n v="1450.43"/>
    <n v="1994.67"/>
    <s v="High"/>
    <n v="0.1"/>
    <n v="24"/>
    <n v="43084.872000000003"/>
    <n v="34810.32"/>
    <n v="8274.5520000000033"/>
    <n v="0.19205237513529116"/>
  </r>
  <r>
    <s v="ORD-2025-364852"/>
    <x v="269"/>
    <s v="Q2-2025"/>
    <d v="2025-06-09T00:00:00"/>
    <n v="22"/>
    <x v="2"/>
    <x v="10"/>
    <s v="New York"/>
    <s v="Consumer"/>
    <x v="0"/>
    <x v="10"/>
    <x v="2"/>
    <x v="306"/>
    <n v="382.96"/>
    <n v="552.84"/>
    <s v="High"/>
    <n v="0.17599999999999999"/>
    <n v="8"/>
    <n v="3644.3212800000006"/>
    <n v="3063.68"/>
    <n v="580.64128000000073"/>
    <n v="0.15932768693763483"/>
  </r>
  <r>
    <s v="ORD-2025-415018"/>
    <x v="265"/>
    <s v="Q1-2025"/>
    <d v="2025-02-04T00:00:00"/>
    <n v="13"/>
    <x v="1"/>
    <x v="2"/>
    <s v="Tokyo"/>
    <s v="Small Business"/>
    <x v="3"/>
    <x v="4"/>
    <x v="1"/>
    <x v="307"/>
    <n v="122.29"/>
    <n v="224.95"/>
    <s v="High"/>
    <n v="0.153"/>
    <n v="28"/>
    <n v="5334.9141999999993"/>
    <n v="3424.1200000000003"/>
    <n v="1910.7941999999989"/>
    <n v="0.3581677471026618"/>
  </r>
  <r>
    <s v="ORD-2023-884192"/>
    <x v="270"/>
    <s v="Q1-2023"/>
    <d v="2023-01-29T00:00:00"/>
    <n v="19"/>
    <x v="3"/>
    <x v="7"/>
    <s v="Lyon"/>
    <s v="Non-Profit"/>
    <x v="4"/>
    <x v="14"/>
    <x v="4"/>
    <x v="308"/>
    <n v="401.66"/>
    <n v="772.09"/>
    <s v="High"/>
    <n v="8.8999999999999996E-2"/>
    <n v="14"/>
    <n v="9847.2358600000007"/>
    <n v="5623.2400000000007"/>
    <n v="4223.99586"/>
    <n v="0.42895244107619046"/>
  </r>
  <r>
    <s v="ORD-2024-165942"/>
    <x v="271"/>
    <s v="Q4-2024"/>
    <d v="2025-01-12T00:00:00"/>
    <n v="14"/>
    <x v="3"/>
    <x v="8"/>
    <s v="Manchester"/>
    <s v="Corporate"/>
    <x v="4"/>
    <x v="5"/>
    <x v="5"/>
    <x v="309"/>
    <n v="1399.72"/>
    <n v="3149.21"/>
    <s v="High"/>
    <n v="0.185"/>
    <n v="12"/>
    <n v="30799.273800000003"/>
    <n v="16796.64"/>
    <n v="14002.633800000003"/>
    <n v="0.45464168703873797"/>
  </r>
  <r>
    <s v="ORD-2024-403664"/>
    <x v="154"/>
    <s v="Q2-2024"/>
    <d v="2024-06-06T00:00:00"/>
    <n v="14"/>
    <x v="2"/>
    <x v="5"/>
    <s v="Rio de Janeiro"/>
    <s v="Non-Profit"/>
    <x v="1"/>
    <x v="2"/>
    <x v="2"/>
    <x v="310"/>
    <n v="51.13"/>
    <n v="57.53"/>
    <s v="High"/>
    <n v="4.4999999999999998E-2"/>
    <n v="16"/>
    <n v="879.05840000000001"/>
    <n v="818.08"/>
    <n v="60.978399999999965"/>
    <n v="6.9367859973808302E-2"/>
  </r>
  <r>
    <s v="ORD-2023-890605"/>
    <x v="87"/>
    <s v="Q2-2023"/>
    <d v="2023-07-01T00:00:00"/>
    <n v="7"/>
    <x v="2"/>
    <x v="3"/>
    <s v="Toronto"/>
    <s v="Non-Profit"/>
    <x v="0"/>
    <x v="12"/>
    <x v="6"/>
    <x v="311"/>
    <n v="471.42"/>
    <n v="824.81"/>
    <s v="High"/>
    <n v="8.7999999999999995E-2"/>
    <n v="15"/>
    <n v="11283.400799999999"/>
    <n v="7071.3"/>
    <n v="4212.1007999999993"/>
    <n v="0.37330064531608231"/>
  </r>
  <r>
    <s v="ORD-2024-925626"/>
    <x v="272"/>
    <s v="Q4-2024"/>
    <d v="2024-11-05T00:00:00"/>
    <n v="1"/>
    <x v="3"/>
    <x v="8"/>
    <s v="London"/>
    <s v="Corporate"/>
    <x v="0"/>
    <x v="12"/>
    <x v="1"/>
    <x v="312"/>
    <n v="840.68"/>
    <n v="1493.53"/>
    <s v="High"/>
    <n v="0"/>
    <n v="27"/>
    <n v="40325.31"/>
    <n v="22698.359999999997"/>
    <n v="17626.95"/>
    <n v="0.43711877230454027"/>
  </r>
  <r>
    <s v="ORD-2024-427031"/>
    <x v="273"/>
    <s v="Q2-2024"/>
    <d v="2024-06-24T00:00:00"/>
    <n v="16"/>
    <x v="0"/>
    <x v="11"/>
    <s v="Durban"/>
    <s v="Education"/>
    <x v="3"/>
    <x v="10"/>
    <x v="5"/>
    <x v="313"/>
    <n v="597.85"/>
    <n v="741.92"/>
    <s v="High"/>
    <n v="3.1E-2"/>
    <n v="7"/>
    <n v="5032.4433599999993"/>
    <n v="4184.95"/>
    <n v="847.49335999999948"/>
    <n v="0.16840594108544515"/>
  </r>
  <r>
    <s v="ORD-2025-231184"/>
    <x v="261"/>
    <s v="Q2-2025"/>
    <d v="2025-06-06T00:00:00"/>
    <n v="5"/>
    <x v="3"/>
    <x v="7"/>
    <s v="Paris"/>
    <s v="Consumer"/>
    <x v="3"/>
    <x v="3"/>
    <x v="0"/>
    <x v="314"/>
    <n v="379.45"/>
    <n v="742.23"/>
    <s v="High"/>
    <n v="0.09"/>
    <n v="13"/>
    <n v="8780.5809000000008"/>
    <n v="4932.8499999999995"/>
    <n v="3847.7309000000014"/>
    <n v="0.43820915083192286"/>
  </r>
  <r>
    <s v="ORD-2023-363031"/>
    <x v="274"/>
    <s v="Q2-2023"/>
    <d v="2023-05-14T00:00:00"/>
    <n v="8"/>
    <x v="1"/>
    <x v="2"/>
    <s v="Osaka"/>
    <s v="Enterprise"/>
    <x v="2"/>
    <x v="5"/>
    <x v="3"/>
    <x v="315"/>
    <n v="291.18"/>
    <n v="479.54"/>
    <s v="High"/>
    <n v="0.14099999999999999"/>
    <n v="22"/>
    <n v="9062.34692"/>
    <n v="6405.96"/>
    <n v="2656.3869199999999"/>
    <n v="0.29312350801066001"/>
  </r>
  <r>
    <s v="ORD-2023-619570"/>
    <x v="275"/>
    <s v="Q4-2023"/>
    <d v="2023-11-30T00:00:00"/>
    <n v="16"/>
    <x v="2"/>
    <x v="5"/>
    <s v="São Paulo"/>
    <s v="Enterprise"/>
    <x v="4"/>
    <x v="11"/>
    <x v="2"/>
    <x v="316"/>
    <n v="1017.92"/>
    <n v="1175.25"/>
    <s v="High"/>
    <n v="7.4999999999999997E-2"/>
    <n v="15"/>
    <n v="16306.59375"/>
    <n v="15268.8"/>
    <n v="1037.7937500000007"/>
    <n v="6.3642583234159542E-2"/>
  </r>
  <r>
    <s v="ORD-2025-861401"/>
    <x v="276"/>
    <s v="Q2-2025"/>
    <d v="2025-04-27T00:00:00"/>
    <n v="26"/>
    <x v="2"/>
    <x v="10"/>
    <s v="San Francisco"/>
    <s v="Corporate"/>
    <x v="4"/>
    <x v="2"/>
    <x v="5"/>
    <x v="317"/>
    <n v="156.55000000000001"/>
    <n v="227.45"/>
    <s v="High"/>
    <n v="1.4E-2"/>
    <n v="13"/>
    <n v="2915.4540999999999"/>
    <n v="2035.15"/>
    <n v="880.30409999999983"/>
    <n v="0.3019440779396938"/>
  </r>
  <r>
    <s v="ORD-2023-835010"/>
    <x v="277"/>
    <s v="Q1-2023"/>
    <d v="2023-04-15T00:00:00"/>
    <n v="23"/>
    <x v="0"/>
    <x v="0"/>
    <s v="Mombasa"/>
    <s v="Small Business"/>
    <x v="0"/>
    <x v="0"/>
    <x v="6"/>
    <x v="318"/>
    <n v="875.36"/>
    <n v="1178.6199999999999"/>
    <s v="High"/>
    <n v="0.151"/>
    <n v="53"/>
    <n v="53034.364139999991"/>
    <n v="46394.080000000002"/>
    <n v="6640.2841399999888"/>
    <n v="0.12520719815685888"/>
  </r>
  <r>
    <s v="ORD-2024-819979"/>
    <x v="91"/>
    <s v="Q2-2024"/>
    <d v="2024-06-18T00:00:00"/>
    <n v="21"/>
    <x v="3"/>
    <x v="6"/>
    <s v="Frankfurt"/>
    <s v="Small Business"/>
    <x v="1"/>
    <x v="6"/>
    <x v="3"/>
    <x v="319"/>
    <n v="986.85"/>
    <n v="2422.1"/>
    <s v="High"/>
    <n v="7.5999999999999998E-2"/>
    <n v="10"/>
    <n v="22380.204000000002"/>
    <n v="9868.5"/>
    <n v="12511.704000000002"/>
    <n v="0.55905227673527913"/>
  </r>
  <r>
    <s v="ORD-2024-719055"/>
    <x v="278"/>
    <s v="Q1-2024"/>
    <d v="2024-01-09T00:00:00"/>
    <n v="7"/>
    <x v="2"/>
    <x v="10"/>
    <s v="Chicago"/>
    <s v="Education"/>
    <x v="2"/>
    <x v="5"/>
    <x v="2"/>
    <x v="320"/>
    <n v="404.77"/>
    <n v="433.88"/>
    <s v="High"/>
    <n v="0.215"/>
    <n v="22"/>
    <n v="7493.1076000000012"/>
    <n v="8904.9399999999987"/>
    <n v="-1411.8323999999975"/>
    <n v="-0.18841747314558746"/>
  </r>
  <r>
    <s v="ORD-2023-888245"/>
    <x v="2"/>
    <s v="Q1-2023"/>
    <d v="2023-03-07T00:00:00"/>
    <n v="7"/>
    <x v="3"/>
    <x v="7"/>
    <s v="Marseille"/>
    <s v="Corporate"/>
    <x v="0"/>
    <x v="11"/>
    <x v="2"/>
    <x v="321"/>
    <n v="1299.81"/>
    <n v="3149.13"/>
    <s v="High"/>
    <n v="0.10299999999999999"/>
    <n v="14"/>
    <n v="39546.774539999999"/>
    <n v="18197.34"/>
    <n v="21349.434539999998"/>
    <n v="0.53985273864511729"/>
  </r>
  <r>
    <s v="ORD-2024-206121"/>
    <x v="142"/>
    <s v="Q1-2024"/>
    <d v="2024-03-11T00:00:00"/>
    <n v="22"/>
    <x v="2"/>
    <x v="5"/>
    <s v="São Paulo"/>
    <s v="Consumer"/>
    <x v="1"/>
    <x v="8"/>
    <x v="0"/>
    <x v="322"/>
    <n v="80.48"/>
    <n v="65.650000000000006"/>
    <s v="High"/>
    <n v="0.17599999999999999"/>
    <n v="13"/>
    <n v="703.2428000000001"/>
    <n v="1046.24"/>
    <n v="-342.99719999999991"/>
    <n v="-0.48773652570634191"/>
  </r>
  <r>
    <s v="ORD-2024-500890"/>
    <x v="190"/>
    <s v="Q3-2024"/>
    <d v="2024-10-08T00:00:00"/>
    <n v="29"/>
    <x v="2"/>
    <x v="5"/>
    <s v="São Paulo"/>
    <s v="Education"/>
    <x v="4"/>
    <x v="1"/>
    <x v="0"/>
    <x v="323"/>
    <n v="1010.33"/>
    <n v="2492.14"/>
    <s v="High"/>
    <n v="5.0999999999999997E-2"/>
    <n v="11"/>
    <n v="26015.449459999996"/>
    <n v="11113.630000000001"/>
    <n v="14901.819459999995"/>
    <n v="0.57280653493656752"/>
  </r>
  <r>
    <s v="ORD-2023-144816"/>
    <x v="238"/>
    <s v="Q2-2023"/>
    <d v="2023-05-29T00:00:00"/>
    <n v="22"/>
    <x v="0"/>
    <x v="11"/>
    <s v="Durban"/>
    <s v="Education"/>
    <x v="3"/>
    <x v="11"/>
    <x v="6"/>
    <x v="324"/>
    <n v="653.86"/>
    <n v="931.84"/>
    <s v="High"/>
    <n v="0.121"/>
    <n v="12"/>
    <n v="9829.0483199999999"/>
    <n v="7846.32"/>
    <n v="1982.7283200000002"/>
    <n v="0.20172129136506273"/>
  </r>
  <r>
    <s v="ORD-2024-153053"/>
    <x v="181"/>
    <s v="Q1-2024"/>
    <d v="2024-01-29T00:00:00"/>
    <n v="17"/>
    <x v="1"/>
    <x v="4"/>
    <s v="Hyderabad"/>
    <s v="Small Business"/>
    <x v="4"/>
    <x v="5"/>
    <x v="0"/>
    <x v="325"/>
    <n v="310.02"/>
    <n v="619.51"/>
    <s v="High"/>
    <n v="4.2000000000000003E-2"/>
    <n v="4"/>
    <n v="2373.9623200000001"/>
    <n v="1240.08"/>
    <n v="1133.8823200000002"/>
    <n v="0.47763282106347843"/>
  </r>
  <r>
    <s v="ORD-2023-536542"/>
    <x v="279"/>
    <s v="Q2-2023"/>
    <d v="2023-06-18T00:00:00"/>
    <n v="8"/>
    <x v="0"/>
    <x v="0"/>
    <s v="Nakuru"/>
    <s v="Enterprise"/>
    <x v="4"/>
    <x v="10"/>
    <x v="3"/>
    <x v="326"/>
    <n v="894.23"/>
    <n v="1421.55"/>
    <s v="High"/>
    <n v="0.109"/>
    <n v="3"/>
    <n v="3799.8031499999997"/>
    <n v="2682.69"/>
    <n v="1117.1131499999997"/>
    <n v="0.29399237431549574"/>
  </r>
  <r>
    <s v="ORD-2025-779530"/>
    <x v="280"/>
    <s v="Q2-2025"/>
    <d v="2025-05-26T00:00:00"/>
    <n v="7"/>
    <x v="2"/>
    <x v="5"/>
    <s v="São Paulo"/>
    <s v="Small Business"/>
    <x v="3"/>
    <x v="4"/>
    <x v="5"/>
    <x v="327"/>
    <n v="383.77"/>
    <n v="952.56"/>
    <s v="High"/>
    <n v="0.3"/>
    <n v="10"/>
    <n v="6667.9199999999983"/>
    <n v="3837.7"/>
    <n v="2830.2199999999984"/>
    <n v="0.42445320279787385"/>
  </r>
  <r>
    <s v="ORD-2023-163610"/>
    <x v="281"/>
    <s v="Q4-2023"/>
    <d v="2023-11-16T00:00:00"/>
    <n v="25"/>
    <x v="2"/>
    <x v="3"/>
    <s v="Toronto"/>
    <s v="Small Business"/>
    <x v="2"/>
    <x v="2"/>
    <x v="4"/>
    <x v="328"/>
    <n v="1373.31"/>
    <n v="3154.14"/>
    <s v="High"/>
    <n v="0.2"/>
    <n v="11"/>
    <n v="27756.432000000001"/>
    <n v="15106.41"/>
    <n v="12650.022000000001"/>
    <n v="0.45575101295440279"/>
  </r>
  <r>
    <s v="ORD-2025-653781"/>
    <x v="282"/>
    <s v="Q1-2025"/>
    <d v="2025-01-23T00:00:00"/>
    <n v="12"/>
    <x v="2"/>
    <x v="10"/>
    <s v="Austin"/>
    <s v="Consumer"/>
    <x v="3"/>
    <x v="10"/>
    <x v="3"/>
    <x v="329"/>
    <n v="100.69"/>
    <n v="226.14"/>
    <s v="High"/>
    <n v="6.5000000000000002E-2"/>
    <n v="12"/>
    <n v="2537.2908000000002"/>
    <n v="1208.28"/>
    <n v="1329.0108000000002"/>
    <n v="0.52379128162999689"/>
  </r>
  <r>
    <s v="ORD-2025-737787"/>
    <x v="283"/>
    <s v="Q3-2025"/>
    <d v="2025-09-26T00:00:00"/>
    <n v="12"/>
    <x v="3"/>
    <x v="8"/>
    <s v="London"/>
    <s v="Small Business"/>
    <x v="4"/>
    <x v="13"/>
    <x v="2"/>
    <x v="330"/>
    <n v="425.15"/>
    <n v="885.92"/>
    <s v="High"/>
    <n v="0.23899999999999999"/>
    <n v="13"/>
    <n v="8764.4065599999994"/>
    <n v="5526.95"/>
    <n v="3237.4565599999996"/>
    <n v="0.3693868532725848"/>
  </r>
  <r>
    <s v="ORD-2023-944052"/>
    <x v="52"/>
    <s v="Q3-2023"/>
    <d v="2023-09-03T00:00:00"/>
    <n v="4"/>
    <x v="1"/>
    <x v="4"/>
    <s v="Delhi"/>
    <s v="Small Business"/>
    <x v="2"/>
    <x v="4"/>
    <x v="6"/>
    <x v="331"/>
    <n v="1082.25"/>
    <n v="2433.34"/>
    <s v="High"/>
    <n v="0.27"/>
    <n v="4"/>
    <n v="7105.3528000000006"/>
    <n v="4329"/>
    <n v="2776.3528000000006"/>
    <n v="0.3907410199251472"/>
  </r>
  <r>
    <s v="ORD-2023-181257"/>
    <x v="284"/>
    <s v="Q4-2023"/>
    <d v="2023-12-06T00:00:00"/>
    <n v="21"/>
    <x v="3"/>
    <x v="8"/>
    <s v="Manchester"/>
    <s v="Education"/>
    <x v="4"/>
    <x v="10"/>
    <x v="6"/>
    <x v="332"/>
    <n v="1184.99"/>
    <n v="1154.3399999999999"/>
    <s v="High"/>
    <n v="2.8000000000000001E-2"/>
    <n v="5"/>
    <n v="5610.0923999999995"/>
    <n v="5924.95"/>
    <n v="-314.85760000000028"/>
    <n v="-5.6123424990290764E-2"/>
  </r>
  <r>
    <s v="ORD-2025-323492"/>
    <x v="60"/>
    <s v="Q2-2025"/>
    <d v="2025-05-27T00:00:00"/>
    <n v="30"/>
    <x v="1"/>
    <x v="4"/>
    <s v="Unknown"/>
    <s v="Enterprise"/>
    <x v="2"/>
    <x v="10"/>
    <x v="3"/>
    <x v="333"/>
    <n v="481.32"/>
    <n v="1135.99"/>
    <s v="High"/>
    <n v="0.14499999999999999"/>
    <n v="5"/>
    <n v="4856.35725"/>
    <n v="2406.6"/>
    <n v="2449.7572500000001"/>
    <n v="0.50444337677175621"/>
  </r>
  <r>
    <s v="ORD-2024-332076"/>
    <x v="285"/>
    <s v="Q2-2024"/>
    <d v="2024-04-18T00:00:00"/>
    <n v="9"/>
    <x v="3"/>
    <x v="7"/>
    <s v="Lyon"/>
    <s v="Consumer"/>
    <x v="1"/>
    <x v="6"/>
    <x v="1"/>
    <x v="334"/>
    <n v="1288.8499999999999"/>
    <n v="2751.84"/>
    <s v="High"/>
    <n v="0.158"/>
    <n v="7"/>
    <n v="16219.34496"/>
    <n v="9021.9499999999989"/>
    <n v="7197.3949600000014"/>
    <n v="0.44375373837538756"/>
  </r>
  <r>
    <s v="ORD-2024-571797"/>
    <x v="286"/>
    <s v="Q3-2024"/>
    <d v="2024-07-31T00:00:00"/>
    <n v="20"/>
    <x v="1"/>
    <x v="9"/>
    <s v="Shenzhen"/>
    <s v="Consumer"/>
    <x v="1"/>
    <x v="3"/>
    <x v="3"/>
    <x v="335"/>
    <n v="647.26"/>
    <n v="1374.72"/>
    <s v="High"/>
    <n v="6.6000000000000003E-2"/>
    <n v="22"/>
    <n v="28247.74656"/>
    <n v="14239.72"/>
    <n v="14008.02656"/>
    <n v="0.49589890401508901"/>
  </r>
  <r>
    <s v="ORD-2024-129345"/>
    <x v="142"/>
    <s v="Q1-2024"/>
    <d v="2024-03-03T00:00:00"/>
    <n v="14"/>
    <x v="2"/>
    <x v="5"/>
    <s v="Unknown"/>
    <s v="Enterprise"/>
    <x v="3"/>
    <x v="8"/>
    <x v="1"/>
    <x v="336"/>
    <n v="624.23"/>
    <n v="1318.37"/>
    <s v="High"/>
    <n v="0.21"/>
    <n v="37"/>
    <n v="38535.955099999999"/>
    <n v="23096.510000000002"/>
    <n v="15439.445099999997"/>
    <n v="0.40065038118128793"/>
  </r>
  <r>
    <s v="ORD-2023-660608"/>
    <x v="287"/>
    <s v="Q3-2023"/>
    <d v="2023-08-10T00:00:00"/>
    <n v="16"/>
    <x v="0"/>
    <x v="1"/>
    <s v="Port Harcourt"/>
    <s v="Corporate"/>
    <x v="3"/>
    <x v="2"/>
    <x v="6"/>
    <x v="337"/>
    <n v="506.83"/>
    <n v="441.74"/>
    <s v="High"/>
    <n v="0.24"/>
    <n v="9"/>
    <n v="3021.5016000000001"/>
    <n v="4561.47"/>
    <n v="-1539.9684000000002"/>
    <n v="-0.50966989393618067"/>
  </r>
  <r>
    <s v="ORD-2023-825084"/>
    <x v="288"/>
    <s v="Q3-2023"/>
    <d v="2023-07-21T00:00:00"/>
    <n v="7"/>
    <x v="0"/>
    <x v="11"/>
    <s v="Durban"/>
    <s v="Enterprise"/>
    <x v="2"/>
    <x v="15"/>
    <x v="5"/>
    <x v="338"/>
    <n v="620.74"/>
    <n v="1330.07"/>
    <s v="High"/>
    <n v="0.29899999999999999"/>
    <n v="28"/>
    <n v="26106.613960000002"/>
    <n v="17380.72"/>
    <n v="8725.8939600000012"/>
    <n v="0.33424073965967516"/>
  </r>
  <r>
    <s v="ORD-2023-261081"/>
    <x v="244"/>
    <s v="Q3-2023"/>
    <d v="2023-08-19T00:00:00"/>
    <n v="26"/>
    <x v="0"/>
    <x v="0"/>
    <s v="Nairobi"/>
    <s v="Enterprise"/>
    <x v="3"/>
    <x v="12"/>
    <x v="6"/>
    <x v="339"/>
    <n v="661.45"/>
    <n v="1634.86"/>
    <s v="High"/>
    <n v="0.3"/>
    <n v="24"/>
    <n v="27465.647999999997"/>
    <n v="15874.800000000001"/>
    <n v="11590.847999999996"/>
    <n v="0.42201254454291404"/>
  </r>
  <r>
    <s v="ORD-2023-766015"/>
    <x v="289"/>
    <s v="Q2-2023"/>
    <d v="2023-04-20T00:00:00"/>
    <n v="7"/>
    <x v="2"/>
    <x v="10"/>
    <s v="San Francisco"/>
    <s v="Education"/>
    <x v="2"/>
    <x v="3"/>
    <x v="2"/>
    <x v="340"/>
    <n v="32.1"/>
    <n v="70.599999999999994"/>
    <s v="High"/>
    <n v="0.28199999999999997"/>
    <n v="22"/>
    <n v="1115.1975999999997"/>
    <n v="706.2"/>
    <n v="408.99759999999969"/>
    <n v="0.36674899587301818"/>
  </r>
  <r>
    <s v="ORD-2024-333192"/>
    <x v="290"/>
    <s v="Q4-2024"/>
    <d v="2024-11-04T00:00:00"/>
    <n v="6"/>
    <x v="0"/>
    <x v="0"/>
    <s v="Nairobi"/>
    <s v="Corporate"/>
    <x v="3"/>
    <x v="12"/>
    <x v="1"/>
    <x v="341"/>
    <n v="805.81"/>
    <n v="1823.04"/>
    <s v="High"/>
    <n v="0"/>
    <n v="11"/>
    <n v="20053.439999999999"/>
    <n v="8863.91"/>
    <n v="11189.529999999999"/>
    <n v="0.55798556257679477"/>
  </r>
  <r>
    <s v="ORD-2024-647473"/>
    <x v="291"/>
    <s v="Q1-2024"/>
    <d v="2024-03-04T00:00:00"/>
    <n v="16"/>
    <x v="1"/>
    <x v="4"/>
    <s v="Delhi"/>
    <s v="Small Business"/>
    <x v="2"/>
    <x v="9"/>
    <x v="3"/>
    <x v="342"/>
    <n v="1231.8"/>
    <n v="2015.99"/>
    <s v="High"/>
    <n v="0.26100000000000001"/>
    <n v="6"/>
    <n v="8938.8996600000009"/>
    <n v="7390.7999999999993"/>
    <n v="1548.0996600000017"/>
    <n v="0.17318682599464391"/>
  </r>
  <r>
    <s v="ORD-2024-892908"/>
    <x v="292"/>
    <s v="Q3-2024"/>
    <d v="2024-07-20T00:00:00"/>
    <n v="7"/>
    <x v="1"/>
    <x v="2"/>
    <s v="Nagoya"/>
    <s v="Small Business"/>
    <x v="2"/>
    <x v="9"/>
    <x v="2"/>
    <x v="343"/>
    <n v="105.13"/>
    <n v="244.13"/>
    <s v="High"/>
    <n v="7.0999999999999994E-2"/>
    <n v="14"/>
    <n v="3175.1547799999998"/>
    <n v="1471.82"/>
    <n v="1703.3347799999999"/>
    <n v="0.53645724319618837"/>
  </r>
  <r>
    <s v="ORD-2023-573146"/>
    <x v="293"/>
    <s v="Q4-2023"/>
    <d v="2023-12-18T00:00:00"/>
    <n v="17"/>
    <x v="1"/>
    <x v="2"/>
    <s v="Nagoya"/>
    <s v="Small Business"/>
    <x v="4"/>
    <x v="13"/>
    <x v="4"/>
    <x v="344"/>
    <n v="1495.79"/>
    <n v="2783.12"/>
    <s v="High"/>
    <n v="0.02"/>
    <n v="5"/>
    <n v="13637.287999999999"/>
    <n v="7478.95"/>
    <n v="6158.3379999999988"/>
    <n v="0.45158084217331185"/>
  </r>
  <r>
    <s v="ORD-2024-901115"/>
    <x v="19"/>
    <s v="Q3-2024"/>
    <d v="2024-08-02T00:00:00"/>
    <n v="8"/>
    <x v="2"/>
    <x v="3"/>
    <s v="Montreal"/>
    <s v="Consumer"/>
    <x v="4"/>
    <x v="1"/>
    <x v="6"/>
    <x v="345"/>
    <n v="986.81"/>
    <n v="2050.31"/>
    <s v="High"/>
    <n v="0.10299999999999999"/>
    <n v="43"/>
    <n v="79082.507010000001"/>
    <n v="42432.829999999994"/>
    <n v="36649.677010000007"/>
    <n v="0.46343595310358138"/>
  </r>
  <r>
    <s v="ORD-2023-898009"/>
    <x v="176"/>
    <s v="Q2-2023"/>
    <d v="2023-05-16T00:00:00"/>
    <n v="12"/>
    <x v="0"/>
    <x v="1"/>
    <s v="Abuja"/>
    <s v="Small Business"/>
    <x v="2"/>
    <x v="1"/>
    <x v="3"/>
    <x v="346"/>
    <n v="77.739999999999995"/>
    <n v="147.12"/>
    <s v="High"/>
    <n v="0"/>
    <n v="15"/>
    <n v="2206.8000000000002"/>
    <n v="1166.0999999999999"/>
    <n v="1040.7000000000003"/>
    <n v="0.47158781946710177"/>
  </r>
  <r>
    <s v="ORD-2023-208944"/>
    <x v="294"/>
    <s v="Q4-2023"/>
    <d v="2024-01-06T00:00:00"/>
    <n v="16"/>
    <x v="0"/>
    <x v="1"/>
    <s v="Unknown"/>
    <s v="Corporate"/>
    <x v="2"/>
    <x v="11"/>
    <x v="0"/>
    <x v="347"/>
    <n v="932.61"/>
    <n v="1982.98"/>
    <s v="High"/>
    <n v="0.14399999999999999"/>
    <n v="16"/>
    <n v="27158.894079999998"/>
    <n v="14921.76"/>
    <n v="12237.134079999998"/>
    <n v="0.45057556629345635"/>
  </r>
  <r>
    <s v="ORD-2025-480172"/>
    <x v="295"/>
    <s v="Q2-2025"/>
    <d v="2025-07-05T00:00:00"/>
    <n v="18"/>
    <x v="1"/>
    <x v="4"/>
    <s v="Delhi"/>
    <s v="Consumer"/>
    <x v="2"/>
    <x v="4"/>
    <x v="4"/>
    <x v="348"/>
    <n v="982.93"/>
    <n v="2299.3000000000002"/>
    <s v="High"/>
    <n v="0.113"/>
    <n v="6"/>
    <n v="12236.874600000001"/>
    <n v="5897.58"/>
    <n v="6339.2946000000011"/>
    <n v="0.51804850562087157"/>
  </r>
  <r>
    <s v="ORD-2023-735274"/>
    <x v="29"/>
    <s v="Q1-2023"/>
    <d v="2023-03-08T00:00:00"/>
    <n v="13"/>
    <x v="3"/>
    <x v="8"/>
    <s v="Manchester"/>
    <s v="Small Business"/>
    <x v="4"/>
    <x v="0"/>
    <x v="1"/>
    <x v="349"/>
    <n v="307.37"/>
    <n v="462.61"/>
    <s v="High"/>
    <n v="0.188"/>
    <n v="11"/>
    <n v="4132.0325200000007"/>
    <n v="3381.07"/>
    <n v="750.9625200000005"/>
    <n v="0.18174167709599739"/>
  </r>
  <r>
    <s v="ORD-2023-212701"/>
    <x v="296"/>
    <s v="Q4-2023"/>
    <d v="2023-12-16T00:00:00"/>
    <n v="14"/>
    <x v="3"/>
    <x v="6"/>
    <s v="Frankfurt"/>
    <s v="Education"/>
    <x v="4"/>
    <x v="13"/>
    <x v="5"/>
    <x v="350"/>
    <n v="879.08"/>
    <n v="1093.3900000000001"/>
    <s v="High"/>
    <n v="0.113"/>
    <n v="17"/>
    <n v="16487.22781"/>
    <n v="14944.36"/>
    <n v="1542.8678099999997"/>
    <n v="9.3579577341935186E-2"/>
  </r>
  <r>
    <s v="ORD-2023-479747"/>
    <x v="288"/>
    <s v="Q3-2023"/>
    <d v="2023-07-14T00:00:00"/>
    <n v="0"/>
    <x v="0"/>
    <x v="1"/>
    <s v="Lagos"/>
    <s v="Education"/>
    <x v="0"/>
    <x v="2"/>
    <x v="6"/>
    <x v="351"/>
    <n v="956.38"/>
    <n v="1454.22"/>
    <s v="High"/>
    <n v="3.9E-2"/>
    <n v="19"/>
    <n v="26552.60298"/>
    <n v="18171.22"/>
    <n v="8381.3829799999985"/>
    <n v="0.31565202802576603"/>
  </r>
  <r>
    <s v="ORD-2024-915495"/>
    <x v="297"/>
    <s v="Q3-2024"/>
    <d v="2024-08-20T00:00:00"/>
    <n v="12"/>
    <x v="1"/>
    <x v="2"/>
    <s v="Osaka"/>
    <s v="Small Business"/>
    <x v="0"/>
    <x v="10"/>
    <x v="2"/>
    <x v="352"/>
    <n v="1233.3599999999999"/>
    <n v="2120.4"/>
    <s v="High"/>
    <n v="0.17899999999999999"/>
    <n v="20"/>
    <n v="34816.968000000001"/>
    <n v="24667.199999999997"/>
    <n v="10149.768000000004"/>
    <n v="0.29151785991244278"/>
  </r>
  <r>
    <s v="ORD-2024-225829"/>
    <x v="298"/>
    <s v="Q4-2024"/>
    <d v="2024-11-26T00:00:00"/>
    <n v="19"/>
    <x v="2"/>
    <x v="5"/>
    <s v="Rio de Janeiro"/>
    <s v="Non-Profit"/>
    <x v="3"/>
    <x v="1"/>
    <x v="1"/>
    <x v="353"/>
    <n v="55.35"/>
    <n v="128.68"/>
    <s v="High"/>
    <n v="0.128"/>
    <n v="10"/>
    <n v="1122.0896000000002"/>
    <n v="553.5"/>
    <n v="568.58960000000025"/>
    <n v="0.50672388372550647"/>
  </r>
  <r>
    <s v="ORD-2024-921935"/>
    <x v="299"/>
    <s v="Q1-2024"/>
    <d v="2024-01-27T00:00:00"/>
    <n v="26"/>
    <x v="3"/>
    <x v="8"/>
    <s v="Manchester"/>
    <s v="Education"/>
    <x v="3"/>
    <x v="14"/>
    <x v="6"/>
    <x v="354"/>
    <n v="657.45"/>
    <n v="1325.96"/>
    <s v="High"/>
    <n v="0.16700000000000001"/>
    <n v="21"/>
    <n v="23195.01828"/>
    <n v="13806.45"/>
    <n v="9388.5682799999995"/>
    <n v="0.40476658249048808"/>
  </r>
  <r>
    <s v="ORD-2025-949776"/>
    <x v="300"/>
    <s v="Q3-2025"/>
    <d v="2025-09-11T00:00:00"/>
    <n v="28"/>
    <x v="2"/>
    <x v="5"/>
    <s v="São Paulo"/>
    <s v="Non-Profit"/>
    <x v="4"/>
    <x v="9"/>
    <x v="1"/>
    <x v="355"/>
    <n v="1203.02"/>
    <n v="2439.33"/>
    <s v="High"/>
    <n v="0"/>
    <n v="18"/>
    <n v="43907.94"/>
    <n v="21654.36"/>
    <n v="22253.58"/>
    <n v="0.50682359500354612"/>
  </r>
  <r>
    <s v="ORD-2024-510591"/>
    <x v="149"/>
    <s v="Q2-2024"/>
    <d v="2024-04-21T00:00:00"/>
    <n v="18"/>
    <x v="2"/>
    <x v="5"/>
    <s v="Brasília"/>
    <s v="Small Business"/>
    <x v="3"/>
    <x v="5"/>
    <x v="2"/>
    <x v="356"/>
    <n v="1176.69"/>
    <n v="2201.54"/>
    <s v="High"/>
    <n v="0.17"/>
    <n v="27"/>
    <n v="49336.511399999996"/>
    <n v="31770.63"/>
    <n v="17565.881399999995"/>
    <n v="0.35604222717701106"/>
  </r>
  <r>
    <s v="ORD-2024-961756"/>
    <x v="301"/>
    <s v="Q4-2024"/>
    <d v="2024-12-07T00:00:00"/>
    <n v="12"/>
    <x v="1"/>
    <x v="9"/>
    <s v="Shanghai"/>
    <s v="Corporate"/>
    <x v="3"/>
    <x v="8"/>
    <x v="6"/>
    <x v="357"/>
    <n v="769.9"/>
    <n v="814.36"/>
    <s v="High"/>
    <n v="0"/>
    <n v="5"/>
    <n v="4071.8"/>
    <n v="3849.5"/>
    <n v="222.30000000000018"/>
    <n v="5.4595019401738831E-2"/>
  </r>
  <r>
    <s v="ORD-2024-892173"/>
    <x v="302"/>
    <s v="Q1-2024"/>
    <d v="2024-02-03T00:00:00"/>
    <n v="16"/>
    <x v="0"/>
    <x v="11"/>
    <s v="Cape Town"/>
    <s v="Non-Profit"/>
    <x v="3"/>
    <x v="4"/>
    <x v="1"/>
    <x v="358"/>
    <n v="666.23"/>
    <n v="1382.91"/>
    <s v="High"/>
    <n v="0.17599999999999999"/>
    <n v="13"/>
    <n v="14813.731920000002"/>
    <n v="8660.99"/>
    <n v="6152.7419200000022"/>
    <n v="0.41534043907553048"/>
  </r>
  <r>
    <s v="ORD-2024-704056"/>
    <x v="303"/>
    <s v="Q2-2024"/>
    <d v="2024-06-25T00:00:00"/>
    <n v="2"/>
    <x v="3"/>
    <x v="8"/>
    <s v="Birmingham"/>
    <s v="Small Business"/>
    <x v="2"/>
    <x v="4"/>
    <x v="6"/>
    <x v="359"/>
    <n v="951.44"/>
    <n v="1646.43"/>
    <s v="High"/>
    <n v="0.11"/>
    <n v="24"/>
    <n v="35167.7448"/>
    <n v="22834.560000000001"/>
    <n v="12333.184799999999"/>
    <n v="0.35069592520473475"/>
  </r>
  <r>
    <s v="ORD-2025-591006"/>
    <x v="304"/>
    <s v="Q2-2025"/>
    <d v="2025-07-10T00:00:00"/>
    <n v="15"/>
    <x v="3"/>
    <x v="8"/>
    <s v="Birmingham"/>
    <s v="Non-Profit"/>
    <x v="2"/>
    <x v="14"/>
    <x v="3"/>
    <x v="360"/>
    <n v="546.83000000000004"/>
    <n v="400.84"/>
    <s v="High"/>
    <n v="7.8E-2"/>
    <n v="13"/>
    <n v="4804.4682400000002"/>
    <n v="7108.7900000000009"/>
    <n v="-2304.3217600000007"/>
    <n v="-0.47962056254533608"/>
  </r>
  <r>
    <s v="ORD-2023-159821"/>
    <x v="305"/>
    <s v="Q3-2023"/>
    <d v="2023-07-08T00:00:00"/>
    <n v="7"/>
    <x v="0"/>
    <x v="1"/>
    <s v="Port Harcourt"/>
    <s v="Corporate"/>
    <x v="0"/>
    <x v="8"/>
    <x v="4"/>
    <x v="361"/>
    <n v="834.26"/>
    <n v="1780.56"/>
    <s v="High"/>
    <n v="1.4E-2"/>
    <n v="47"/>
    <n v="82514.711519999997"/>
    <n v="39210.22"/>
    <n v="43304.491519999996"/>
    <n v="0.5248093427497933"/>
  </r>
  <r>
    <s v="ORD-2024-343877"/>
    <x v="306"/>
    <s v="Q1-2024"/>
    <d v="2024-03-26T00:00:00"/>
    <n v="17"/>
    <x v="1"/>
    <x v="9"/>
    <s v="Shenzhen"/>
    <s v="Enterprise"/>
    <x v="1"/>
    <x v="11"/>
    <x v="5"/>
    <x v="362"/>
    <n v="1029.67"/>
    <n v="1118.43"/>
    <s v="High"/>
    <n v="0.27200000000000002"/>
    <n v="9"/>
    <n v="7327.9533600000004"/>
    <n v="9267.0300000000007"/>
    <n v="-1939.0766400000002"/>
    <n v="-0.26461367106736061"/>
  </r>
  <r>
    <s v="ORD-2023-386663"/>
    <x v="307"/>
    <s v="Q2-2023"/>
    <d v="2023-06-28T00:00:00"/>
    <n v="23"/>
    <x v="3"/>
    <x v="8"/>
    <s v="Birmingham"/>
    <s v="Corporate"/>
    <x v="4"/>
    <x v="11"/>
    <x v="1"/>
    <x v="363"/>
    <n v="605.82000000000005"/>
    <n v="771.12"/>
    <s v="High"/>
    <n v="0.13200000000000001"/>
    <n v="19"/>
    <n v="12717.311040000001"/>
    <n v="11510.580000000002"/>
    <n v="1206.7310399999988"/>
    <n v="9.4888851597986767E-2"/>
  </r>
  <r>
    <s v="ORD-2025-125517"/>
    <x v="308"/>
    <s v="Q1-2025"/>
    <d v="2025-04-09T00:00:00"/>
    <n v="19"/>
    <x v="1"/>
    <x v="2"/>
    <s v="Tokyo"/>
    <s v="Small Business"/>
    <x v="3"/>
    <x v="6"/>
    <x v="0"/>
    <x v="364"/>
    <n v="1055.45"/>
    <n v="1210.04"/>
    <s v="High"/>
    <n v="8.9999999999999993E-3"/>
    <n v="18"/>
    <n v="21584.693520000001"/>
    <n v="18998.100000000002"/>
    <n v="2586.5935199999985"/>
    <n v="0.1198346188053727"/>
  </r>
  <r>
    <s v="ORD-2024-819778"/>
    <x v="101"/>
    <s v="Q2-2024"/>
    <d v="2024-06-15T00:00:00"/>
    <n v="13"/>
    <x v="0"/>
    <x v="0"/>
    <s v="Mombasa"/>
    <s v="Education"/>
    <x v="1"/>
    <x v="7"/>
    <x v="3"/>
    <x v="365"/>
    <n v="1295.18"/>
    <n v="3024.03"/>
    <s v="High"/>
    <n v="0.192"/>
    <n v="8"/>
    <n v="19547.329920000004"/>
    <n v="10361.44"/>
    <n v="9185.8899200000033"/>
    <n v="0.46993067378483178"/>
  </r>
  <r>
    <s v="ORD-2025-624006"/>
    <x v="309"/>
    <s v="Q1-2025"/>
    <d v="2025-03-29T00:00:00"/>
    <n v="14"/>
    <x v="1"/>
    <x v="4"/>
    <s v="Mumbai"/>
    <s v="Enterprise"/>
    <x v="4"/>
    <x v="0"/>
    <x v="0"/>
    <x v="366"/>
    <n v="935.83"/>
    <n v="2303.46"/>
    <s v="High"/>
    <n v="0.105"/>
    <n v="9"/>
    <n v="18554.370299999999"/>
    <n v="8422.4700000000012"/>
    <n v="10131.900299999998"/>
    <n v="0.54606543559174292"/>
  </r>
  <r>
    <s v="ORD-2023-132101"/>
    <x v="198"/>
    <s v="Q3-2023"/>
    <d v="2023-10-09T00:00:00"/>
    <n v="14"/>
    <x v="2"/>
    <x v="10"/>
    <s v="New York"/>
    <s v="Small Business"/>
    <x v="2"/>
    <x v="1"/>
    <x v="4"/>
    <x v="367"/>
    <n v="1279.56"/>
    <n v="3083.8"/>
    <s v="High"/>
    <n v="0.106"/>
    <n v="5"/>
    <n v="13784.586000000001"/>
    <n v="6397.7999999999993"/>
    <n v="7386.7860000000019"/>
    <n v="0.53587289455047848"/>
  </r>
  <r>
    <s v="ORD-2025-306903"/>
    <x v="35"/>
    <s v="Q2-2025"/>
    <d v="2025-07-23T00:00:00"/>
    <n v="29"/>
    <x v="2"/>
    <x v="3"/>
    <s v="Vancouver"/>
    <s v="Non-Profit"/>
    <x v="2"/>
    <x v="2"/>
    <x v="1"/>
    <x v="368"/>
    <n v="255.4"/>
    <n v="322.70999999999998"/>
    <s v="High"/>
    <n v="0.115"/>
    <n v="16"/>
    <n v="4569.5735999999997"/>
    <n v="4086.4"/>
    <n v="483.17359999999962"/>
    <n v="0.10573713048412212"/>
  </r>
  <r>
    <s v="ORD-2023-813340"/>
    <x v="310"/>
    <s v="Q4-2023"/>
    <d v="2024-01-03T00:00:00"/>
    <n v="8"/>
    <x v="3"/>
    <x v="7"/>
    <s v="Lyon"/>
    <s v="Small Business"/>
    <x v="0"/>
    <x v="12"/>
    <x v="4"/>
    <x v="369"/>
    <n v="492.75"/>
    <n v="731.29"/>
    <s v="High"/>
    <n v="5.8000000000000003E-2"/>
    <n v="6"/>
    <n v="4133.25108"/>
    <n v="2956.5"/>
    <n v="1176.75108"/>
    <n v="0.28470350753528384"/>
  </r>
  <r>
    <s v="ORD-2023-855675"/>
    <x v="311"/>
    <s v="Q1-2023"/>
    <d v="2023-02-28T00:00:00"/>
    <n v="23"/>
    <x v="2"/>
    <x v="10"/>
    <s v="Austin"/>
    <s v="Non-Profit"/>
    <x v="3"/>
    <x v="4"/>
    <x v="3"/>
    <x v="370"/>
    <n v="1214.49"/>
    <n v="1533.95"/>
    <s v="High"/>
    <n v="0"/>
    <n v="11"/>
    <n v="16873.45"/>
    <n v="13359.39"/>
    <n v="3514.0600000000013"/>
    <n v="0.20825972163369086"/>
  </r>
  <r>
    <s v="ORD-2023-545150"/>
    <x v="89"/>
    <s v="Q2-2023"/>
    <d v="2023-04-08T00:00:00"/>
    <n v="2"/>
    <x v="0"/>
    <x v="1"/>
    <s v="Abuja"/>
    <s v="Small Business"/>
    <x v="2"/>
    <x v="11"/>
    <x v="5"/>
    <x v="371"/>
    <n v="720.35"/>
    <n v="1571.66"/>
    <s v="High"/>
    <n v="0.107"/>
    <n v="23"/>
    <n v="32280.32474"/>
    <n v="16568.05"/>
    <n v="15712.274740000001"/>
    <n v="0.4867446305622265"/>
  </r>
  <r>
    <s v="ORD-2025-269934"/>
    <x v="253"/>
    <s v="Q2-2025"/>
    <d v="2025-04-10T00:00:00"/>
    <n v="6"/>
    <x v="3"/>
    <x v="8"/>
    <s v="Birmingham"/>
    <s v="Non-Profit"/>
    <x v="4"/>
    <x v="13"/>
    <x v="1"/>
    <x v="372"/>
    <n v="290.14"/>
    <n v="250.73"/>
    <s v="High"/>
    <n v="3.4000000000000002E-2"/>
    <n v="17"/>
    <n v="4117.4880599999997"/>
    <n v="4932.38"/>
    <n v="-814.89194000000043"/>
    <n v="-0.19790997038131072"/>
  </r>
  <r>
    <s v="ORD-2024-690270"/>
    <x v="312"/>
    <s v="Q2-2024"/>
    <d v="2024-05-27T00:00:00"/>
    <n v="10"/>
    <x v="2"/>
    <x v="10"/>
    <s v="Austin"/>
    <s v="Non-Profit"/>
    <x v="1"/>
    <x v="0"/>
    <x v="3"/>
    <x v="373"/>
    <n v="1484.23"/>
    <n v="3472.81"/>
    <s v="High"/>
    <n v="0.25600000000000001"/>
    <n v="12"/>
    <n v="31005.24768"/>
    <n v="17810.760000000002"/>
    <n v="13194.487679999998"/>
    <n v="0.42555659661803413"/>
  </r>
  <r>
    <s v="ORD-2024-868223"/>
    <x v="313"/>
    <s v="Q1-2024"/>
    <d v="2024-03-19T00:00:00"/>
    <n v="16"/>
    <x v="1"/>
    <x v="9"/>
    <s v="Beijing"/>
    <s v="Consumer"/>
    <x v="3"/>
    <x v="3"/>
    <x v="3"/>
    <x v="374"/>
    <n v="988.83"/>
    <n v="1206.04"/>
    <s v="High"/>
    <n v="6.3E-2"/>
    <n v="34"/>
    <n v="38422.022320000004"/>
    <n v="33620.22"/>
    <n v="4801.8023200000025"/>
    <n v="0.12497526236406606"/>
  </r>
  <r>
    <s v="ORD-2025-188059"/>
    <x v="231"/>
    <s v="Q2-2025"/>
    <d v="2025-07-11T00:00:00"/>
    <n v="14"/>
    <x v="1"/>
    <x v="9"/>
    <s v="Shanghai"/>
    <s v="Small Business"/>
    <x v="2"/>
    <x v="4"/>
    <x v="2"/>
    <x v="375"/>
    <n v="1227.7"/>
    <n v="2197.23"/>
    <s v="High"/>
    <n v="9.9000000000000005E-2"/>
    <n v="22"/>
    <n v="43553.493060000001"/>
    <n v="27009.4"/>
    <n v="16544.093059999999"/>
    <n v="0.37985685871873898"/>
  </r>
  <r>
    <s v="ORD-2023-281890"/>
    <x v="314"/>
    <s v="Q1-2023"/>
    <d v="2023-04-04T00:00:00"/>
    <n v="22"/>
    <x v="0"/>
    <x v="11"/>
    <s v="Durban"/>
    <s v="Small Business"/>
    <x v="0"/>
    <x v="8"/>
    <x v="0"/>
    <x v="376"/>
    <n v="1113.7"/>
    <n v="1620.6"/>
    <s v="High"/>
    <n v="0.13900000000000001"/>
    <n v="11"/>
    <n v="15348.702599999999"/>
    <n v="12250.7"/>
    <n v="3098.002599999998"/>
    <n v="0.20184133348182787"/>
  </r>
  <r>
    <s v="ORD-2025-636162"/>
    <x v="315"/>
    <s v="Q1-2025"/>
    <d v="2025-01-20T00:00:00"/>
    <n v="13"/>
    <x v="0"/>
    <x v="11"/>
    <s v="Cape Town"/>
    <s v="Corporate"/>
    <x v="4"/>
    <x v="11"/>
    <x v="2"/>
    <x v="377"/>
    <n v="432.13"/>
    <n v="1034.6600000000001"/>
    <s v="High"/>
    <n v="9.1999999999999998E-2"/>
    <n v="7"/>
    <n v="6576.298960000001"/>
    <n v="3024.91"/>
    <n v="3551.3889600000011"/>
    <n v="0.54002851476204794"/>
  </r>
  <r>
    <s v="ORD-2025-915869"/>
    <x v="316"/>
    <s v="Q1-2025"/>
    <d v="2025-02-15T00:00:00"/>
    <n v="9"/>
    <x v="2"/>
    <x v="5"/>
    <s v="São Paulo"/>
    <s v="Non-Profit"/>
    <x v="3"/>
    <x v="9"/>
    <x v="2"/>
    <x v="378"/>
    <n v="837.39"/>
    <n v="1905.42"/>
    <s v="High"/>
    <n v="3.2000000000000001E-2"/>
    <n v="18"/>
    <n v="33200.038079999998"/>
    <n v="15073.02"/>
    <n v="18127.018079999998"/>
    <n v="0.54599389423350919"/>
  </r>
  <r>
    <s v="ORD-2025-192876"/>
    <x v="317"/>
    <s v="Q1-2025"/>
    <d v="2025-02-17T00:00:00"/>
    <n v="17"/>
    <x v="3"/>
    <x v="8"/>
    <s v="London"/>
    <s v="Enterprise"/>
    <x v="0"/>
    <x v="10"/>
    <x v="0"/>
    <x v="78"/>
    <n v="378.26"/>
    <n v="541.55999999999995"/>
    <s v="High"/>
    <n v="0.16300000000000001"/>
    <n v="25"/>
    <n v="11332.142999999998"/>
    <n v="9456.5"/>
    <n v="1875.6429999999982"/>
    <n v="0.16551529573885526"/>
  </r>
  <r>
    <s v="ORD-2025-822030"/>
    <x v="83"/>
    <s v="Q3-2025"/>
    <d v="2025-09-06T00:00:00"/>
    <n v="30"/>
    <x v="2"/>
    <x v="3"/>
    <s v="Montreal"/>
    <s v="Education"/>
    <x v="4"/>
    <x v="12"/>
    <x v="2"/>
    <x v="379"/>
    <n v="833.73"/>
    <n v="1116.5999999999999"/>
    <s v="High"/>
    <n v="0.17599999999999999"/>
    <n v="14"/>
    <n v="12881.097599999999"/>
    <n v="11672.220000000001"/>
    <n v="1208.877599999998"/>
    <n v="9.3848958958279924E-2"/>
  </r>
  <r>
    <s v="ORD-2025-789245"/>
    <x v="318"/>
    <s v="Q3-2025"/>
    <d v="2025-08-17T00:00:00"/>
    <n v="25"/>
    <x v="3"/>
    <x v="8"/>
    <s v="Birmingham"/>
    <s v="Education"/>
    <x v="1"/>
    <x v="2"/>
    <x v="1"/>
    <x v="380"/>
    <n v="1142.06"/>
    <n v="1455"/>
    <s v="High"/>
    <n v="7.8E-2"/>
    <n v="28"/>
    <n v="37562.28"/>
    <n v="31977.68"/>
    <n v="5584.5999999999985"/>
    <n v="0.1486757459877302"/>
  </r>
  <r>
    <s v="ORD-2023-594955"/>
    <x v="263"/>
    <s v="Q2-2023"/>
    <d v="2023-07-08T00:00:00"/>
    <n v="18"/>
    <x v="2"/>
    <x v="10"/>
    <s v="New York"/>
    <s v="Consumer"/>
    <x v="2"/>
    <x v="7"/>
    <x v="2"/>
    <x v="381"/>
    <n v="1145.53"/>
    <n v="1278.3"/>
    <s v="High"/>
    <n v="0.09"/>
    <n v="41"/>
    <n v="47693.373"/>
    <n v="46966.729999999996"/>
    <n v="726.64300000000367"/>
    <n v="1.5235722581416158E-2"/>
  </r>
  <r>
    <s v="ORD-2024-398783"/>
    <x v="319"/>
    <s v="Q3-2024"/>
    <d v="2024-08-07T00:00:00"/>
    <n v="20"/>
    <x v="3"/>
    <x v="7"/>
    <s v="Marseille"/>
    <s v="Corporate"/>
    <x v="0"/>
    <x v="9"/>
    <x v="5"/>
    <x v="382"/>
    <n v="941.35"/>
    <n v="899.83"/>
    <s v="High"/>
    <n v="5.8000000000000003E-2"/>
    <n v="18"/>
    <n v="15257.51748"/>
    <n v="16944.3"/>
    <n v="-1686.7825199999988"/>
    <n v="-0.11055419220139073"/>
  </r>
  <r>
    <s v="ORD-2023-676553"/>
    <x v="72"/>
    <s v="Q2-2023"/>
    <d v="2023-06-19T00:00:00"/>
    <n v="30"/>
    <x v="1"/>
    <x v="4"/>
    <s v="Delhi"/>
    <s v="Non-Profit"/>
    <x v="2"/>
    <x v="10"/>
    <x v="4"/>
    <x v="383"/>
    <n v="1161.2"/>
    <n v="878.73"/>
    <s v="High"/>
    <n v="0.19"/>
    <n v="31"/>
    <n v="22064.910300000003"/>
    <n v="35997.200000000004"/>
    <n v="-13932.289700000001"/>
    <n v="-0.63142290227212028"/>
  </r>
  <r>
    <s v="ORD-2025-866565"/>
    <x v="320"/>
    <s v="Q2-2025"/>
    <d v="2025-05-26T00:00:00"/>
    <n v="14"/>
    <x v="1"/>
    <x v="4"/>
    <s v="Hyderabad"/>
    <s v="Corporate"/>
    <x v="2"/>
    <x v="3"/>
    <x v="1"/>
    <x v="384"/>
    <n v="320.12"/>
    <n v="594.41999999999996"/>
    <s v="High"/>
    <n v="0.104"/>
    <n v="18"/>
    <n v="9586.8057599999993"/>
    <n v="5762.16"/>
    <n v="3824.6457599999994"/>
    <n v="0.39894891538931104"/>
  </r>
  <r>
    <s v="ORD-2024-527858"/>
    <x v="321"/>
    <s v="Q2-2024"/>
    <d v="2024-05-12T00:00:00"/>
    <n v="5"/>
    <x v="0"/>
    <x v="1"/>
    <s v="Abuja"/>
    <s v="Non-Profit"/>
    <x v="3"/>
    <x v="4"/>
    <x v="4"/>
    <x v="385"/>
    <n v="1163.99"/>
    <n v="1617.85"/>
    <s v="High"/>
    <n v="0.127"/>
    <n v="14"/>
    <n v="19773.362699999998"/>
    <n v="16295.86"/>
    <n v="3477.5026999999973"/>
    <n v="0.17586804797749436"/>
  </r>
  <r>
    <s v="ORD-2023-619385"/>
    <x v="322"/>
    <s v="Q3-2023"/>
    <d v="2023-10-03T00:00:00"/>
    <n v="3"/>
    <x v="1"/>
    <x v="9"/>
    <s v="Beijing"/>
    <s v="Non-Profit"/>
    <x v="0"/>
    <x v="1"/>
    <x v="4"/>
    <x v="386"/>
    <n v="1019.36"/>
    <n v="972.91"/>
    <s v="High"/>
    <n v="0.14699999999999999"/>
    <n v="17"/>
    <n v="14108.16791"/>
    <n v="17329.12"/>
    <n v="-3220.9520899999989"/>
    <n v="-0.22830406545678819"/>
  </r>
  <r>
    <s v="ORD-2023-835226"/>
    <x v="323"/>
    <s v="Q4-2023"/>
    <d v="2023-11-05T00:00:00"/>
    <n v="10"/>
    <x v="0"/>
    <x v="11"/>
    <s v="Cape Town"/>
    <s v="Non-Profit"/>
    <x v="1"/>
    <x v="2"/>
    <x v="4"/>
    <x v="387"/>
    <n v="20.38"/>
    <n v="42.56"/>
    <s v="High"/>
    <n v="7.1999999999999995E-2"/>
    <n v="11"/>
    <n v="434.45248000000004"/>
    <n v="224.17999999999998"/>
    <n v="210.27248000000006"/>
    <n v="0.48399419885921713"/>
  </r>
  <r>
    <s v="ORD-2025-485946"/>
    <x v="324"/>
    <s v="Q2-2025"/>
    <d v="2025-06-30T00:00:00"/>
    <n v="15"/>
    <x v="0"/>
    <x v="11"/>
    <s v="Johannesburg"/>
    <s v="Small Business"/>
    <x v="4"/>
    <x v="0"/>
    <x v="5"/>
    <x v="388"/>
    <n v="1487.59"/>
    <n v="1480.83"/>
    <s v="High"/>
    <n v="8.9999999999999993E-3"/>
    <n v="11"/>
    <n v="16142.527829999999"/>
    <n v="16363.49"/>
    <n v="-220.9621700000007"/>
    <n v="-1.3688201273492908E-2"/>
  </r>
  <r>
    <s v="ORD-2024-307849"/>
    <x v="325"/>
    <s v="Q3-2024"/>
    <d v="2024-09-07T00:00:00"/>
    <n v="28"/>
    <x v="3"/>
    <x v="7"/>
    <s v="Marseille"/>
    <s v="Non-Profit"/>
    <x v="4"/>
    <x v="9"/>
    <x v="1"/>
    <x v="389"/>
    <n v="229.96"/>
    <n v="564.26"/>
    <s v="High"/>
    <n v="0.105"/>
    <n v="5"/>
    <n v="2525.0635000000002"/>
    <n v="1149.8"/>
    <n v="1375.2635000000002"/>
    <n v="0.54464511486542821"/>
  </r>
  <r>
    <s v="ORD-2023-368449"/>
    <x v="326"/>
    <s v="Q4-2023"/>
    <d v="2023-10-26T00:00:00"/>
    <n v="17"/>
    <x v="1"/>
    <x v="9"/>
    <s v="Shanghai"/>
    <s v="Consumer"/>
    <x v="2"/>
    <x v="0"/>
    <x v="0"/>
    <x v="390"/>
    <n v="1132.03"/>
    <n v="2137.21"/>
    <s v="High"/>
    <n v="0.3"/>
    <n v="35"/>
    <n v="52361.645000000004"/>
    <n v="39621.049999999996"/>
    <n v="12740.595000000008"/>
    <n v="0.24331922727026639"/>
  </r>
  <r>
    <s v="ORD-2024-251426"/>
    <x v="306"/>
    <s v="Q1-2024"/>
    <d v="2024-03-26T00:00:00"/>
    <n v="17"/>
    <x v="2"/>
    <x v="10"/>
    <s v="San Francisco"/>
    <s v="Education"/>
    <x v="4"/>
    <x v="2"/>
    <x v="3"/>
    <x v="391"/>
    <n v="1137.4100000000001"/>
    <n v="1680.93"/>
    <s v="High"/>
    <n v="0.254"/>
    <n v="9"/>
    <n v="11285.764020000001"/>
    <n v="10236.69"/>
    <n v="1049.07402"/>
    <n v="9.2955516183121464E-2"/>
  </r>
  <r>
    <s v="ORD-2023-927385"/>
    <x v="327"/>
    <s v="Q2-2023"/>
    <d v="2023-06-20T00:00:00"/>
    <n v="22"/>
    <x v="3"/>
    <x v="8"/>
    <s v="London"/>
    <s v="Small Business"/>
    <x v="4"/>
    <x v="11"/>
    <x v="0"/>
    <x v="392"/>
    <n v="1295.3900000000001"/>
    <n v="2905.06"/>
    <s v="High"/>
    <n v="0.14799999999999999"/>
    <n v="8"/>
    <n v="19800.88896"/>
    <n v="10363.120000000001"/>
    <n v="9437.7689599999994"/>
    <n v="0.47663359857556614"/>
  </r>
  <r>
    <s v="ORD-2025-486350"/>
    <x v="328"/>
    <s v="Q2-2025"/>
    <d v="2025-06-08T00:00:00"/>
    <n v="12"/>
    <x v="1"/>
    <x v="2"/>
    <s v="Osaka"/>
    <s v="Corporate"/>
    <x v="0"/>
    <x v="10"/>
    <x v="6"/>
    <x v="393"/>
    <n v="653.6"/>
    <n v="842.09"/>
    <s v="High"/>
    <n v="9.8000000000000004E-2"/>
    <n v="19"/>
    <n v="14431.738420000001"/>
    <n v="12418.4"/>
    <n v="2013.3384200000019"/>
    <n v="0.13950768517324622"/>
  </r>
  <r>
    <s v="ORD-2025-677880"/>
    <x v="164"/>
    <s v="Q3-2025"/>
    <d v="2025-09-14T00:00:00"/>
    <n v="24"/>
    <x v="3"/>
    <x v="6"/>
    <s v="Berlin"/>
    <s v="Non-Profit"/>
    <x v="1"/>
    <x v="8"/>
    <x v="5"/>
    <x v="394"/>
    <n v="1397.67"/>
    <n v="3131.37"/>
    <s v="High"/>
    <n v="0.10299999999999999"/>
    <n v="20"/>
    <n v="56176.777799999996"/>
    <n v="27953.4"/>
    <n v="28223.377799999995"/>
    <n v="0.50240293062874808"/>
  </r>
  <r>
    <s v="ORD-2024-102866"/>
    <x v="329"/>
    <s v="Q4-2024"/>
    <d v="2024-12-20T00:00:00"/>
    <n v="8"/>
    <x v="1"/>
    <x v="2"/>
    <s v="Tokyo"/>
    <s v="Corporate"/>
    <x v="0"/>
    <x v="5"/>
    <x v="4"/>
    <x v="395"/>
    <n v="1202.47"/>
    <n v="1444.72"/>
    <s v="High"/>
    <n v="0.24099999999999999"/>
    <n v="17"/>
    <n v="18641.222160000001"/>
    <n v="20441.990000000002"/>
    <n v="-1800.7678400000004"/>
    <n v="-9.6601382921343834E-2"/>
  </r>
  <r>
    <s v="ORD-2025-588029"/>
    <x v="283"/>
    <s v="Q3-2025"/>
    <d v="2025-09-23T00:00:00"/>
    <n v="9"/>
    <x v="0"/>
    <x v="11"/>
    <s v="Durban"/>
    <s v="Non-Profit"/>
    <x v="1"/>
    <x v="14"/>
    <x v="0"/>
    <x v="396"/>
    <n v="1310.3"/>
    <n v="2875.8"/>
    <s v="High"/>
    <n v="8.3000000000000004E-2"/>
    <n v="5"/>
    <n v="13185.543"/>
    <n v="6551.5"/>
    <n v="6634.0429999999997"/>
    <n v="0.50313005691157353"/>
  </r>
  <r>
    <s v="ORD-2024-972999"/>
    <x v="330"/>
    <s v="Q3-2024"/>
    <d v="2024-10-04T00:00:00"/>
    <n v="28"/>
    <x v="0"/>
    <x v="11"/>
    <s v="Cape Town"/>
    <s v="Corporate"/>
    <x v="2"/>
    <x v="14"/>
    <x v="5"/>
    <x v="397"/>
    <n v="1174.17"/>
    <n v="1641.61"/>
    <s v="High"/>
    <n v="0.122"/>
    <n v="9"/>
    <n v="12972.00222"/>
    <n v="10567.53"/>
    <n v="2404.4722199999997"/>
    <n v="0.18535860380079394"/>
  </r>
  <r>
    <s v="ORD-2025-608069"/>
    <x v="331"/>
    <s v="Q2-2025"/>
    <d v="2025-04-30T00:00:00"/>
    <n v="18"/>
    <x v="0"/>
    <x v="0"/>
    <s v="Kisumu"/>
    <s v="Corporate"/>
    <x v="2"/>
    <x v="9"/>
    <x v="2"/>
    <x v="398"/>
    <n v="1119.04"/>
    <n v="1299.02"/>
    <s v="High"/>
    <n v="2.5000000000000001E-2"/>
    <n v="14"/>
    <n v="17731.623"/>
    <n v="15666.56"/>
    <n v="2065.0630000000001"/>
    <n v="0.11646215352085933"/>
  </r>
  <r>
    <s v="ORD-2024-626750"/>
    <x v="174"/>
    <s v="Q3-2024"/>
    <d v="2024-08-15T00:00:00"/>
    <n v="3"/>
    <x v="2"/>
    <x v="10"/>
    <s v="Chicago"/>
    <s v="Corporate"/>
    <x v="2"/>
    <x v="14"/>
    <x v="1"/>
    <x v="399"/>
    <n v="850.7"/>
    <n v="1118.56"/>
    <s v="High"/>
    <n v="0.18"/>
    <n v="19"/>
    <n v="17427.164800000002"/>
    <n v="16163.300000000001"/>
    <n v="1263.8648000000012"/>
    <n v="7.2522685962090688E-2"/>
  </r>
  <r>
    <s v="ORD-2024-170021"/>
    <x v="332"/>
    <s v="Q4-2024"/>
    <d v="2024-11-08T00:00:00"/>
    <n v="3"/>
    <x v="2"/>
    <x v="3"/>
    <s v="Toronto"/>
    <s v="Education"/>
    <x v="2"/>
    <x v="7"/>
    <x v="0"/>
    <x v="400"/>
    <n v="1020.4"/>
    <n v="1184.71"/>
    <s v="High"/>
    <n v="0.106"/>
    <n v="16"/>
    <n v="16946.091840000001"/>
    <n v="16326.4"/>
    <n v="619.69184000000132"/>
    <n v="3.6568422138328345E-2"/>
  </r>
  <r>
    <s v="ORD-2024-678110"/>
    <x v="333"/>
    <s v="Q3-2024"/>
    <d v="2024-08-08T00:00:00"/>
    <n v="15"/>
    <x v="3"/>
    <x v="7"/>
    <s v="Marseille"/>
    <s v="Enterprise"/>
    <x v="2"/>
    <x v="10"/>
    <x v="4"/>
    <x v="401"/>
    <n v="501.5"/>
    <n v="1201.47"/>
    <s v="High"/>
    <n v="0.126"/>
    <n v="5"/>
    <n v="5250.4239000000007"/>
    <n v="2507.5"/>
    <n v="2742.9239000000007"/>
    <n v="0.52241951359394057"/>
  </r>
  <r>
    <s v="ORD-2025-909340"/>
    <x v="334"/>
    <s v="Q1-2025"/>
    <d v="2025-02-03T00:00:00"/>
    <n v="14"/>
    <x v="2"/>
    <x v="5"/>
    <s v="Brasília"/>
    <s v="Enterprise"/>
    <x v="2"/>
    <x v="9"/>
    <x v="0"/>
    <x v="402"/>
    <n v="974.11"/>
    <n v="880.99"/>
    <s v="High"/>
    <n v="0.111"/>
    <n v="10"/>
    <n v="7832.0010999999995"/>
    <n v="9741.1"/>
    <n v="-1909.0989000000009"/>
    <n v="-0.2437562093805121"/>
  </r>
  <r>
    <s v="ORD-2023-854471"/>
    <x v="335"/>
    <s v="Q1-2023"/>
    <d v="2023-04-04T00:00:00"/>
    <n v="29"/>
    <x v="1"/>
    <x v="9"/>
    <s v="Beijing"/>
    <s v="Small Business"/>
    <x v="4"/>
    <x v="0"/>
    <x v="5"/>
    <x v="403"/>
    <n v="1126.29"/>
    <n v="2050.87"/>
    <s v="High"/>
    <n v="6.4000000000000001E-2"/>
    <n v="7"/>
    <n v="13437.300239999999"/>
    <n v="7884.03"/>
    <n v="5553.2702399999989"/>
    <n v="0.41327276616690373"/>
  </r>
  <r>
    <s v="ORD-2024-390951"/>
    <x v="336"/>
    <s v="Q4-2024"/>
    <d v="2025-01-14T00:00:00"/>
    <n v="25"/>
    <x v="1"/>
    <x v="4"/>
    <s v="Delhi"/>
    <s v="Small Business"/>
    <x v="0"/>
    <x v="12"/>
    <x v="1"/>
    <x v="404"/>
    <n v="1361.34"/>
    <n v="1737.9"/>
    <s v="High"/>
    <n v="7.6999999999999999E-2"/>
    <n v="14"/>
    <n v="22457.143800000002"/>
    <n v="19058.759999999998"/>
    <n v="3398.3838000000032"/>
    <n v="0.15132751654731813"/>
  </r>
  <r>
    <s v="ORD-2025-881624"/>
    <x v="337"/>
    <s v="Q1-2025"/>
    <d v="2025-03-21T00:00:00"/>
    <n v="28"/>
    <x v="0"/>
    <x v="1"/>
    <s v="Abuja"/>
    <s v="Enterprise"/>
    <x v="2"/>
    <x v="2"/>
    <x v="3"/>
    <x v="405"/>
    <n v="1437.39"/>
    <n v="1388.31"/>
    <s v="High"/>
    <n v="0.13800000000000001"/>
    <n v="18"/>
    <n v="21541.017959999997"/>
    <n v="25873.02"/>
    <n v="-4332.002040000003"/>
    <n v="-0.20110479681341872"/>
  </r>
  <r>
    <s v="ORD-2025-512310"/>
    <x v="338"/>
    <s v="Q1-2025"/>
    <d v="2025-03-15T00:00:00"/>
    <n v="7"/>
    <x v="1"/>
    <x v="4"/>
    <s v="Bengaluru"/>
    <s v="Corporate"/>
    <x v="3"/>
    <x v="11"/>
    <x v="4"/>
    <x v="406"/>
    <n v="475.66"/>
    <n v="529.14"/>
    <s v="High"/>
    <n v="0.19600000000000001"/>
    <n v="11"/>
    <n v="4679.7141600000004"/>
    <n v="5232.26"/>
    <n v="-552.54583999999977"/>
    <n v="-0.11807256193613323"/>
  </r>
  <r>
    <s v="ORD-2023-674887"/>
    <x v="339"/>
    <s v="Q4-2023"/>
    <d v="2023-12-19T00:00:00"/>
    <n v="3"/>
    <x v="1"/>
    <x v="9"/>
    <s v="Beijing"/>
    <s v="Education"/>
    <x v="0"/>
    <x v="8"/>
    <x v="6"/>
    <x v="407"/>
    <n v="1415.05"/>
    <n v="1972.38"/>
    <s v="High"/>
    <n v="0"/>
    <n v="12"/>
    <n v="23668.560000000001"/>
    <n v="16980.599999999999"/>
    <n v="6687.9600000000028"/>
    <n v="0.28256725377462771"/>
  </r>
  <r>
    <s v="ORD-2024-542244"/>
    <x v="340"/>
    <s v="Q3-2024"/>
    <d v="2024-09-05T00:00:00"/>
    <n v="6"/>
    <x v="1"/>
    <x v="2"/>
    <s v="Nagoya"/>
    <s v="Education"/>
    <x v="1"/>
    <x v="13"/>
    <x v="4"/>
    <x v="408"/>
    <n v="466.16"/>
    <n v="876.81"/>
    <s v="High"/>
    <n v="0.24099999999999999"/>
    <n v="8"/>
    <n v="5323.9903199999999"/>
    <n v="3729.28"/>
    <n v="1594.7103199999997"/>
    <n v="0.29953291124691594"/>
  </r>
  <r>
    <s v="ORD-2024-375848"/>
    <x v="22"/>
    <s v="Q2-2024"/>
    <d v="2024-05-21T00:00:00"/>
    <n v="3"/>
    <x v="3"/>
    <x v="7"/>
    <s v="Marseille"/>
    <s v="Non-Profit"/>
    <x v="2"/>
    <x v="14"/>
    <x v="1"/>
    <x v="409"/>
    <n v="663.66"/>
    <n v="824.26"/>
    <s v="High"/>
    <n v="0.23899999999999999"/>
    <n v="11"/>
    <n v="6899.8804600000003"/>
    <n v="7300.2599999999993"/>
    <n v="-400.379539999999"/>
    <n v="-5.8027025587048933E-2"/>
  </r>
  <r>
    <s v="ORD-2023-933238"/>
    <x v="341"/>
    <s v="Q1-2023"/>
    <d v="2023-04-06T00:00:00"/>
    <n v="20"/>
    <x v="3"/>
    <x v="6"/>
    <s v="Munich"/>
    <s v="Consumer"/>
    <x v="0"/>
    <x v="7"/>
    <x v="3"/>
    <x v="410"/>
    <n v="692.18"/>
    <n v="1159.3499999999999"/>
    <s v="High"/>
    <n v="0.112"/>
    <n v="2"/>
    <n v="2059.0056"/>
    <n v="1384.36"/>
    <n v="674.64560000000006"/>
    <n v="0.32765602968734037"/>
  </r>
  <r>
    <s v="ORD-2023-732585"/>
    <x v="342"/>
    <s v="Q3-2023"/>
    <d v="2023-09-16T00:00:00"/>
    <n v="22"/>
    <x v="0"/>
    <x v="1"/>
    <s v="Abuja"/>
    <s v="Corporate"/>
    <x v="2"/>
    <x v="4"/>
    <x v="3"/>
    <x v="411"/>
    <n v="1196.83"/>
    <n v="2513.5100000000002"/>
    <s v="High"/>
    <n v="8.3000000000000004E-2"/>
    <n v="7"/>
    <n v="16134.22069"/>
    <n v="8377.81"/>
    <n v="7756.4106900000006"/>
    <n v="0.48074281609445374"/>
  </r>
  <r>
    <s v="ORD-2024-465898"/>
    <x v="343"/>
    <s v="Q2-2024"/>
    <d v="2024-06-24T00:00:00"/>
    <n v="18"/>
    <x v="1"/>
    <x v="4"/>
    <s v="Bengaluru"/>
    <s v="Small Business"/>
    <x v="4"/>
    <x v="10"/>
    <x v="2"/>
    <x v="412"/>
    <n v="1253.25"/>
    <n v="3087.13"/>
    <s v="High"/>
    <n v="7.1999999999999995E-2"/>
    <n v="11"/>
    <n v="31513.423040000001"/>
    <n v="13785.75"/>
    <n v="17727.673040000001"/>
    <n v="0.562543555408064"/>
  </r>
  <r>
    <s v="ORD-2023-987081"/>
    <x v="344"/>
    <s v="Q3-2023"/>
    <d v="2023-09-13T00:00:00"/>
    <n v="15"/>
    <x v="2"/>
    <x v="3"/>
    <s v="Vancouver"/>
    <s v="Small Business"/>
    <x v="2"/>
    <x v="7"/>
    <x v="1"/>
    <x v="413"/>
    <n v="1287.6400000000001"/>
    <n v="2717.15"/>
    <s v="High"/>
    <n v="3.2000000000000001E-2"/>
    <n v="7"/>
    <n v="18411.4084"/>
    <n v="9013.4800000000014"/>
    <n v="9397.9283999999989"/>
    <n v="0.51044049405802105"/>
  </r>
  <r>
    <s v="ORD-2024-655710"/>
    <x v="25"/>
    <s v="Q4-2024"/>
    <d v="2024-12-10T00:00:00"/>
    <n v="10"/>
    <x v="1"/>
    <x v="4"/>
    <s v="Hyderabad"/>
    <s v="Small Business"/>
    <x v="0"/>
    <x v="9"/>
    <x v="6"/>
    <x v="414"/>
    <n v="851.49"/>
    <n v="901.79"/>
    <s v="High"/>
    <n v="0.245"/>
    <n v="16"/>
    <n v="10893.6232"/>
    <n v="13623.84"/>
    <n v="-2730.2168000000001"/>
    <n v="-0.25062522816100341"/>
  </r>
  <r>
    <s v="ORD-2025-411385"/>
    <x v="345"/>
    <s v="Q2-2025"/>
    <d v="2025-06-14T00:00:00"/>
    <n v="9"/>
    <x v="1"/>
    <x v="4"/>
    <s v="Delhi"/>
    <s v="Non-Profit"/>
    <x v="0"/>
    <x v="8"/>
    <x v="6"/>
    <x v="415"/>
    <n v="618.69000000000005"/>
    <n v="796.15"/>
    <s v="High"/>
    <n v="0.09"/>
    <n v="11"/>
    <n v="7969.4615000000003"/>
    <n v="6805.59"/>
    <n v="1163.8715000000002"/>
    <n v="0.14604142325049191"/>
  </r>
  <r>
    <s v="ORD-2025-222035"/>
    <x v="251"/>
    <s v="Q1-2025"/>
    <d v="2025-04-08T00:00:00"/>
    <n v="25"/>
    <x v="1"/>
    <x v="9"/>
    <s v="Unknown"/>
    <s v="Corporate"/>
    <x v="3"/>
    <x v="14"/>
    <x v="1"/>
    <x v="416"/>
    <n v="80.59"/>
    <n v="157.82"/>
    <s v="High"/>
    <n v="0.217"/>
    <n v="6"/>
    <n v="741.43835999999999"/>
    <n v="483.54"/>
    <n v="257.89835999999997"/>
    <n v="0.34783519967863541"/>
  </r>
  <r>
    <s v="ORD-2024-749242"/>
    <x v="346"/>
    <s v="Q1-2024"/>
    <d v="2024-02-11T00:00:00"/>
    <n v="26"/>
    <x v="3"/>
    <x v="6"/>
    <s v="Frankfurt"/>
    <s v="Non-Profit"/>
    <x v="3"/>
    <x v="6"/>
    <x v="5"/>
    <x v="417"/>
    <n v="504.93"/>
    <n v="819.06"/>
    <s v="High"/>
    <n v="0.22600000000000001"/>
    <n v="15"/>
    <n v="9509.2865999999995"/>
    <n v="7573.95"/>
    <n v="1935.3365999999996"/>
    <n v="0.20352069312959814"/>
  </r>
  <r>
    <s v="ORD-2023-623293"/>
    <x v="347"/>
    <s v="Q4-2023"/>
    <d v="2023-10-29T00:00:00"/>
    <n v="17"/>
    <x v="1"/>
    <x v="2"/>
    <s v="Nagoya"/>
    <s v="Non-Profit"/>
    <x v="4"/>
    <x v="10"/>
    <x v="3"/>
    <x v="418"/>
    <n v="1102.19"/>
    <n v="1711.16"/>
    <s v="High"/>
    <n v="0.151"/>
    <n v="10"/>
    <n v="14527.748400000002"/>
    <n v="11021.900000000001"/>
    <n v="3505.8484000000008"/>
    <n v="0.24132083675127525"/>
  </r>
  <r>
    <s v="ORD-2025-276968"/>
    <x v="348"/>
    <s v="Q1-2025"/>
    <d v="2025-03-17T00:00:00"/>
    <n v="20"/>
    <x v="2"/>
    <x v="10"/>
    <s v="San Francisco"/>
    <s v="Non-Profit"/>
    <x v="2"/>
    <x v="10"/>
    <x v="3"/>
    <x v="419"/>
    <n v="1205.26"/>
    <n v="1696.35"/>
    <s v="High"/>
    <n v="1.9E-2"/>
    <n v="6"/>
    <n v="9984.7160999999978"/>
    <n v="7231.5599999999995"/>
    <n v="2753.1560999999983"/>
    <n v="0.27573704374028213"/>
  </r>
  <r>
    <s v="ORD-2025-650841"/>
    <x v="349"/>
    <s v="Q3-2025"/>
    <d v="2025-07-06T00:00:00"/>
    <n v="3"/>
    <x v="0"/>
    <x v="1"/>
    <s v="Lagos"/>
    <s v="Consumer"/>
    <x v="1"/>
    <x v="15"/>
    <x v="4"/>
    <x v="420"/>
    <n v="1313.3"/>
    <n v="2884.34"/>
    <s v="High"/>
    <n v="0.157"/>
    <n v="42"/>
    <n v="102122.94203999999"/>
    <n v="55158.6"/>
    <n v="46964.342039999996"/>
    <n v="0.45988042551305253"/>
  </r>
  <r>
    <s v="ORD-2025-831576"/>
    <x v="165"/>
    <s v="Q3-2025"/>
    <d v="2025-09-25T00:00:00"/>
    <n v="10"/>
    <x v="1"/>
    <x v="4"/>
    <s v="Delhi"/>
    <s v="Consumer"/>
    <x v="0"/>
    <x v="8"/>
    <x v="3"/>
    <x v="421"/>
    <n v="1488.91"/>
    <n v="1483.74"/>
    <s v="High"/>
    <n v="0.16800000000000001"/>
    <n v="24"/>
    <n v="29627.320319999999"/>
    <n v="35733.840000000004"/>
    <n v="-6106.5196800000049"/>
    <n v="-0.20611110333450519"/>
  </r>
  <r>
    <s v="ORD-2024-468655"/>
    <x v="350"/>
    <s v="Q1-2024"/>
    <d v="2024-03-06T00:00:00"/>
    <n v="16"/>
    <x v="1"/>
    <x v="9"/>
    <s v="Beijing"/>
    <s v="Education"/>
    <x v="2"/>
    <x v="7"/>
    <x v="1"/>
    <x v="422"/>
    <n v="1477.84"/>
    <n v="3197.47"/>
    <s v="High"/>
    <n v="0.24299999999999999"/>
    <n v="24"/>
    <n v="58091.634960000003"/>
    <n v="35468.159999999996"/>
    <n v="22623.474960000007"/>
    <n v="0.38944462443823091"/>
  </r>
  <r>
    <s v="ORD-2024-515105"/>
    <x v="351"/>
    <s v="Q1-2024"/>
    <d v="2024-03-26T00:00:00"/>
    <n v="28"/>
    <x v="1"/>
    <x v="4"/>
    <s v="Mumbai"/>
    <s v="Education"/>
    <x v="2"/>
    <x v="3"/>
    <x v="4"/>
    <x v="423"/>
    <n v="1035.19"/>
    <n v="2322.6999999999998"/>
    <s v="High"/>
    <n v="0.17299999999999999"/>
    <n v="8"/>
    <n v="15366.983199999999"/>
    <n v="8281.52"/>
    <n v="7085.4631999999983"/>
    <n v="0.46108355217047409"/>
  </r>
  <r>
    <s v="ORD-2025-803803"/>
    <x v="256"/>
    <s v="Q3-2025"/>
    <d v="2025-09-05T00:00:00"/>
    <n v="8"/>
    <x v="0"/>
    <x v="1"/>
    <s v="Port Harcourt"/>
    <s v="Small Business"/>
    <x v="2"/>
    <x v="6"/>
    <x v="4"/>
    <x v="424"/>
    <n v="1271.0999999999999"/>
    <n v="1932.42"/>
    <s v="High"/>
    <n v="0.25"/>
    <n v="21"/>
    <n v="30435.614999999998"/>
    <n v="26693.1"/>
    <n v="3742.5149999999994"/>
    <n v="0.12296498690760807"/>
  </r>
  <r>
    <s v="ORD-2024-993481"/>
    <x v="352"/>
    <s v="Q3-2024"/>
    <d v="2024-09-12T00:00:00"/>
    <n v="25"/>
    <x v="1"/>
    <x v="4"/>
    <s v="Mumbai"/>
    <s v="Consumer"/>
    <x v="2"/>
    <x v="0"/>
    <x v="3"/>
    <x v="425"/>
    <n v="1154.03"/>
    <n v="1590.36"/>
    <s v="High"/>
    <n v="0.3"/>
    <n v="18"/>
    <n v="20038.536"/>
    <n v="20772.54"/>
    <n v="-734.00400000000081"/>
    <n v="-3.6629622044245191E-2"/>
  </r>
  <r>
    <s v="ORD-2024-811752"/>
    <x v="353"/>
    <s v="Q1-2024"/>
    <d v="2024-03-09T00:00:00"/>
    <n v="13"/>
    <x v="3"/>
    <x v="7"/>
    <s v="Marseille"/>
    <s v="Small Business"/>
    <x v="3"/>
    <x v="6"/>
    <x v="5"/>
    <x v="426"/>
    <n v="322.44"/>
    <n v="395.61"/>
    <s v="High"/>
    <n v="0"/>
    <n v="34"/>
    <n v="13450.74"/>
    <n v="10962.96"/>
    <n v="2487.7800000000007"/>
    <n v="0.18495487980586947"/>
  </r>
  <r>
    <s v="ORD-2025-673091"/>
    <x v="354"/>
    <s v="Q2-2025"/>
    <d v="2025-05-13T00:00:00"/>
    <n v="6"/>
    <x v="1"/>
    <x v="4"/>
    <s v="Bengaluru"/>
    <s v="Enterprise"/>
    <x v="4"/>
    <x v="1"/>
    <x v="3"/>
    <x v="427"/>
    <n v="935.98"/>
    <n v="2077.69"/>
    <s v="High"/>
    <n v="0.17499999999999999"/>
    <n v="24"/>
    <n v="41138.261999999995"/>
    <n v="22463.52"/>
    <n v="18674.741999999995"/>
    <n v="0.45395067978321491"/>
  </r>
  <r>
    <s v="ORD-2024-381197"/>
    <x v="355"/>
    <s v="Q4-2024"/>
    <d v="2024-11-12T00:00:00"/>
    <n v="11"/>
    <x v="3"/>
    <x v="6"/>
    <s v="Frankfurt"/>
    <s v="Consumer"/>
    <x v="1"/>
    <x v="5"/>
    <x v="1"/>
    <x v="428"/>
    <n v="599.84"/>
    <n v="1330.85"/>
    <s v="High"/>
    <n v="0.115"/>
    <n v="11"/>
    <n v="12955.824749999998"/>
    <n v="6598.2400000000007"/>
    <n v="6357.5847499999973"/>
    <n v="0.49071246892252063"/>
  </r>
  <r>
    <s v="ORD-2024-651852"/>
    <x v="356"/>
    <s v="Q4-2024"/>
    <d v="2025-01-08T00:00:00"/>
    <n v="11"/>
    <x v="1"/>
    <x v="9"/>
    <s v="Shenzhen"/>
    <s v="Enterprise"/>
    <x v="1"/>
    <x v="11"/>
    <x v="4"/>
    <x v="429"/>
    <n v="1201.31"/>
    <n v="2764.65"/>
    <s v="High"/>
    <n v="0"/>
    <n v="21"/>
    <n v="58057.65"/>
    <n v="25227.51"/>
    <n v="32830.14"/>
    <n v="0.56547483406579491"/>
  </r>
  <r>
    <s v="ORD-2023-659070"/>
    <x v="258"/>
    <s v="Q4-2023"/>
    <d v="2023-10-21T00:00:00"/>
    <n v="0"/>
    <x v="3"/>
    <x v="8"/>
    <s v="Manchester"/>
    <s v="Enterprise"/>
    <x v="3"/>
    <x v="1"/>
    <x v="5"/>
    <x v="430"/>
    <n v="384.19"/>
    <n v="278.35000000000002"/>
    <s v="High"/>
    <n v="5.6000000000000001E-2"/>
    <n v="10"/>
    <n v="2627.6239999999998"/>
    <n v="3841.9"/>
    <n v="-1214.2760000000003"/>
    <n v="-0.46211938998882657"/>
  </r>
  <r>
    <s v="ORD-2024-837651"/>
    <x v="16"/>
    <s v="Q4-2024"/>
    <d v="2024-12-19T00:00:00"/>
    <n v="9"/>
    <x v="0"/>
    <x v="1"/>
    <s v="Lagos"/>
    <s v="Corporate"/>
    <x v="0"/>
    <x v="7"/>
    <x v="5"/>
    <x v="431"/>
    <n v="488.68"/>
    <n v="984.36"/>
    <s v="High"/>
    <n v="5.8999999999999997E-2"/>
    <n v="14"/>
    <n v="12967.958640000001"/>
    <n v="6841.52"/>
    <n v="6126.4386400000003"/>
    <n v="0.47242891576649876"/>
  </r>
  <r>
    <s v="ORD-2024-581530"/>
    <x v="254"/>
    <s v="Q3-2024"/>
    <d v="2024-09-18T00:00:00"/>
    <n v="11"/>
    <x v="1"/>
    <x v="9"/>
    <s v="Beijing"/>
    <s v="Consumer"/>
    <x v="3"/>
    <x v="7"/>
    <x v="2"/>
    <x v="432"/>
    <n v="181.74"/>
    <n v="190.84"/>
    <s v="High"/>
    <n v="0.214"/>
    <n v="13"/>
    <n v="1950.0031200000001"/>
    <n v="2362.62"/>
    <n v="-412.61687999999981"/>
    <n v="-0.21159806144310159"/>
  </r>
  <r>
    <s v="ORD-2023-378104"/>
    <x v="357"/>
    <s v="Q4-2023"/>
    <d v="2023-10-20T00:00:00"/>
    <n v="2"/>
    <x v="0"/>
    <x v="0"/>
    <s v="Kisumu"/>
    <s v="Consumer"/>
    <x v="0"/>
    <x v="1"/>
    <x v="3"/>
    <x v="433"/>
    <n v="774.12"/>
    <n v="908.3"/>
    <s v="High"/>
    <n v="0"/>
    <n v="30"/>
    <n v="27249"/>
    <n v="23223.599999999999"/>
    <n v="4025.4000000000015"/>
    <n v="0.14772652207420461"/>
  </r>
  <r>
    <s v="ORD-2024-972318"/>
    <x v="358"/>
    <s v="Q4-2024"/>
    <d v="2025-01-13T00:00:00"/>
    <n v="20"/>
    <x v="1"/>
    <x v="4"/>
    <s v="Bengaluru"/>
    <s v="Corporate"/>
    <x v="2"/>
    <x v="14"/>
    <x v="2"/>
    <x v="434"/>
    <n v="126.15"/>
    <n v="284.23"/>
    <s v="High"/>
    <n v="0.113"/>
    <n v="22"/>
    <n v="5546.4642200000008"/>
    <n v="2775.3"/>
    <n v="2771.1642200000006"/>
    <n v="0.49962716968541088"/>
  </r>
  <r>
    <s v="ORD-2023-752962"/>
    <x v="67"/>
    <s v="Q2-2023"/>
    <d v="2023-04-28T00:00:00"/>
    <n v="7"/>
    <x v="1"/>
    <x v="2"/>
    <s v="Nagoya"/>
    <s v="Small Business"/>
    <x v="4"/>
    <x v="12"/>
    <x v="0"/>
    <x v="435"/>
    <n v="607.04"/>
    <n v="1229.3399999999999"/>
    <s v="High"/>
    <n v="0.14699999999999999"/>
    <n v="7"/>
    <n v="7340.3891399999993"/>
    <n v="4249.28"/>
    <n v="3091.1091399999996"/>
    <n v="0.42110970972310058"/>
  </r>
  <r>
    <s v="ORD-2023-808024"/>
    <x v="359"/>
    <s v="Q4-2023"/>
    <d v="2024-01-08T00:00:00"/>
    <n v="9"/>
    <x v="3"/>
    <x v="7"/>
    <s v="Marseille"/>
    <s v="Consumer"/>
    <x v="2"/>
    <x v="4"/>
    <x v="6"/>
    <x v="436"/>
    <n v="861.1"/>
    <n v="1224.72"/>
    <s v="High"/>
    <n v="0.17399999999999999"/>
    <n v="24"/>
    <n v="24278.849280000002"/>
    <n v="20666.400000000001"/>
    <n v="3612.4492800000007"/>
    <n v="0.14878997098827909"/>
  </r>
  <r>
    <s v="ORD-2023-156396"/>
    <x v="360"/>
    <s v="Q1-2023"/>
    <d v="2023-03-12T00:00:00"/>
    <n v="19"/>
    <x v="0"/>
    <x v="0"/>
    <s v="Nakuru"/>
    <s v="Corporate"/>
    <x v="1"/>
    <x v="9"/>
    <x v="2"/>
    <x v="437"/>
    <n v="352.65"/>
    <n v="485.86"/>
    <s v="High"/>
    <n v="4.1000000000000002E-2"/>
    <n v="6"/>
    <n v="2795.6384399999997"/>
    <n v="2115.8999999999996"/>
    <n v="679.73844000000008"/>
    <n v="0.24314247159943908"/>
  </r>
  <r>
    <s v="ORD-2023-184577"/>
    <x v="361"/>
    <s v="Q2-2023"/>
    <d v="2023-06-03T00:00:00"/>
    <n v="17"/>
    <x v="1"/>
    <x v="9"/>
    <s v="Beijing"/>
    <s v="Non-Profit"/>
    <x v="3"/>
    <x v="12"/>
    <x v="1"/>
    <x v="438"/>
    <n v="979.59"/>
    <n v="2210.94"/>
    <s v="High"/>
    <n v="0.15"/>
    <n v="11"/>
    <n v="20672.289000000001"/>
    <n v="10775.49"/>
    <n v="9896.7990000000009"/>
    <n v="0.47874712858358359"/>
  </r>
  <r>
    <s v="ORD-2024-446030"/>
    <x v="362"/>
    <s v="Q1-2024"/>
    <d v="2024-03-26T00:00:00"/>
    <n v="3"/>
    <x v="1"/>
    <x v="4"/>
    <s v="Bengaluru"/>
    <s v="Education"/>
    <x v="4"/>
    <x v="3"/>
    <x v="3"/>
    <x v="439"/>
    <n v="382.21"/>
    <n v="571.89"/>
    <s v="High"/>
    <n v="0.14799999999999999"/>
    <n v="26"/>
    <n v="12668.50728"/>
    <n v="9937.4599999999991"/>
    <n v="2731.0472800000007"/>
    <n v="0.2155776698578809"/>
  </r>
  <r>
    <s v="ORD-2023-842820"/>
    <x v="363"/>
    <s v="Q3-2023"/>
    <d v="2023-09-28T00:00:00"/>
    <n v="8"/>
    <x v="1"/>
    <x v="4"/>
    <s v="Unknown"/>
    <s v="Corporate"/>
    <x v="5"/>
    <x v="5"/>
    <x v="6"/>
    <x v="440"/>
    <n v="1362.06"/>
    <n v="3398.37"/>
    <s v="High"/>
    <n v="0.157"/>
    <n v="11"/>
    <n v="31513.085009999999"/>
    <n v="14982.66"/>
    <n v="16530.425009999999"/>
    <n v="0.52455749745714919"/>
  </r>
  <r>
    <s v="ORD-2024-745424"/>
    <x v="364"/>
    <s v="Q3-2024"/>
    <d v="2024-09-04T00:00:00"/>
    <n v="13"/>
    <x v="3"/>
    <x v="6"/>
    <s v="Frankfurt"/>
    <s v="Non-Profit"/>
    <x v="0"/>
    <x v="4"/>
    <x v="1"/>
    <x v="441"/>
    <n v="90.04"/>
    <n v="194.62"/>
    <s v="High"/>
    <n v="4.2999999999999997E-2"/>
    <n v="32"/>
    <n v="5960.04288"/>
    <n v="2881.28"/>
    <n v="3078.7628799999998"/>
    <n v="0.51656723650954672"/>
  </r>
  <r>
    <s v="ORD-2024-510520"/>
    <x v="365"/>
    <s v="Q3-2024"/>
    <d v="2024-10-03T00:00:00"/>
    <n v="8"/>
    <x v="2"/>
    <x v="3"/>
    <s v="Toronto"/>
    <s v="Consumer"/>
    <x v="1"/>
    <x v="6"/>
    <x v="1"/>
    <x v="442"/>
    <n v="558.19000000000005"/>
    <n v="1031.6400000000001"/>
    <s v="High"/>
    <n v="0"/>
    <n v="21"/>
    <n v="21664.440000000002"/>
    <n v="11721.990000000002"/>
    <n v="9942.4500000000007"/>
    <n v="0.45892947152107322"/>
  </r>
  <r>
    <s v="ORD-2023-769774"/>
    <x v="366"/>
    <s v="Q2-2023"/>
    <d v="2023-06-24T00:00:00"/>
    <n v="11"/>
    <x v="2"/>
    <x v="3"/>
    <s v="Toronto"/>
    <s v="Corporate"/>
    <x v="1"/>
    <x v="0"/>
    <x v="1"/>
    <x v="443"/>
    <n v="247.07"/>
    <n v="495.19"/>
    <s v="High"/>
    <n v="2.8000000000000001E-2"/>
    <n v="4"/>
    <n v="1925.29872"/>
    <n v="988.28"/>
    <n v="937.01872000000003"/>
    <n v="0.48668744764968214"/>
  </r>
  <r>
    <s v="ORD-2023-580751"/>
    <x v="239"/>
    <s v="Q4-2023"/>
    <d v="2024-01-13T00:00:00"/>
    <n v="20"/>
    <x v="1"/>
    <x v="2"/>
    <s v="Nagoya"/>
    <s v="Education"/>
    <x v="4"/>
    <x v="5"/>
    <x v="4"/>
    <x v="444"/>
    <n v="625.37"/>
    <n v="1319.04"/>
    <s v="High"/>
    <n v="7.3999999999999996E-2"/>
    <n v="8"/>
    <n v="9771.4483199999995"/>
    <n v="5002.96"/>
    <n v="4768.4883199999995"/>
    <n v="0.48800220436513547"/>
  </r>
  <r>
    <s v="ORD-2025-473192"/>
    <x v="257"/>
    <s v="Q1-2025"/>
    <d v="2025-04-29T00:00:00"/>
    <n v="30"/>
    <x v="0"/>
    <x v="11"/>
    <s v="Durban"/>
    <s v="Consumer"/>
    <x v="2"/>
    <x v="1"/>
    <x v="5"/>
    <x v="445"/>
    <n v="194.6"/>
    <n v="314.87"/>
    <s v="High"/>
    <n v="0.29299999999999998"/>
    <n v="25"/>
    <n v="5565.3272500000003"/>
    <n v="4865"/>
    <n v="700.32725000000028"/>
    <n v="0.1258375686712763"/>
  </r>
  <r>
    <s v="ORD-2024-886939"/>
    <x v="367"/>
    <s v="Q2-2024"/>
    <d v="2024-06-24T00:00:00"/>
    <n v="21"/>
    <x v="2"/>
    <x v="3"/>
    <s v="Toronto"/>
    <s v="Small Business"/>
    <x v="4"/>
    <x v="3"/>
    <x v="5"/>
    <x v="446"/>
    <n v="1205.5"/>
    <n v="2210.17"/>
    <s v="High"/>
    <n v="0.104"/>
    <n v="23"/>
    <n v="45547.183360000003"/>
    <n v="27726.5"/>
    <n v="17820.683360000003"/>
    <n v="0.39125763758314652"/>
  </r>
  <r>
    <s v="ORD-2024-566589"/>
    <x v="368"/>
    <s v="Q2-2024"/>
    <d v="2024-07-09T00:00:00"/>
    <n v="28"/>
    <x v="0"/>
    <x v="1"/>
    <s v="Port Harcourt"/>
    <s v="Corporate"/>
    <x v="2"/>
    <x v="2"/>
    <x v="3"/>
    <x v="447"/>
    <n v="895.54"/>
    <n v="1045"/>
    <s v="High"/>
    <n v="0.216"/>
    <n v="15"/>
    <n v="12289.2"/>
    <n v="13433.099999999999"/>
    <n v="-1143.8999999999978"/>
    <n v="-9.3081730299775234E-2"/>
  </r>
  <r>
    <s v="ORD-2023-109927"/>
    <x v="369"/>
    <s v="Q3-2023"/>
    <d v="2023-07-29T00:00:00"/>
    <n v="7"/>
    <x v="1"/>
    <x v="4"/>
    <s v="Delhi"/>
    <s v="Small Business"/>
    <x v="3"/>
    <x v="6"/>
    <x v="1"/>
    <x v="448"/>
    <n v="946.99"/>
    <n v="2132.19"/>
    <s v="High"/>
    <n v="0.16500000000000001"/>
    <n v="7"/>
    <n v="12462.65055"/>
    <n v="6628.93"/>
    <n v="5833.72055"/>
    <n v="0.46809629513362228"/>
  </r>
  <r>
    <s v="ORD-2023-780206"/>
    <x v="370"/>
    <s v="Q1-2023"/>
    <d v="2023-02-03T00:00:00"/>
    <n v="15"/>
    <x v="3"/>
    <x v="8"/>
    <s v="London"/>
    <s v="Enterprise"/>
    <x v="3"/>
    <x v="3"/>
    <x v="6"/>
    <x v="449"/>
    <n v="873.06"/>
    <n v="2101.5500000000002"/>
    <s v="High"/>
    <n v="6.6000000000000003E-2"/>
    <n v="10"/>
    <n v="19628.476999999999"/>
    <n v="8730.5999999999985"/>
    <n v="10897.877"/>
    <n v="0.55520746719167269"/>
  </r>
  <r>
    <s v="ORD-2024-851993"/>
    <x v="371"/>
    <s v="Q2-2024"/>
    <d v="2024-05-16T00:00:00"/>
    <n v="15"/>
    <x v="1"/>
    <x v="4"/>
    <s v="Bengaluru"/>
    <s v="Small Business"/>
    <x v="0"/>
    <x v="4"/>
    <x v="0"/>
    <x v="450"/>
    <n v="901.19"/>
    <n v="2125.44"/>
    <s v="High"/>
    <n v="7.0999999999999994E-2"/>
    <n v="12"/>
    <n v="23694.405119999999"/>
    <n v="10814.28"/>
    <n v="12880.125119999999"/>
    <n v="0.54359352154100415"/>
  </r>
  <r>
    <s v="ORD-2025-417942"/>
    <x v="56"/>
    <s v="Q2-2025"/>
    <d v="2025-06-24T00:00:00"/>
    <n v="15"/>
    <x v="1"/>
    <x v="2"/>
    <s v="Nagoya"/>
    <s v="Corporate"/>
    <x v="4"/>
    <x v="5"/>
    <x v="3"/>
    <x v="451"/>
    <n v="400.39"/>
    <n v="712.75"/>
    <s v="High"/>
    <n v="0.115"/>
    <n v="19"/>
    <n v="11984.891250000001"/>
    <n v="7607.41"/>
    <n v="4377.4812500000007"/>
    <n v="0.36524997671547504"/>
  </r>
  <r>
    <s v="ORD-2023-172095"/>
    <x v="372"/>
    <s v="Q2-2023"/>
    <d v="2023-06-21T00:00:00"/>
    <n v="28"/>
    <x v="2"/>
    <x v="10"/>
    <s v="Austin"/>
    <s v="Small Business"/>
    <x v="2"/>
    <x v="3"/>
    <x v="5"/>
    <x v="452"/>
    <n v="813.97"/>
    <n v="1568.83"/>
    <s v="High"/>
    <n v="1.7000000000000001E-2"/>
    <n v="15"/>
    <n v="23132.398349999996"/>
    <n v="12209.550000000001"/>
    <n v="10922.848349999995"/>
    <n v="0.4721883215364911"/>
  </r>
  <r>
    <s v="ORD-2024-257550"/>
    <x v="6"/>
    <s v="Q4-2024"/>
    <d v="2024-12-29T00:00:00"/>
    <n v="2"/>
    <x v="2"/>
    <x v="3"/>
    <s v="Vancouver"/>
    <s v="Enterprise"/>
    <x v="2"/>
    <x v="0"/>
    <x v="6"/>
    <x v="453"/>
    <n v="1146.72"/>
    <n v="2074.34"/>
    <s v="High"/>
    <n v="0.111"/>
    <n v="8"/>
    <n v="14752.706080000002"/>
    <n v="9173.76"/>
    <n v="5578.9460800000015"/>
    <n v="0.37816425337472737"/>
  </r>
  <r>
    <s v="ORD-2023-581799"/>
    <x v="373"/>
    <s v="Q4-2023"/>
    <d v="2023-12-12T00:00:00"/>
    <n v="7"/>
    <x v="2"/>
    <x v="5"/>
    <s v="Brasília"/>
    <s v="Corporate"/>
    <x v="4"/>
    <x v="9"/>
    <x v="3"/>
    <x v="454"/>
    <n v="307.43"/>
    <n v="495.19"/>
    <s v="High"/>
    <n v="0"/>
    <n v="42"/>
    <n v="20797.98"/>
    <n v="12912.06"/>
    <n v="7885.92"/>
    <n v="0.37916759223732305"/>
  </r>
  <r>
    <s v="ORD-2023-880296"/>
    <x v="129"/>
    <s v="Q2-2023"/>
    <d v="2023-05-19T00:00:00"/>
    <n v="17"/>
    <x v="1"/>
    <x v="9"/>
    <s v="Shanghai"/>
    <s v="Non-Profit"/>
    <x v="4"/>
    <x v="1"/>
    <x v="5"/>
    <x v="455"/>
    <n v="714.28"/>
    <n v="757.59"/>
    <s v="High"/>
    <n v="0.13600000000000001"/>
    <n v="12"/>
    <n v="7854.6931199999999"/>
    <n v="8571.36"/>
    <n v="-716.66688000000067"/>
    <n v="-9.1240595787910383E-2"/>
  </r>
  <r>
    <s v="ORD-2023-191563"/>
    <x v="134"/>
    <s v="Q4-2023"/>
    <d v="2023-12-10T00:00:00"/>
    <n v="10"/>
    <x v="3"/>
    <x v="6"/>
    <s v="Munich"/>
    <s v="Small Business"/>
    <x v="4"/>
    <x v="9"/>
    <x v="4"/>
    <x v="456"/>
    <n v="174.74"/>
    <n v="415.96"/>
    <s v="High"/>
    <n v="0.125"/>
    <n v="21"/>
    <n v="7643.2649999999994"/>
    <n v="3669.54"/>
    <n v="3973.7249999999995"/>
    <n v="0.51989889137691803"/>
  </r>
  <r>
    <s v="ORD-2024-202166"/>
    <x v="374"/>
    <s v="Q2-2024"/>
    <d v="2024-05-18T00:00:00"/>
    <n v="13"/>
    <x v="3"/>
    <x v="7"/>
    <s v="Marseille"/>
    <s v="Corporate"/>
    <x v="2"/>
    <x v="8"/>
    <x v="0"/>
    <x v="457"/>
    <n v="1264.04"/>
    <n v="1870.89"/>
    <s v="High"/>
    <n v="0"/>
    <n v="13"/>
    <n v="24321.57"/>
    <n v="16432.52"/>
    <n v="7889.0499999999993"/>
    <n v="0.32436433996653996"/>
  </r>
  <r>
    <s v="ORD-2023-539967"/>
    <x v="375"/>
    <s v="Q3-2023"/>
    <d v="2023-07-19T00:00:00"/>
    <n v="10"/>
    <x v="1"/>
    <x v="2"/>
    <s v="Tokyo"/>
    <s v="Enterprise"/>
    <x v="3"/>
    <x v="13"/>
    <x v="0"/>
    <x v="458"/>
    <n v="141.26"/>
    <n v="206.88"/>
    <s v="High"/>
    <n v="0.107"/>
    <n v="9"/>
    <n v="1662.6945600000001"/>
    <n v="1271.3399999999999"/>
    <n v="391.35456000000022"/>
    <n v="0.23537369365062469"/>
  </r>
  <r>
    <s v="ORD-2023-704111"/>
    <x v="361"/>
    <s v="Q2-2023"/>
    <d v="2023-06-15T00:00:00"/>
    <n v="29"/>
    <x v="0"/>
    <x v="11"/>
    <s v="Durban"/>
    <s v="Enterprise"/>
    <x v="0"/>
    <x v="11"/>
    <x v="6"/>
    <x v="459"/>
    <n v="40.89"/>
    <n v="62.82"/>
    <s v="High"/>
    <n v="0.129"/>
    <n v="17"/>
    <n v="930.17574000000002"/>
    <n v="695.13"/>
    <n v="235.04574000000002"/>
    <n v="0.25268960465470752"/>
  </r>
  <r>
    <s v="ORD-2024-356812"/>
    <x v="34"/>
    <s v="Q1-2024"/>
    <d v="2024-04-03T00:00:00"/>
    <n v="27"/>
    <x v="3"/>
    <x v="6"/>
    <s v="Frankfurt"/>
    <s v="Corporate"/>
    <x v="4"/>
    <x v="12"/>
    <x v="1"/>
    <x v="460"/>
    <n v="738.16"/>
    <n v="956.49"/>
    <s v="High"/>
    <n v="0.152"/>
    <n v="5"/>
    <n v="4055.5175999999997"/>
    <n v="3690.7999999999997"/>
    <n v="364.71759999999995"/>
    <n v="8.9931208780847108E-2"/>
  </r>
  <r>
    <s v="ORD-2025-306251"/>
    <x v="376"/>
    <s v="Q2-2025"/>
    <d v="2025-04-19T00:00:00"/>
    <n v="9"/>
    <x v="0"/>
    <x v="11"/>
    <s v="Durban"/>
    <s v="Enterprise"/>
    <x v="5"/>
    <x v="3"/>
    <x v="2"/>
    <x v="461"/>
    <n v="113.74"/>
    <n v="165.7"/>
    <s v="High"/>
    <n v="0.124"/>
    <n v="13"/>
    <n v="1886.9915999999998"/>
    <n v="1478.62"/>
    <n v="408.37159999999994"/>
    <n v="0.21641410592394794"/>
  </r>
  <r>
    <s v="ORD-2025-496178"/>
    <x v="377"/>
    <s v="Q3-2025"/>
    <d v="2025-08-15T00:00:00"/>
    <n v="19"/>
    <x v="1"/>
    <x v="2"/>
    <s v="Tokyo"/>
    <s v="Small Business"/>
    <x v="2"/>
    <x v="1"/>
    <x v="0"/>
    <x v="462"/>
    <n v="275.43"/>
    <n v="608.36"/>
    <s v="High"/>
    <n v="0.25700000000000001"/>
    <n v="4"/>
    <n v="1808.04592"/>
    <n v="1101.72"/>
    <n v="706.32592"/>
    <n v="0.39065706915231446"/>
  </r>
  <r>
    <s v="ORD-2024-508213"/>
    <x v="378"/>
    <s v="Q4-2024"/>
    <d v="2024-12-15T00:00:00"/>
    <n v="23"/>
    <x v="0"/>
    <x v="0"/>
    <s v="Mombasa"/>
    <s v="Non-Profit"/>
    <x v="3"/>
    <x v="0"/>
    <x v="0"/>
    <x v="463"/>
    <n v="1335.76"/>
    <n v="2665.91"/>
    <s v="High"/>
    <n v="0.21099999999999999"/>
    <n v="40"/>
    <n v="84136.119600000005"/>
    <n v="53430.400000000001"/>
    <n v="30705.719600000004"/>
    <n v="0.36495288522909253"/>
  </r>
  <r>
    <s v="ORD-2024-787018"/>
    <x v="303"/>
    <s v="Q2-2024"/>
    <d v="2024-06-28T00:00:00"/>
    <n v="5"/>
    <x v="0"/>
    <x v="1"/>
    <s v="Port Harcourt"/>
    <s v="Non-Profit"/>
    <x v="4"/>
    <x v="12"/>
    <x v="6"/>
    <x v="464"/>
    <n v="242.31"/>
    <n v="587.95000000000005"/>
    <s v="High"/>
    <n v="0.22900000000000001"/>
    <n v="6"/>
    <n v="2719.8567000000003"/>
    <n v="1453.8600000000001"/>
    <n v="1265.9967000000001"/>
    <n v="0.46546448568411714"/>
  </r>
  <r>
    <s v="ORD-2023-728177"/>
    <x v="379"/>
    <s v="Q4-2023"/>
    <d v="2024-01-14T00:00:00"/>
    <n v="27"/>
    <x v="1"/>
    <x v="4"/>
    <s v="Mumbai"/>
    <s v="Consumer"/>
    <x v="3"/>
    <x v="14"/>
    <x v="2"/>
    <x v="465"/>
    <n v="1408.3"/>
    <n v="2193.13"/>
    <s v="High"/>
    <n v="7.0999999999999994E-2"/>
    <n v="7"/>
    <n v="14261.92439"/>
    <n v="9858.1"/>
    <n v="4403.8243899999998"/>
    <n v="0.30878191957656281"/>
  </r>
  <r>
    <s v="ORD-2025-795385"/>
    <x v="261"/>
    <s v="Q2-2025"/>
    <d v="2025-06-05T00:00:00"/>
    <n v="4"/>
    <x v="3"/>
    <x v="6"/>
    <s v="Munich"/>
    <s v="Enterprise"/>
    <x v="4"/>
    <x v="12"/>
    <x v="0"/>
    <x v="466"/>
    <n v="1171.42"/>
    <n v="2187.8000000000002"/>
    <s v="High"/>
    <n v="0.23"/>
    <n v="15"/>
    <n v="25269.09"/>
    <n v="17571.300000000003"/>
    <n v="7697.7899999999972"/>
    <n v="0.30463265594447592"/>
  </r>
  <r>
    <s v="ORD-2025-947929"/>
    <x v="380"/>
    <s v="Q1-2025"/>
    <d v="2025-04-02T00:00:00"/>
    <n v="10"/>
    <x v="3"/>
    <x v="6"/>
    <s v="Berlin"/>
    <s v="Enterprise"/>
    <x v="1"/>
    <x v="6"/>
    <x v="1"/>
    <x v="467"/>
    <n v="663.61"/>
    <n v="1002.11"/>
    <s v="High"/>
    <n v="4.5999999999999999E-2"/>
    <n v="17"/>
    <n v="16252.219979999998"/>
    <n v="11281.37"/>
    <n v="4970.8499799999972"/>
    <n v="0.30585667595670812"/>
  </r>
  <r>
    <s v="ORD-2023-931633"/>
    <x v="381"/>
    <s v="Q2-2023"/>
    <d v="2023-05-22T00:00:00"/>
    <n v="8"/>
    <x v="0"/>
    <x v="0"/>
    <s v="Mombasa"/>
    <s v="Small Business"/>
    <x v="3"/>
    <x v="9"/>
    <x v="1"/>
    <x v="468"/>
    <n v="432.01"/>
    <n v="913.78"/>
    <s v="High"/>
    <n v="4.9000000000000002E-2"/>
    <n v="12"/>
    <n v="10428.057360000001"/>
    <n v="5184.12"/>
    <n v="5243.9373600000008"/>
    <n v="0.50286809699711899"/>
  </r>
  <r>
    <s v="ORD-2023-243704"/>
    <x v="344"/>
    <s v="Q3-2023"/>
    <d v="2023-09-19T00:00:00"/>
    <n v="21"/>
    <x v="3"/>
    <x v="7"/>
    <s v="Lyon"/>
    <s v="Small Business"/>
    <x v="4"/>
    <x v="5"/>
    <x v="1"/>
    <x v="469"/>
    <n v="784.46"/>
    <n v="1843.51"/>
    <s v="High"/>
    <n v="0.13800000000000001"/>
    <n v="23"/>
    <n v="36549.429260000004"/>
    <n v="18042.580000000002"/>
    <n v="18506.849260000003"/>
    <n v="0.50635125184441798"/>
  </r>
  <r>
    <s v="ORD-2025-779659"/>
    <x v="349"/>
    <s v="Q3-2025"/>
    <d v="2025-07-23T00:00:00"/>
    <n v="20"/>
    <x v="1"/>
    <x v="9"/>
    <s v="Beijing"/>
    <s v="Small Business"/>
    <x v="1"/>
    <x v="12"/>
    <x v="0"/>
    <x v="470"/>
    <n v="647.36"/>
    <n v="1383.6"/>
    <s v="High"/>
    <n v="7.3999999999999996E-2"/>
    <n v="12"/>
    <n v="15374.563199999999"/>
    <n v="7768.32"/>
    <n v="7606.243199999999"/>
    <n v="0.49472906000997802"/>
  </r>
  <r>
    <s v="ORD-2024-647571"/>
    <x v="382"/>
    <s v="Q1-2024"/>
    <d v="2024-02-28T00:00:00"/>
    <n v="22"/>
    <x v="0"/>
    <x v="0"/>
    <s v="Kisumu"/>
    <s v="Non-Profit"/>
    <x v="1"/>
    <x v="11"/>
    <x v="5"/>
    <x v="471"/>
    <n v="834.93"/>
    <n v="1588.53"/>
    <s v="High"/>
    <n v="0.126"/>
    <n v="6"/>
    <n v="8330.2513199999994"/>
    <n v="5009.58"/>
    <n v="3320.6713199999995"/>
    <n v="0.39862798761274343"/>
  </r>
  <r>
    <s v="ORD-2025-683043"/>
    <x v="383"/>
    <s v="Q3-2025"/>
    <d v="2025-09-03T00:00:00"/>
    <n v="21"/>
    <x v="3"/>
    <x v="7"/>
    <s v="Paris"/>
    <s v="Education"/>
    <x v="0"/>
    <x v="2"/>
    <x v="3"/>
    <x v="472"/>
    <n v="603.47"/>
    <n v="1344.05"/>
    <s v="High"/>
    <n v="0.20499999999999999"/>
    <n v="18"/>
    <n v="19233.355499999998"/>
    <n v="10862.460000000001"/>
    <n v="8370.8954999999969"/>
    <n v="0.43522803392262976"/>
  </r>
  <r>
    <s v="ORD-2023-588455"/>
    <x v="206"/>
    <s v="Q2-2023"/>
    <d v="2023-05-25T00:00:00"/>
    <n v="2"/>
    <x v="2"/>
    <x v="5"/>
    <s v="Rio de Janeiro"/>
    <s v="Enterprise"/>
    <x v="0"/>
    <x v="12"/>
    <x v="1"/>
    <x v="473"/>
    <n v="690.49"/>
    <n v="1290.29"/>
    <s v="High"/>
    <n v="4.2000000000000003E-2"/>
    <n v="22"/>
    <n v="27194.152039999997"/>
    <n v="15190.78"/>
    <n v="12003.372039999997"/>
    <n v="0.44139534199647718"/>
  </r>
  <r>
    <s v="ORD-2024-641220"/>
    <x v="384"/>
    <s v="Q2-2024"/>
    <d v="2024-05-16T00:00:00"/>
    <n v="6"/>
    <x v="3"/>
    <x v="8"/>
    <s v="Birmingham"/>
    <s v="Non-Profit"/>
    <x v="4"/>
    <x v="3"/>
    <x v="4"/>
    <x v="474"/>
    <n v="210.76"/>
    <n v="221.58"/>
    <s v="High"/>
    <n v="8.8999999999999996E-2"/>
    <n v="5"/>
    <n v="1009.2969000000002"/>
    <n v="1053.8"/>
    <n v="-44.50309999999979"/>
    <n v="-4.4093170205912434E-2"/>
  </r>
  <r>
    <s v="ORD-2023-799597"/>
    <x v="210"/>
    <s v="Q1-2023"/>
    <d v="2023-03-18T00:00:00"/>
    <n v="4"/>
    <x v="3"/>
    <x v="6"/>
    <s v="Frankfurt"/>
    <s v="Enterprise"/>
    <x v="4"/>
    <x v="8"/>
    <x v="0"/>
    <x v="475"/>
    <n v="472.33"/>
    <n v="360.34"/>
    <s v="High"/>
    <n v="0.16500000000000001"/>
    <n v="14"/>
    <n v="4212.3745999999992"/>
    <n v="6612.62"/>
    <n v="-2400.2454000000007"/>
    <n v="-0.56980815523861561"/>
  </r>
  <r>
    <s v="ORD-2023-569862"/>
    <x v="385"/>
    <s v="Q3-2023"/>
    <d v="2023-08-13T00:00:00"/>
    <n v="28"/>
    <x v="3"/>
    <x v="8"/>
    <s v="Manchester"/>
    <s v="Non-Profit"/>
    <x v="1"/>
    <x v="1"/>
    <x v="4"/>
    <x v="476"/>
    <n v="1039.03"/>
    <n v="2545.81"/>
    <s v="High"/>
    <n v="0.216"/>
    <n v="21"/>
    <n v="41914.215840000004"/>
    <n v="21819.63"/>
    <n v="20094.585840000003"/>
    <n v="0.47942172929364774"/>
  </r>
  <r>
    <s v="ORD-2023-609394"/>
    <x v="386"/>
    <s v="Q2-2023"/>
    <d v="2023-04-19T00:00:00"/>
    <n v="3"/>
    <x v="3"/>
    <x v="6"/>
    <s v="Munich"/>
    <s v="Corporate"/>
    <x v="4"/>
    <x v="5"/>
    <x v="6"/>
    <x v="477"/>
    <n v="553.61"/>
    <n v="699.47"/>
    <s v="High"/>
    <n v="0.02"/>
    <n v="33"/>
    <n v="22620.859800000002"/>
    <n v="18269.13"/>
    <n v="4351.729800000001"/>
    <n v="0.19237685209472014"/>
  </r>
  <r>
    <s v="ORD-2024-105586"/>
    <x v="278"/>
    <s v="Q1-2024"/>
    <d v="2024-01-15T00:00:00"/>
    <n v="13"/>
    <x v="1"/>
    <x v="2"/>
    <s v="Nagoya"/>
    <s v="Small Business"/>
    <x v="2"/>
    <x v="3"/>
    <x v="2"/>
    <x v="478"/>
    <n v="1219.06"/>
    <n v="2738.69"/>
    <s v="High"/>
    <n v="7.5999999999999998E-2"/>
    <n v="16"/>
    <n v="40488.792960000006"/>
    <n v="19504.96"/>
    <n v="20983.832960000007"/>
    <n v="0.51826274447673737"/>
  </r>
  <r>
    <s v="ORD-2024-207792"/>
    <x v="208"/>
    <s v="Q3-2024"/>
    <d v="2024-09-07T00:00:00"/>
    <n v="4"/>
    <x v="1"/>
    <x v="2"/>
    <s v="Tokyo"/>
    <s v="Small Business"/>
    <x v="3"/>
    <x v="13"/>
    <x v="1"/>
    <x v="479"/>
    <n v="43.23"/>
    <n v="94.78"/>
    <s v="High"/>
    <n v="9.0999999999999998E-2"/>
    <n v="55"/>
    <n v="4738.5261"/>
    <n v="2377.6499999999996"/>
    <n v="2360.8761000000004"/>
    <n v="0.49823005090127082"/>
  </r>
  <r>
    <s v="ORD-2025-417336"/>
    <x v="387"/>
    <s v="Q3-2025"/>
    <d v="2025-09-03T00:00:00"/>
    <n v="4"/>
    <x v="3"/>
    <x v="7"/>
    <s v="Marseille"/>
    <s v="Small Business"/>
    <x v="2"/>
    <x v="1"/>
    <x v="4"/>
    <x v="480"/>
    <n v="1286.56"/>
    <n v="2777.35"/>
    <s v="High"/>
    <n v="0.13200000000000001"/>
    <n v="15"/>
    <n v="36161.097000000002"/>
    <n v="19298.399999999998"/>
    <n v="16862.697000000004"/>
    <n v="0.46632150014696744"/>
  </r>
  <r>
    <s v="ORD-2025-252117"/>
    <x v="86"/>
    <s v="Q2-2025"/>
    <d v="2025-05-19T00:00:00"/>
    <n v="21"/>
    <x v="3"/>
    <x v="6"/>
    <s v="Berlin"/>
    <s v="Corporate"/>
    <x v="3"/>
    <x v="5"/>
    <x v="3"/>
    <x v="481"/>
    <n v="350.76"/>
    <n v="492.18"/>
    <s v="High"/>
    <n v="5.2999999999999999E-2"/>
    <n v="11"/>
    <n v="5127.0390600000001"/>
    <n v="3858.3599999999997"/>
    <n v="1268.6790600000004"/>
    <n v="0.24744868239798437"/>
  </r>
  <r>
    <s v="ORD-2023-867175"/>
    <x v="388"/>
    <s v="Q3-2023"/>
    <d v="2023-08-15T00:00:00"/>
    <n v="5"/>
    <x v="2"/>
    <x v="5"/>
    <s v="São Paulo"/>
    <s v="Education"/>
    <x v="4"/>
    <x v="3"/>
    <x v="2"/>
    <x v="482"/>
    <n v="1307.52"/>
    <n v="1921.65"/>
    <s v="High"/>
    <n v="0.123"/>
    <n v="13"/>
    <n v="21908.731650000002"/>
    <n v="16997.759999999998"/>
    <n v="4910.9716500000031"/>
    <n v="0.22415590863289445"/>
  </r>
  <r>
    <s v="ORD-2024-382152"/>
    <x v="389"/>
    <s v="Q4-2024"/>
    <d v="2024-12-08T00:00:00"/>
    <n v="0"/>
    <x v="3"/>
    <x v="7"/>
    <s v="Lyon"/>
    <s v="Enterprise"/>
    <x v="0"/>
    <x v="10"/>
    <x v="0"/>
    <x v="483"/>
    <n v="257.44"/>
    <n v="290.33"/>
    <s v="High"/>
    <n v="9.1999999999999998E-2"/>
    <n v="23"/>
    <n v="6063.2517199999993"/>
    <n v="5921.12"/>
    <n v="142.1317199999994"/>
    <n v="2.3441500792581216E-2"/>
  </r>
  <r>
    <s v="ORD-2023-597666"/>
    <x v="390"/>
    <s v="Q4-2023"/>
    <d v="2023-11-24T00:00:00"/>
    <n v="30"/>
    <x v="3"/>
    <x v="7"/>
    <s v="Paris"/>
    <s v="Enterprise"/>
    <x v="3"/>
    <x v="0"/>
    <x v="3"/>
    <x v="484"/>
    <n v="287.85000000000002"/>
    <n v="602.91999999999996"/>
    <s v="High"/>
    <n v="0.222"/>
    <n v="11"/>
    <n v="5159.7893599999998"/>
    <n v="3166.3500000000004"/>
    <n v="1993.4393599999994"/>
    <n v="0.38634122847216373"/>
  </r>
  <r>
    <s v="ORD-2024-371409"/>
    <x v="391"/>
    <s v="Q4-2024"/>
    <d v="2024-11-28T00:00:00"/>
    <n v="11"/>
    <x v="2"/>
    <x v="3"/>
    <s v="Unknown"/>
    <s v="Consumer"/>
    <x v="3"/>
    <x v="8"/>
    <x v="1"/>
    <x v="485"/>
    <n v="1008.16"/>
    <n v="2077.5"/>
    <s v="High"/>
    <n v="7.3999999999999996E-2"/>
    <n v="15"/>
    <n v="28856.475000000002"/>
    <n v="15122.4"/>
    <n v="13734.075000000003"/>
    <n v="0.47594430712691005"/>
  </r>
  <r>
    <s v="ORD-2024-973420"/>
    <x v="392"/>
    <s v="Q2-2024"/>
    <d v="2024-05-24T00:00:00"/>
    <n v="12"/>
    <x v="3"/>
    <x v="8"/>
    <s v="Manchester"/>
    <s v="Education"/>
    <x v="2"/>
    <x v="11"/>
    <x v="1"/>
    <x v="486"/>
    <n v="111.02"/>
    <n v="172.88"/>
    <s v="High"/>
    <n v="0.19700000000000001"/>
    <n v="29"/>
    <n v="4025.8565599999993"/>
    <n v="3219.58"/>
    <n v="806.27655999999934"/>
    <n v="0.20027453735212053"/>
  </r>
  <r>
    <s v="ORD-2025-254721"/>
    <x v="393"/>
    <s v="Q2-2025"/>
    <d v="2025-06-05T00:00:00"/>
    <n v="21"/>
    <x v="1"/>
    <x v="2"/>
    <s v="Osaka"/>
    <s v="Enterprise"/>
    <x v="4"/>
    <x v="10"/>
    <x v="3"/>
    <x v="487"/>
    <n v="1466.5"/>
    <n v="2778.74"/>
    <s v="High"/>
    <n v="0.13500000000000001"/>
    <n v="4"/>
    <n v="9614.4403999999995"/>
    <n v="5866"/>
    <n v="3748.4403999999995"/>
    <n v="0.38987608680792279"/>
  </r>
  <r>
    <s v="ORD-2024-247032"/>
    <x v="394"/>
    <s v="Q2-2024"/>
    <d v="2024-05-19T00:00:00"/>
    <n v="28"/>
    <x v="0"/>
    <x v="1"/>
    <s v="Lagos"/>
    <s v="Corporate"/>
    <x v="3"/>
    <x v="8"/>
    <x v="6"/>
    <x v="488"/>
    <n v="187.22"/>
    <n v="309.47000000000003"/>
    <s v="High"/>
    <n v="0"/>
    <n v="5"/>
    <n v="1547.3500000000001"/>
    <n v="936.1"/>
    <n v="611.25000000000011"/>
    <n v="0.39503021294471197"/>
  </r>
  <r>
    <s v="ORD-2024-792353"/>
    <x v="395"/>
    <s v="Q3-2024"/>
    <d v="2024-09-07T00:00:00"/>
    <n v="19"/>
    <x v="3"/>
    <x v="7"/>
    <s v="Lyon"/>
    <s v="Corporate"/>
    <x v="4"/>
    <x v="1"/>
    <x v="0"/>
    <x v="489"/>
    <n v="297.58999999999997"/>
    <n v="666.41"/>
    <s v="High"/>
    <n v="0"/>
    <n v="10"/>
    <n v="6664.0999999999995"/>
    <n v="2975.8999999999996"/>
    <n v="3688.2"/>
    <n v="0.55344307558409989"/>
  </r>
  <r>
    <s v="ORD-2025-703623"/>
    <x v="318"/>
    <s v="Q3-2025"/>
    <d v="2025-08-19T00:00:00"/>
    <n v="27"/>
    <x v="1"/>
    <x v="2"/>
    <s v="Nagoya"/>
    <s v="Consumer"/>
    <x v="2"/>
    <x v="5"/>
    <x v="6"/>
    <x v="490"/>
    <n v="896.09"/>
    <n v="744.27"/>
    <s v="High"/>
    <n v="8.3000000000000004E-2"/>
    <n v="11"/>
    <n v="7507.4514899999995"/>
    <n v="9856.99"/>
    <n v="-2349.5385100000003"/>
    <n v="-0.31296086469950679"/>
  </r>
  <r>
    <s v="ORD-2024-516704"/>
    <x v="396"/>
    <s v="Q1-2024"/>
    <d v="2024-03-08T00:00:00"/>
    <n v="7"/>
    <x v="2"/>
    <x v="5"/>
    <s v="São Paulo"/>
    <s v="Non-Profit"/>
    <x v="4"/>
    <x v="2"/>
    <x v="3"/>
    <x v="491"/>
    <n v="5.34"/>
    <n v="12.69"/>
    <s v="High"/>
    <n v="0.13200000000000001"/>
    <n v="10"/>
    <n v="110.14919999999999"/>
    <n v="53.4"/>
    <n v="56.749199999999995"/>
    <n v="0.51520301554618642"/>
  </r>
  <r>
    <s v="ORD-2024-578646"/>
    <x v="397"/>
    <s v="Q2-2024"/>
    <d v="2024-06-17T00:00:00"/>
    <n v="21"/>
    <x v="1"/>
    <x v="4"/>
    <s v="Delhi"/>
    <s v="Small Business"/>
    <x v="1"/>
    <x v="10"/>
    <x v="6"/>
    <x v="492"/>
    <n v="465.02"/>
    <n v="651.55999999999995"/>
    <s v="High"/>
    <n v="4.2000000000000003E-2"/>
    <n v="19"/>
    <n v="11859.695119999998"/>
    <n v="8835.3799999999992"/>
    <n v="3024.3151199999993"/>
    <n v="0.25500783025187918"/>
  </r>
  <r>
    <s v="ORD-2024-433936"/>
    <x v="398"/>
    <s v="Q3-2024"/>
    <d v="2024-08-17T00:00:00"/>
    <n v="13"/>
    <x v="2"/>
    <x v="10"/>
    <s v="Austin"/>
    <s v="Consumer"/>
    <x v="0"/>
    <x v="14"/>
    <x v="5"/>
    <x v="493"/>
    <n v="352.79"/>
    <n v="754.22"/>
    <s v="High"/>
    <n v="0.113"/>
    <n v="7"/>
    <n v="4682.9519799999998"/>
    <n v="2469.5300000000002"/>
    <n v="2213.4219799999996"/>
    <n v="0.47265528014233443"/>
  </r>
  <r>
    <s v="ORD-2023-434071"/>
    <x v="263"/>
    <s v="Q2-2023"/>
    <d v="2023-07-04T00:00:00"/>
    <n v="14"/>
    <x v="2"/>
    <x v="5"/>
    <s v="Brasília"/>
    <s v="Non-Profit"/>
    <x v="4"/>
    <x v="0"/>
    <x v="2"/>
    <x v="494"/>
    <n v="1292.8599999999999"/>
    <n v="2981.01"/>
    <s v="High"/>
    <n v="0.14199999999999999"/>
    <n v="12"/>
    <n v="30692.47896"/>
    <n v="15514.32"/>
    <n v="15178.158960000001"/>
    <n v="0.49452372288927687"/>
  </r>
  <r>
    <s v="ORD-2024-728474"/>
    <x v="190"/>
    <s v="Q3-2024"/>
    <d v="2024-09-13T00:00:00"/>
    <n v="4"/>
    <x v="3"/>
    <x v="8"/>
    <s v="London"/>
    <s v="Consumer"/>
    <x v="2"/>
    <x v="9"/>
    <x v="2"/>
    <x v="495"/>
    <n v="1133.08"/>
    <n v="976.17"/>
    <s v="High"/>
    <n v="4.2000000000000003E-2"/>
    <n v="27"/>
    <n v="25249.613219999999"/>
    <n v="30593.159999999996"/>
    <n v="-5343.5467799999969"/>
    <n v="-0.21162885678452373"/>
  </r>
  <r>
    <s v="ORD-2023-406606"/>
    <x v="390"/>
    <s v="Q4-2023"/>
    <d v="2023-10-28T00:00:00"/>
    <n v="3"/>
    <x v="2"/>
    <x v="5"/>
    <s v="Brasília"/>
    <s v="Corporate"/>
    <x v="3"/>
    <x v="4"/>
    <x v="6"/>
    <x v="496"/>
    <n v="509.31"/>
    <n v="1145.9000000000001"/>
    <s v="High"/>
    <n v="5.7000000000000002E-2"/>
    <n v="8"/>
    <n v="8644.6696000000011"/>
    <n v="4074.48"/>
    <n v="4570.1896000000015"/>
    <n v="0.52867140231709964"/>
  </r>
  <r>
    <s v="ORD-2025-823055"/>
    <x v="17"/>
    <s v="Q3-2025"/>
    <d v="2025-10-05T00:00:00"/>
    <n v="27"/>
    <x v="2"/>
    <x v="5"/>
    <s v="Rio de Janeiro"/>
    <s v="Education"/>
    <x v="1"/>
    <x v="0"/>
    <x v="5"/>
    <x v="497"/>
    <n v="660.78"/>
    <n v="1630.39"/>
    <s v="High"/>
    <n v="0.218"/>
    <n v="13"/>
    <n v="16574.544740000001"/>
    <n v="8590.14"/>
    <n v="7984.4047400000018"/>
    <n v="0.48172694123724097"/>
  </r>
  <r>
    <s v="ORD-2023-573656"/>
    <x v="129"/>
    <s v="Q2-2023"/>
    <d v="2023-05-16T00:00:00"/>
    <n v="14"/>
    <x v="1"/>
    <x v="4"/>
    <s v="Bengaluru"/>
    <s v="Non-Profit"/>
    <x v="0"/>
    <x v="4"/>
    <x v="5"/>
    <x v="498"/>
    <n v="475.37"/>
    <n v="963.73"/>
    <s v="High"/>
    <n v="4.1000000000000002E-2"/>
    <n v="22"/>
    <n v="20332.775539999999"/>
    <n v="10458.14"/>
    <n v="9874.6355399999993"/>
    <n v="0.48565113604750881"/>
  </r>
  <r>
    <s v="ORD-2024-567435"/>
    <x v="399"/>
    <s v="Q2-2024"/>
    <d v="2024-05-03T00:00:00"/>
    <n v="7"/>
    <x v="3"/>
    <x v="8"/>
    <s v="London"/>
    <s v="Non-Profit"/>
    <x v="3"/>
    <x v="13"/>
    <x v="3"/>
    <x v="499"/>
    <n v="1232.77"/>
    <n v="891.73"/>
    <s v="High"/>
    <n v="0.16700000000000001"/>
    <n v="10"/>
    <n v="7428.1108999999988"/>
    <n v="12327.7"/>
    <n v="-4899.589100000002"/>
    <n v="-0.65960096260813805"/>
  </r>
  <r>
    <s v="ORD-2023-744942"/>
    <x v="29"/>
    <s v="Q1-2023"/>
    <d v="2023-03-18T00:00:00"/>
    <n v="23"/>
    <x v="1"/>
    <x v="9"/>
    <s v="Beijing"/>
    <s v="Education"/>
    <x v="3"/>
    <x v="11"/>
    <x v="1"/>
    <x v="500"/>
    <n v="770.11"/>
    <n v="1667.82"/>
    <s v="High"/>
    <n v="6.9000000000000006E-2"/>
    <n v="7"/>
    <n v="10869.182940000001"/>
    <n v="5390.77"/>
    <n v="5478.4129400000002"/>
    <n v="0.50403171703355287"/>
  </r>
  <r>
    <s v="ORD-2025-331237"/>
    <x v="400"/>
    <s v="Q1-2025"/>
    <d v="2025-03-25T00:00:00"/>
    <n v="1"/>
    <x v="1"/>
    <x v="9"/>
    <s v="Beijing"/>
    <s v="Non-Profit"/>
    <x v="1"/>
    <x v="3"/>
    <x v="2"/>
    <x v="501"/>
    <n v="1133.03"/>
    <n v="1921.51"/>
    <s v="High"/>
    <n v="0.10100000000000001"/>
    <n v="5"/>
    <n v="8637.1874499999994"/>
    <n v="5665.15"/>
    <n v="2972.0374499999998"/>
    <n v="0.3440978289755654"/>
  </r>
  <r>
    <s v="ORD-2025-680118"/>
    <x v="401"/>
    <s v="Q1-2025"/>
    <d v="2025-03-27T00:00:00"/>
    <n v="17"/>
    <x v="2"/>
    <x v="5"/>
    <s v="Rio de Janeiro"/>
    <s v="Enterprise"/>
    <x v="4"/>
    <x v="9"/>
    <x v="2"/>
    <x v="502"/>
    <n v="996.73"/>
    <n v="1217.43"/>
    <s v="High"/>
    <n v="7.0000000000000007E-2"/>
    <n v="9"/>
    <n v="10189.8891"/>
    <n v="8970.57"/>
    <n v="1219.3191000000006"/>
    <n v="0.11965970267527255"/>
  </r>
  <r>
    <s v="ORD-2024-310809"/>
    <x v="402"/>
    <s v="Q2-2024"/>
    <d v="2024-04-09T00:00:00"/>
    <n v="4"/>
    <x v="0"/>
    <x v="1"/>
    <s v="Lagos"/>
    <s v="Non-Profit"/>
    <x v="4"/>
    <x v="11"/>
    <x v="0"/>
    <x v="503"/>
    <n v="395.07"/>
    <n v="970.27"/>
    <s v="High"/>
    <n v="0.123"/>
    <n v="38"/>
    <n v="32335.21802"/>
    <n v="15012.66"/>
    <n v="17322.55802"/>
    <n v="0.53571799049833657"/>
  </r>
  <r>
    <s v="ORD-2025-474368"/>
    <x v="60"/>
    <s v="Q2-2025"/>
    <d v="2025-05-17T00:00:00"/>
    <n v="20"/>
    <x v="2"/>
    <x v="10"/>
    <s v="Austin"/>
    <s v="Corporate"/>
    <x v="4"/>
    <x v="13"/>
    <x v="3"/>
    <x v="504"/>
    <n v="932.26"/>
    <n v="1624.67"/>
    <s v="High"/>
    <n v="0.23499999999999999"/>
    <n v="28"/>
    <n v="34800.431400000001"/>
    <n v="26103.279999999999"/>
    <n v="8697.1514000000025"/>
    <n v="0.24991504559337163"/>
  </r>
  <r>
    <s v="ORD-2024-732543"/>
    <x v="403"/>
    <s v="Q4-2024"/>
    <d v="2024-10-28T00:00:00"/>
    <n v="4"/>
    <x v="1"/>
    <x v="9"/>
    <s v="Shanghai"/>
    <s v="Small Business"/>
    <x v="3"/>
    <x v="2"/>
    <x v="2"/>
    <x v="505"/>
    <n v="1331.77"/>
    <n v="2606.11"/>
    <s v="High"/>
    <n v="0.02"/>
    <n v="6"/>
    <n v="15323.926799999999"/>
    <n v="7990.62"/>
    <n v="7333.3067999999994"/>
    <n v="0.47855271665745619"/>
  </r>
  <r>
    <s v="ORD-2023-867166"/>
    <x v="289"/>
    <s v="Q2-2023"/>
    <d v="2023-04-20T00:00:00"/>
    <n v="7"/>
    <x v="3"/>
    <x v="7"/>
    <s v="Lyon"/>
    <s v="Small Business"/>
    <x v="1"/>
    <x v="8"/>
    <x v="4"/>
    <x v="506"/>
    <n v="227.02"/>
    <n v="434.72"/>
    <s v="High"/>
    <n v="9.8000000000000004E-2"/>
    <n v="10"/>
    <n v="3921.1744000000008"/>
    <n v="2270.2000000000003"/>
    <n v="1650.9744000000005"/>
    <n v="0.42104079838938052"/>
  </r>
  <r>
    <s v="ORD-2024-776337"/>
    <x v="404"/>
    <s v="Q4-2024"/>
    <d v="2024-11-21T00:00:00"/>
    <n v="9"/>
    <x v="1"/>
    <x v="4"/>
    <s v="Mumbai"/>
    <s v="Corporate"/>
    <x v="4"/>
    <x v="10"/>
    <x v="4"/>
    <x v="507"/>
    <n v="903.41"/>
    <n v="1860.41"/>
    <s v="High"/>
    <n v="0.108"/>
    <n v="5"/>
    <n v="8297.4286000000011"/>
    <n v="4517.05"/>
    <n v="3780.3786000000009"/>
    <n v="0.455608451996803"/>
  </r>
  <r>
    <s v="ORD-2023-913592"/>
    <x v="405"/>
    <s v="Q2-2023"/>
    <d v="2023-05-14T00:00:00"/>
    <n v="4"/>
    <x v="1"/>
    <x v="4"/>
    <s v="Delhi"/>
    <s v="Non-Profit"/>
    <x v="3"/>
    <x v="0"/>
    <x v="5"/>
    <x v="508"/>
    <n v="622.6"/>
    <n v="833.69"/>
    <s v="High"/>
    <n v="0.20899999999999999"/>
    <n v="14"/>
    <n v="9232.2830599999998"/>
    <n v="8716.4"/>
    <n v="515.88306000000011"/>
    <n v="5.5878167582959715E-2"/>
  </r>
  <r>
    <s v="ORD-2024-961501"/>
    <x v="262"/>
    <s v="Q1-2024"/>
    <d v="2024-03-23T00:00:00"/>
    <n v="21"/>
    <x v="2"/>
    <x v="10"/>
    <s v="Chicago"/>
    <s v="Small Business"/>
    <x v="1"/>
    <x v="9"/>
    <x v="0"/>
    <x v="509"/>
    <n v="225.01"/>
    <n v="333.48"/>
    <s v="High"/>
    <n v="0.11899999999999999"/>
    <n v="12"/>
    <n v="3525.5505600000001"/>
    <n v="2700.12"/>
    <n v="825.43056000000024"/>
    <n v="0.23412813004729685"/>
  </r>
  <r>
    <s v="ORD-2024-964950"/>
    <x v="406"/>
    <s v="Q4-2024"/>
    <d v="2024-10-11T00:00:00"/>
    <n v="1"/>
    <x v="3"/>
    <x v="8"/>
    <s v="Manchester"/>
    <s v="Non-Profit"/>
    <x v="3"/>
    <x v="4"/>
    <x v="0"/>
    <x v="510"/>
    <n v="1389.46"/>
    <n v="1784.7"/>
    <s v="High"/>
    <n v="0.14599999999999999"/>
    <n v="33"/>
    <n v="50296.415399999998"/>
    <n v="45852.18"/>
    <n v="4444.2353999999978"/>
    <n v="8.8360877503011831E-2"/>
  </r>
  <r>
    <s v="ORD-2023-349264"/>
    <x v="407"/>
    <s v="Q2-2023"/>
    <d v="2023-06-08T00:00:00"/>
    <n v="7"/>
    <x v="3"/>
    <x v="6"/>
    <s v="Frankfurt"/>
    <s v="Consumer"/>
    <x v="1"/>
    <x v="8"/>
    <x v="3"/>
    <x v="511"/>
    <n v="804.17"/>
    <n v="1072.29"/>
    <s v="High"/>
    <n v="3.2000000000000001E-2"/>
    <n v="5"/>
    <n v="5189.8836000000001"/>
    <n v="4020.85"/>
    <n v="1169.0336000000002"/>
    <n v="0.2252523736755869"/>
  </r>
  <r>
    <s v="ORD-2025-137394"/>
    <x v="408"/>
    <s v="Q1-2025"/>
    <d v="2025-01-05T00:00:00"/>
    <n v="1"/>
    <x v="1"/>
    <x v="4"/>
    <s v="Delhi"/>
    <s v="Education"/>
    <x v="0"/>
    <x v="2"/>
    <x v="0"/>
    <x v="512"/>
    <n v="1428.33"/>
    <n v="3028.05"/>
    <s v="High"/>
    <n v="0"/>
    <n v="11"/>
    <n v="33308.550000000003"/>
    <n v="15711.63"/>
    <n v="17596.920000000006"/>
    <n v="0.52830039134096207"/>
  </r>
  <r>
    <s v="ORD-2025-635337"/>
    <x v="117"/>
    <s v="Q3-2025"/>
    <d v="2025-08-28T00:00:00"/>
    <n v="23"/>
    <x v="1"/>
    <x v="4"/>
    <s v="Mumbai"/>
    <s v="Non-Profit"/>
    <x v="3"/>
    <x v="13"/>
    <x v="4"/>
    <x v="513"/>
    <n v="638.54"/>
    <n v="987.24"/>
    <s v="High"/>
    <n v="0"/>
    <n v="11"/>
    <n v="10859.64"/>
    <n v="7023.94"/>
    <n v="3835.7"/>
    <n v="0.35320692030306716"/>
  </r>
  <r>
    <s v="ORD-2023-568013"/>
    <x v="322"/>
    <s v="Q3-2023"/>
    <d v="2023-10-30T00:00:00"/>
    <n v="30"/>
    <x v="1"/>
    <x v="2"/>
    <s v="Tokyo"/>
    <s v="Enterprise"/>
    <x v="1"/>
    <x v="14"/>
    <x v="1"/>
    <x v="514"/>
    <n v="649.13"/>
    <n v="975.43"/>
    <s v="High"/>
    <n v="0.157"/>
    <n v="27"/>
    <n v="22201.762229999997"/>
    <n v="17526.509999999998"/>
    <n v="4675.2522299999982"/>
    <n v="0.21058023149543473"/>
  </r>
  <r>
    <s v="ORD-2025-828263"/>
    <x v="252"/>
    <s v="Q2-2025"/>
    <d v="2025-05-30T00:00:00"/>
    <n v="13"/>
    <x v="0"/>
    <x v="1"/>
    <s v="Lagos"/>
    <s v="Consumer"/>
    <x v="3"/>
    <x v="9"/>
    <x v="6"/>
    <x v="515"/>
    <n v="66.400000000000006"/>
    <n v="141.43"/>
    <s v="High"/>
    <n v="0.107"/>
    <n v="8"/>
    <n v="1010.3759200000001"/>
    <n v="531.20000000000005"/>
    <n v="479.17592000000002"/>
    <n v="0.47425508715607551"/>
  </r>
  <r>
    <s v="ORD-2024-402240"/>
    <x v="371"/>
    <s v="Q2-2024"/>
    <d v="2024-05-26T00:00:00"/>
    <n v="25"/>
    <x v="3"/>
    <x v="6"/>
    <s v="Berlin"/>
    <s v="Non-Profit"/>
    <x v="0"/>
    <x v="5"/>
    <x v="2"/>
    <x v="516"/>
    <n v="930.71"/>
    <n v="1625.42"/>
    <s v="High"/>
    <n v="0.13800000000000001"/>
    <n v="7"/>
    <n v="9807.7842799999999"/>
    <n v="6514.97"/>
    <n v="3292.8142799999996"/>
    <n v="0.33573477821231196"/>
  </r>
  <r>
    <s v="ORD-2023-125739"/>
    <x v="409"/>
    <s v="Q2-2023"/>
    <d v="2023-05-18T00:00:00"/>
    <n v="17"/>
    <x v="0"/>
    <x v="1"/>
    <s v="Port Harcourt"/>
    <s v="Corporate"/>
    <x v="4"/>
    <x v="9"/>
    <x v="0"/>
    <x v="517"/>
    <n v="327.97"/>
    <n v="299.94"/>
    <s v="High"/>
    <n v="4.9000000000000002E-2"/>
    <n v="3"/>
    <n v="855.72881999999993"/>
    <n v="983.91000000000008"/>
    <n v="-128.18118000000015"/>
    <n v="-0.14979182306843442"/>
  </r>
  <r>
    <s v="ORD-2024-892879"/>
    <x v="410"/>
    <s v="Q3-2024"/>
    <d v="2024-08-08T00:00:00"/>
    <n v="30"/>
    <x v="3"/>
    <x v="7"/>
    <s v="Marseille"/>
    <s v="Corporate"/>
    <x v="4"/>
    <x v="1"/>
    <x v="0"/>
    <x v="518"/>
    <n v="1062.3800000000001"/>
    <n v="1503.96"/>
    <s v="High"/>
    <n v="0.18"/>
    <n v="6"/>
    <n v="7399.4832000000006"/>
    <n v="6374.2800000000007"/>
    <n v="1025.2031999999999"/>
    <n v="0.13855064905073369"/>
  </r>
  <r>
    <s v="ORD-2023-472050"/>
    <x v="405"/>
    <s v="Q2-2023"/>
    <d v="2023-05-27T00:00:00"/>
    <n v="17"/>
    <x v="1"/>
    <x v="4"/>
    <s v="Mumbai"/>
    <s v="Consumer"/>
    <x v="0"/>
    <x v="12"/>
    <x v="4"/>
    <x v="519"/>
    <n v="1286.1600000000001"/>
    <n v="3101.11"/>
    <s v="High"/>
    <n v="0.1"/>
    <n v="23"/>
    <n v="64192.976999999999"/>
    <n v="29581.68"/>
    <n v="34611.296999999999"/>
    <n v="0.53917575749758417"/>
  </r>
  <r>
    <s v="ORD-2024-468615"/>
    <x v="410"/>
    <s v="Q3-2024"/>
    <d v="2024-07-12T00:00:00"/>
    <n v="3"/>
    <x v="1"/>
    <x v="9"/>
    <s v="Shanghai"/>
    <s v="Small Business"/>
    <x v="0"/>
    <x v="14"/>
    <x v="6"/>
    <x v="520"/>
    <n v="748.39"/>
    <n v="979.42"/>
    <s v="High"/>
    <n v="0"/>
    <n v="23"/>
    <n v="22526.66"/>
    <n v="17212.97"/>
    <n v="5313.6899999999987"/>
    <n v="0.23588450307324738"/>
  </r>
  <r>
    <s v="ORD-2024-833375"/>
    <x v="411"/>
    <s v="Q2-2024"/>
    <d v="2024-05-10T00:00:00"/>
    <n v="16"/>
    <x v="0"/>
    <x v="0"/>
    <s v="Kisumu"/>
    <s v="Non-Profit"/>
    <x v="1"/>
    <x v="13"/>
    <x v="5"/>
    <x v="521"/>
    <n v="513.30999999999995"/>
    <n v="1186.26"/>
    <s v="High"/>
    <n v="9.4E-2"/>
    <n v="15"/>
    <n v="16121.273400000002"/>
    <n v="7699.65"/>
    <n v="8421.6234000000022"/>
    <n v="0.52239194702820446"/>
  </r>
  <r>
    <s v="ORD-2024-206311"/>
    <x v="94"/>
    <s v="Q1-2024"/>
    <d v="2024-01-15T00:00:00"/>
    <n v="2"/>
    <x v="2"/>
    <x v="10"/>
    <s v="San Francisco"/>
    <s v="Non-Profit"/>
    <x v="4"/>
    <x v="6"/>
    <x v="0"/>
    <x v="522"/>
    <n v="1061.3699999999999"/>
    <n v="1938.33"/>
    <s v="High"/>
    <n v="0.17"/>
    <n v="4"/>
    <n v="6435.2555999999995"/>
    <n v="4245.4799999999996"/>
    <n v="2189.7755999999999"/>
    <n v="0.34027795259600879"/>
  </r>
  <r>
    <s v="ORD-2024-364080"/>
    <x v="412"/>
    <s v="Q2-2024"/>
    <d v="2024-04-27T00:00:00"/>
    <n v="11"/>
    <x v="0"/>
    <x v="0"/>
    <s v="Nakuru"/>
    <s v="Enterprise"/>
    <x v="1"/>
    <x v="14"/>
    <x v="1"/>
    <x v="523"/>
    <n v="401.3"/>
    <n v="826.47"/>
    <s v="High"/>
    <n v="0.22500000000000001"/>
    <n v="13"/>
    <n v="8326.6852500000005"/>
    <n v="5216.9000000000005"/>
    <n v="3109.7852499999999"/>
    <n v="0.37347217489696755"/>
  </r>
  <r>
    <s v="ORD-2025-460466"/>
    <x v="413"/>
    <s v="Q1-2025"/>
    <d v="2025-02-16T00:00:00"/>
    <n v="9"/>
    <x v="0"/>
    <x v="1"/>
    <s v="Lagos"/>
    <s v="Small Business"/>
    <x v="3"/>
    <x v="0"/>
    <x v="1"/>
    <x v="524"/>
    <n v="90.68"/>
    <n v="118.17"/>
    <s v="High"/>
    <n v="0.13500000000000001"/>
    <n v="21"/>
    <n v="2146.5580500000001"/>
    <n v="1904.2800000000002"/>
    <n v="242.27804999999989"/>
    <n v="0.11286815653552899"/>
  </r>
  <r>
    <s v="ORD-2023-700699"/>
    <x v="414"/>
    <s v="Q1-2023"/>
    <d v="2023-01-26T00:00:00"/>
    <n v="14"/>
    <x v="1"/>
    <x v="9"/>
    <s v="Shenzhen"/>
    <s v="Non-Profit"/>
    <x v="0"/>
    <x v="12"/>
    <x v="1"/>
    <x v="525"/>
    <n v="1083.0899999999999"/>
    <n v="1425.87"/>
    <s v="High"/>
    <n v="0"/>
    <n v="8"/>
    <n v="11406.96"/>
    <n v="8664.7199999999993"/>
    <n v="2742.24"/>
    <n v="0.24040059752992909"/>
  </r>
  <r>
    <s v="ORD-2024-713332"/>
    <x v="415"/>
    <s v="Q2-2024"/>
    <d v="2024-06-23T00:00:00"/>
    <n v="18"/>
    <x v="0"/>
    <x v="0"/>
    <s v="Nairobi"/>
    <s v="Consumer"/>
    <x v="3"/>
    <x v="14"/>
    <x v="4"/>
    <x v="526"/>
    <n v="1208.74"/>
    <n v="1594.78"/>
    <s v="High"/>
    <n v="5.8999999999999997E-2"/>
    <n v="39"/>
    <n v="58526.83122"/>
    <n v="47140.86"/>
    <n v="11385.971219999999"/>
    <n v="0.1945427589817838"/>
  </r>
  <r>
    <s v="ORD-2023-640022"/>
    <x v="416"/>
    <s v="Q3-2023"/>
    <d v="2023-09-20T00:00:00"/>
    <n v="27"/>
    <x v="0"/>
    <x v="11"/>
    <s v="Durban"/>
    <s v="Small Business"/>
    <x v="2"/>
    <x v="12"/>
    <x v="1"/>
    <x v="527"/>
    <n v="1399.64"/>
    <n v="3342.11"/>
    <s v="High"/>
    <n v="0"/>
    <n v="10"/>
    <n v="33421.1"/>
    <n v="13996.400000000001"/>
    <n v="19424.699999999997"/>
    <n v="0.58121067229983447"/>
  </r>
  <r>
    <s v="ORD-2024-532184"/>
    <x v="246"/>
    <s v="Q1-2024"/>
    <d v="2024-02-08T00:00:00"/>
    <n v="14"/>
    <x v="1"/>
    <x v="2"/>
    <s v="Osaka"/>
    <s v="Consumer"/>
    <x v="2"/>
    <x v="2"/>
    <x v="2"/>
    <x v="528"/>
    <n v="937.16"/>
    <n v="1069.77"/>
    <s v="High"/>
    <n v="3.7999999999999999E-2"/>
    <n v="9"/>
    <n v="9262.0686600000008"/>
    <n v="8434.44"/>
    <n v="827.62866000000031"/>
    <n v="8.9356783066645962E-2"/>
  </r>
  <r>
    <s v="ORD-2025-926547"/>
    <x v="417"/>
    <s v="Q1-2025"/>
    <d v="2025-03-26T00:00:00"/>
    <n v="15"/>
    <x v="3"/>
    <x v="6"/>
    <s v="Berlin"/>
    <s v="Small Business"/>
    <x v="1"/>
    <x v="2"/>
    <x v="3"/>
    <x v="529"/>
    <n v="116.97"/>
    <n v="140.82"/>
    <s v="High"/>
    <n v="0.122"/>
    <n v="5"/>
    <n v="618.19979999999987"/>
    <n v="584.85"/>
    <n v="33.349799999999846"/>
    <n v="5.3946636669891926E-2"/>
  </r>
  <r>
    <s v="ORD-2025-778145"/>
    <x v="221"/>
    <s v="Q2-2025"/>
    <d v="2025-05-12T00:00:00"/>
    <n v="20"/>
    <x v="3"/>
    <x v="7"/>
    <s v="Lyon"/>
    <s v="Enterprise"/>
    <x v="2"/>
    <x v="11"/>
    <x v="5"/>
    <x v="530"/>
    <n v="59.51"/>
    <n v="67.040000000000006"/>
    <s v="High"/>
    <n v="0.114"/>
    <n v="9"/>
    <n v="534.57695999999999"/>
    <n v="535.59"/>
    <n v="-1.0130400000000463"/>
    <n v="-1.8950311663264469E-3"/>
  </r>
  <r>
    <s v="ORD-2023-525643"/>
    <x v="418"/>
    <s v="Q3-2023"/>
    <d v="2023-09-03T00:00:00"/>
    <n v="17"/>
    <x v="0"/>
    <x v="11"/>
    <s v="Durban"/>
    <s v="Enterprise"/>
    <x v="0"/>
    <x v="8"/>
    <x v="3"/>
    <x v="531"/>
    <n v="676.37"/>
    <n v="1276.67"/>
    <s v="High"/>
    <n v="6.6000000000000003E-2"/>
    <n v="10"/>
    <n v="11924.0978"/>
    <n v="6763.7"/>
    <n v="5160.3977999999997"/>
    <n v="0.4327705027712872"/>
  </r>
  <r>
    <s v="ORD-2025-312803"/>
    <x v="35"/>
    <s v="Q2-2025"/>
    <d v="2025-07-14T00:00:00"/>
    <n v="20"/>
    <x v="0"/>
    <x v="11"/>
    <s v="Johannesburg"/>
    <s v="Enterprise"/>
    <x v="2"/>
    <x v="1"/>
    <x v="4"/>
    <x v="532"/>
    <n v="1151.06"/>
    <n v="2821.36"/>
    <s v="High"/>
    <n v="0.248"/>
    <n v="20"/>
    <n v="42433.254400000005"/>
    <n v="23021.199999999997"/>
    <n v="19412.054400000008"/>
    <n v="0.45747267501594235"/>
  </r>
  <r>
    <s v="ORD-2025-149156"/>
    <x v="419"/>
    <s v="Q1-2025"/>
    <d v="2025-02-06T00:00:00"/>
    <n v="27"/>
    <x v="2"/>
    <x v="5"/>
    <s v="Brasília"/>
    <s v="Non-Profit"/>
    <x v="0"/>
    <x v="5"/>
    <x v="4"/>
    <x v="533"/>
    <n v="725.62"/>
    <n v="1559.19"/>
    <s v="High"/>
    <n v="0.19"/>
    <n v="12"/>
    <n v="15155.326800000001"/>
    <n v="8707.44"/>
    <n v="6447.8868000000002"/>
    <n v="0.42545349797405885"/>
  </r>
  <r>
    <s v="ORD-2023-215819"/>
    <x v="305"/>
    <s v="Q3-2023"/>
    <d v="2023-07-11T00:00:00"/>
    <n v="10"/>
    <x v="3"/>
    <x v="7"/>
    <s v="Paris"/>
    <s v="Corporate"/>
    <x v="4"/>
    <x v="9"/>
    <x v="2"/>
    <x v="534"/>
    <n v="479.5"/>
    <n v="656.66"/>
    <s v="High"/>
    <n v="0.14899999999999999"/>
    <n v="14"/>
    <n v="7823.4472399999995"/>
    <n v="6713"/>
    <n v="1110.4472399999995"/>
    <n v="0.14193835606412289"/>
  </r>
  <r>
    <s v="ORD-2024-353078"/>
    <x v="420"/>
    <s v="Q3-2024"/>
    <d v="2024-08-26T00:00:00"/>
    <n v="10"/>
    <x v="2"/>
    <x v="10"/>
    <s v="Chicago"/>
    <s v="Corporate"/>
    <x v="3"/>
    <x v="4"/>
    <x v="4"/>
    <x v="386"/>
    <n v="1291.7"/>
    <n v="2657.84"/>
    <s v="High"/>
    <n v="8.6999999999999994E-2"/>
    <n v="21"/>
    <n v="50958.766320000002"/>
    <n v="27125.7"/>
    <n v="23833.066320000002"/>
    <n v="0.46769315745083367"/>
  </r>
  <r>
    <s v="ORD-2023-621393"/>
    <x v="421"/>
    <s v="Q3-2023"/>
    <d v="2023-07-13T00:00:00"/>
    <n v="6"/>
    <x v="0"/>
    <x v="11"/>
    <s v="Cape Town"/>
    <s v="Small Business"/>
    <x v="2"/>
    <x v="5"/>
    <x v="6"/>
    <x v="535"/>
    <n v="612.59"/>
    <n v="1424.74"/>
    <s v="High"/>
    <n v="4.3999999999999997E-2"/>
    <n v="15"/>
    <n v="20430.771599999996"/>
    <n v="9188.85"/>
    <n v="11241.921599999996"/>
    <n v="0.55024459281802152"/>
  </r>
  <r>
    <s v="ORD-2023-974506"/>
    <x v="422"/>
    <s v="Q4-2023"/>
    <d v="2024-01-01T00:00:00"/>
    <n v="4"/>
    <x v="0"/>
    <x v="11"/>
    <s v="Cape Town"/>
    <s v="Education"/>
    <x v="3"/>
    <x v="8"/>
    <x v="1"/>
    <x v="536"/>
    <n v="1141.8"/>
    <n v="2318.7399999999998"/>
    <s v="High"/>
    <n v="0.107"/>
    <n v="32"/>
    <n v="66260.314239999992"/>
    <n v="36537.599999999999"/>
    <n v="29722.714239999994"/>
    <n v="0.44857490612468304"/>
  </r>
  <r>
    <s v="ORD-2023-811823"/>
    <x v="423"/>
    <s v="Q1-2023"/>
    <d v="2023-02-15T00:00:00"/>
    <n v="20"/>
    <x v="3"/>
    <x v="6"/>
    <s v="Berlin"/>
    <s v="Small Business"/>
    <x v="1"/>
    <x v="7"/>
    <x v="2"/>
    <x v="537"/>
    <n v="492.62"/>
    <n v="366.7"/>
    <s v="High"/>
    <n v="8.8999999999999996E-2"/>
    <n v="10"/>
    <n v="3340.6370000000002"/>
    <n v="4926.2"/>
    <n v="-1585.5629999999996"/>
    <n v="-0.47462894052840809"/>
  </r>
  <r>
    <s v="ORD-2023-286720"/>
    <x v="424"/>
    <s v="Q3-2023"/>
    <d v="2023-07-09T00:00:00"/>
    <n v="1"/>
    <x v="0"/>
    <x v="0"/>
    <s v="Nairobi"/>
    <s v="Consumer"/>
    <x v="1"/>
    <x v="14"/>
    <x v="4"/>
    <x v="538"/>
    <n v="1258.72"/>
    <n v="2797.41"/>
    <s v="High"/>
    <n v="0"/>
    <n v="7"/>
    <n v="19581.87"/>
    <n v="8811.0400000000009"/>
    <n v="10770.829999999998"/>
    <n v="0.55004093071805704"/>
  </r>
  <r>
    <s v="ORD-2024-626925"/>
    <x v="116"/>
    <s v="Q2-2024"/>
    <d v="2024-06-09T00:00:00"/>
    <n v="2"/>
    <x v="1"/>
    <x v="9"/>
    <s v="Shanghai"/>
    <s v="Corporate"/>
    <x v="0"/>
    <x v="7"/>
    <x v="5"/>
    <x v="539"/>
    <n v="1370.28"/>
    <n v="2209.66"/>
    <s v="High"/>
    <n v="0.13300000000000001"/>
    <n v="16"/>
    <n v="30652.403519999996"/>
    <n v="21924.48"/>
    <n v="8727.9235199999966"/>
    <n v="0.28473863442079589"/>
  </r>
  <r>
    <s v="ORD-2023-960380"/>
    <x v="425"/>
    <s v="Q1-2023"/>
    <d v="2023-02-12T00:00:00"/>
    <n v="1"/>
    <x v="0"/>
    <x v="1"/>
    <s v="Port Harcourt"/>
    <s v="Non-Profit"/>
    <x v="4"/>
    <x v="14"/>
    <x v="6"/>
    <x v="540"/>
    <n v="944.61"/>
    <n v="839.04"/>
    <s v="High"/>
    <n v="5.8999999999999997E-2"/>
    <n v="6"/>
    <n v="4737.2198399999997"/>
    <n v="5667.66"/>
    <n v="-930.44016000000011"/>
    <n v="-0.19641059343363726"/>
  </r>
  <r>
    <s v="ORD-2023-453699"/>
    <x v="305"/>
    <s v="Q3-2023"/>
    <d v="2023-07-08T00:00:00"/>
    <n v="7"/>
    <x v="3"/>
    <x v="6"/>
    <s v="Frankfurt"/>
    <s v="Small Business"/>
    <x v="3"/>
    <x v="13"/>
    <x v="4"/>
    <x v="541"/>
    <n v="460.21"/>
    <n v="1139.1500000000001"/>
    <s v="High"/>
    <n v="0.115"/>
    <n v="14"/>
    <n v="14114.068500000001"/>
    <n v="6442.94"/>
    <n v="7671.1285000000016"/>
    <n v="0.54350937151821255"/>
  </r>
  <r>
    <s v="ORD-2025-960931"/>
    <x v="426"/>
    <s v="Q3-2025"/>
    <d v="2025-08-26T00:00:00"/>
    <n v="6"/>
    <x v="2"/>
    <x v="10"/>
    <s v="New York"/>
    <s v="Corporate"/>
    <x v="0"/>
    <x v="12"/>
    <x v="2"/>
    <x v="542"/>
    <n v="1304.95"/>
    <n v="1712.03"/>
    <s v="High"/>
    <n v="0.21199999999999999"/>
    <n v="8"/>
    <n v="10792.637119999999"/>
    <n v="10439.6"/>
    <n v="353.03711999999905"/>
    <n v="3.2710922833287949E-2"/>
  </r>
  <r>
    <s v="ORD-2024-419248"/>
    <x v="427"/>
    <s v="Q1-2024"/>
    <d v="2024-03-16T00:00:00"/>
    <n v="12"/>
    <x v="0"/>
    <x v="11"/>
    <s v="Johannesburg"/>
    <s v="Enterprise"/>
    <x v="3"/>
    <x v="12"/>
    <x v="5"/>
    <x v="543"/>
    <n v="441.08"/>
    <n v="1054.29"/>
    <s v="High"/>
    <n v="0.23699999999999999"/>
    <n v="6"/>
    <n v="4826.5396199999996"/>
    <n v="2646.48"/>
    <n v="2180.0596199999995"/>
    <n v="0.45168169985932899"/>
  </r>
  <r>
    <s v="ORD-2023-488227"/>
    <x v="428"/>
    <s v="Q3-2023"/>
    <d v="2023-10-02T00:00:00"/>
    <n v="24"/>
    <x v="2"/>
    <x v="3"/>
    <s v="Toronto"/>
    <s v="Education"/>
    <x v="4"/>
    <x v="8"/>
    <x v="6"/>
    <x v="544"/>
    <n v="1299.03"/>
    <n v="2451.2199999999998"/>
    <s v="High"/>
    <n v="0.20799999999999999"/>
    <n v="8"/>
    <n v="15530.929919999999"/>
    <n v="10392.24"/>
    <n v="5138.6899199999989"/>
    <n v="0.3308681416032041"/>
  </r>
  <r>
    <s v="ORD-2023-472078"/>
    <x v="2"/>
    <s v="Q1-2023"/>
    <d v="2023-03-06T00:00:00"/>
    <n v="6"/>
    <x v="3"/>
    <x v="6"/>
    <s v="Frankfurt"/>
    <s v="Small Business"/>
    <x v="2"/>
    <x v="14"/>
    <x v="1"/>
    <x v="545"/>
    <n v="880.02"/>
    <n v="1251.21"/>
    <s v="High"/>
    <n v="0.123"/>
    <n v="29"/>
    <n v="31822.023930000003"/>
    <n v="25520.579999999998"/>
    <n v="6301.4439300000049"/>
    <n v="0.19802146915172672"/>
  </r>
  <r>
    <s v="ORD-2024-202877"/>
    <x v="292"/>
    <s v="Q3-2024"/>
    <d v="2024-08-03T00:00:00"/>
    <n v="21"/>
    <x v="2"/>
    <x v="5"/>
    <s v="Rio de Janeiro"/>
    <s v="Corporate"/>
    <x v="2"/>
    <x v="12"/>
    <x v="5"/>
    <x v="546"/>
    <n v="702.98"/>
    <n v="1104.8"/>
    <s v="High"/>
    <n v="0.17499999999999999"/>
    <n v="12"/>
    <n v="10937.519999999999"/>
    <n v="8435.76"/>
    <n v="2501.7599999999984"/>
    <n v="0.22873192460448061"/>
  </r>
  <r>
    <s v="ORD-2024-140633"/>
    <x v="429"/>
    <s v="Q4-2024"/>
    <d v="2024-12-26T00:00:00"/>
    <n v="19"/>
    <x v="3"/>
    <x v="8"/>
    <s v="London"/>
    <s v="Enterprise"/>
    <x v="1"/>
    <x v="14"/>
    <x v="2"/>
    <x v="547"/>
    <n v="1035.24"/>
    <n v="2383.41"/>
    <s v="High"/>
    <n v="0.17"/>
    <n v="15"/>
    <n v="29673.454499999993"/>
    <n v="15528.6"/>
    <n v="14144.854499999992"/>
    <n v="0.47668378145860962"/>
  </r>
  <r>
    <s v="ORD-2025-419532"/>
    <x v="430"/>
    <s v="Q3-2025"/>
    <d v="2025-08-23T00:00:00"/>
    <n v="17"/>
    <x v="2"/>
    <x v="5"/>
    <s v="Brasília"/>
    <s v="Consumer"/>
    <x v="3"/>
    <x v="8"/>
    <x v="5"/>
    <x v="548"/>
    <n v="86.64"/>
    <n v="213.06"/>
    <s v="High"/>
    <n v="0.21199999999999999"/>
    <n v="11"/>
    <n v="1846.8040799999999"/>
    <n v="953.04"/>
    <n v="893.76407999999992"/>
    <n v="0.48395175735154322"/>
  </r>
  <r>
    <s v="ORD-2023-139236"/>
    <x v="431"/>
    <s v="Q1-2023"/>
    <d v="2023-03-20T00:00:00"/>
    <n v="17"/>
    <x v="1"/>
    <x v="2"/>
    <s v="Nagoya"/>
    <s v="Small Business"/>
    <x v="1"/>
    <x v="14"/>
    <x v="2"/>
    <x v="549"/>
    <n v="1171.17"/>
    <n v="2030.64"/>
    <s v="High"/>
    <n v="0.157"/>
    <n v="11"/>
    <n v="18830.12472"/>
    <n v="12882.87"/>
    <n v="5947.254719999999"/>
    <n v="0.31583724528830415"/>
  </r>
  <r>
    <s v="ORD-2025-337268"/>
    <x v="432"/>
    <s v="Q1-2025"/>
    <d v="2025-03-17T00:00:00"/>
    <n v="29"/>
    <x v="3"/>
    <x v="6"/>
    <s v="Munich"/>
    <s v="Consumer"/>
    <x v="0"/>
    <x v="4"/>
    <x v="6"/>
    <x v="550"/>
    <n v="730.42"/>
    <n v="956.7"/>
    <s v="High"/>
    <n v="4.2000000000000003E-2"/>
    <n v="22"/>
    <n v="20163.409200000002"/>
    <n v="16069.24"/>
    <n v="4094.1692000000021"/>
    <n v="0.20304945256975698"/>
  </r>
  <r>
    <s v="ORD-2025-332931"/>
    <x v="146"/>
    <s v="Q1-2025"/>
    <d v="2025-03-01T00:00:00"/>
    <n v="14"/>
    <x v="0"/>
    <x v="0"/>
    <s v="Mombasa"/>
    <s v="Education"/>
    <x v="4"/>
    <x v="4"/>
    <x v="6"/>
    <x v="551"/>
    <n v="1162.8599999999999"/>
    <n v="1447.68"/>
    <s v="High"/>
    <n v="8.6999999999999994E-2"/>
    <n v="12"/>
    <n v="15860.782080000001"/>
    <n v="13954.32"/>
    <n v="1906.4620800000012"/>
    <n v="0.12019975247021369"/>
  </r>
  <r>
    <s v="ORD-2024-536442"/>
    <x v="433"/>
    <s v="Q3-2024"/>
    <d v="2024-09-26T00:00:00"/>
    <n v="26"/>
    <x v="1"/>
    <x v="2"/>
    <s v="Tokyo"/>
    <s v="Education"/>
    <x v="1"/>
    <x v="2"/>
    <x v="3"/>
    <x v="552"/>
    <n v="1189.03"/>
    <n v="2949.62"/>
    <s v="High"/>
    <n v="0.125"/>
    <n v="13"/>
    <n v="33551.927499999998"/>
    <n v="15457.39"/>
    <n v="18094.537499999999"/>
    <n v="0.53929949330034765"/>
  </r>
  <r>
    <s v="ORD-2023-957692"/>
    <x v="238"/>
    <s v="Q2-2023"/>
    <d v="2023-05-20T00:00:00"/>
    <n v="13"/>
    <x v="1"/>
    <x v="4"/>
    <s v="Mumbai"/>
    <s v="Enterprise"/>
    <x v="0"/>
    <x v="14"/>
    <x v="6"/>
    <x v="553"/>
    <n v="1443.28"/>
    <n v="2580.5700000000002"/>
    <s v="High"/>
    <n v="0"/>
    <n v="18"/>
    <n v="46450.26"/>
    <n v="25979.040000000001"/>
    <n v="20471.22"/>
    <n v="0.4407127107577008"/>
  </r>
  <r>
    <s v="ORD-2025-874124"/>
    <x v="78"/>
    <s v="Q2-2025"/>
    <d v="2025-05-21T00:00:00"/>
    <n v="7"/>
    <x v="2"/>
    <x v="3"/>
    <s v="Vancouver"/>
    <s v="Non-Profit"/>
    <x v="3"/>
    <x v="9"/>
    <x v="1"/>
    <x v="554"/>
    <n v="883.5"/>
    <n v="1978.91"/>
    <s v="High"/>
    <n v="5.3999999999999999E-2"/>
    <n v="27"/>
    <n v="50545.319219999998"/>
    <n v="23854.5"/>
    <n v="26690.819219999998"/>
    <n v="0.52805718970390547"/>
  </r>
  <r>
    <s v="ORD-2024-687073"/>
    <x v="0"/>
    <s v="Q1-2024"/>
    <d v="2024-03-29T00:00:00"/>
    <n v="18"/>
    <x v="2"/>
    <x v="10"/>
    <s v="New York"/>
    <s v="Corporate"/>
    <x v="0"/>
    <x v="12"/>
    <x v="5"/>
    <x v="555"/>
    <n v="710.98"/>
    <n v="1481.45"/>
    <s v="High"/>
    <n v="0.21099999999999999"/>
    <n v="9"/>
    <n v="10519.776450000001"/>
    <n v="6398.82"/>
    <n v="4120.9564500000015"/>
    <n v="0.39173422264120461"/>
  </r>
  <r>
    <s v="ORD-2024-555229"/>
    <x v="22"/>
    <s v="Q2-2024"/>
    <d v="2024-05-22T00:00:00"/>
    <n v="4"/>
    <x v="0"/>
    <x v="0"/>
    <s v="Nairobi"/>
    <s v="Corporate"/>
    <x v="4"/>
    <x v="10"/>
    <x v="6"/>
    <x v="556"/>
    <n v="857.42"/>
    <n v="1658.92"/>
    <s v="High"/>
    <n v="0.122"/>
    <n v="9"/>
    <n v="13108.78584"/>
    <n v="7716.78"/>
    <n v="5392.0058400000007"/>
    <n v="0.41132763215544305"/>
  </r>
  <r>
    <s v="ORD-2024-872291"/>
    <x v="434"/>
    <s v="Q1-2024"/>
    <d v="2024-01-12T00:00:00"/>
    <n v="4"/>
    <x v="1"/>
    <x v="4"/>
    <s v="Bengaluru"/>
    <s v="Corporate"/>
    <x v="4"/>
    <x v="6"/>
    <x v="1"/>
    <x v="557"/>
    <n v="802.32"/>
    <n v="602.34"/>
    <s v="High"/>
    <n v="0.12"/>
    <n v="25"/>
    <n v="13251.48"/>
    <n v="20058"/>
    <n v="-6806.52"/>
    <n v="-0.51364224977134632"/>
  </r>
  <r>
    <s v="ORD-2024-250862"/>
    <x v="40"/>
    <s v="Q4-2024"/>
    <d v="2024-11-05T00:00:00"/>
    <n v="11"/>
    <x v="2"/>
    <x v="10"/>
    <s v="New York"/>
    <s v="Corporate"/>
    <x v="3"/>
    <x v="13"/>
    <x v="0"/>
    <x v="558"/>
    <n v="446.66"/>
    <n v="527.64"/>
    <s v="High"/>
    <n v="0.14499999999999999"/>
    <n v="15"/>
    <n v="6766.9829999999993"/>
    <n v="6699.9000000000005"/>
    <n v="67.082999999998719"/>
    <n v="9.9132804087137105E-3"/>
  </r>
  <r>
    <s v="ORD-2024-331226"/>
    <x v="25"/>
    <s v="Q4-2024"/>
    <d v="2024-12-19T00:00:00"/>
    <n v="19"/>
    <x v="0"/>
    <x v="0"/>
    <s v="Kisumu"/>
    <s v="Corporate"/>
    <x v="1"/>
    <x v="4"/>
    <x v="3"/>
    <x v="559"/>
    <n v="1195.98"/>
    <n v="1841.9"/>
    <s v="High"/>
    <n v="5.5E-2"/>
    <n v="19"/>
    <n v="33071.3145"/>
    <n v="22723.62"/>
    <n v="10347.694500000001"/>
    <n v="0.31289032977506842"/>
  </r>
  <r>
    <s v="ORD-2023-356427"/>
    <x v="289"/>
    <s v="Q2-2023"/>
    <d v="2023-05-02T00:00:00"/>
    <n v="19"/>
    <x v="2"/>
    <x v="3"/>
    <s v="Montreal"/>
    <s v="Consumer"/>
    <x v="3"/>
    <x v="6"/>
    <x v="5"/>
    <x v="560"/>
    <n v="671.05"/>
    <n v="1645.48"/>
    <s v="High"/>
    <n v="0.13700000000000001"/>
    <n v="6"/>
    <n v="8520.2954399999999"/>
    <n v="4026.2999999999997"/>
    <n v="4493.9954400000006"/>
    <n v="0.52744596377517172"/>
  </r>
  <r>
    <s v="ORD-2025-659650"/>
    <x v="184"/>
    <s v="Q1-2025"/>
    <d v="2025-02-08T00:00:00"/>
    <n v="4"/>
    <x v="3"/>
    <x v="8"/>
    <s v="Manchester"/>
    <s v="Enterprise"/>
    <x v="2"/>
    <x v="4"/>
    <x v="2"/>
    <x v="561"/>
    <n v="586.21"/>
    <n v="727.22"/>
    <s v="High"/>
    <n v="6.8000000000000005E-2"/>
    <n v="15"/>
    <n v="10166.535600000001"/>
    <n v="8793.1500000000015"/>
    <n v="1373.3855999999996"/>
    <n v="0.13508884973559721"/>
  </r>
  <r>
    <s v="ORD-2024-207669"/>
    <x v="435"/>
    <s v="Q1-2024"/>
    <d v="2024-02-04T00:00:00"/>
    <n v="11"/>
    <x v="3"/>
    <x v="8"/>
    <s v="Manchester"/>
    <s v="Consumer"/>
    <x v="0"/>
    <x v="5"/>
    <x v="4"/>
    <x v="562"/>
    <n v="525.34"/>
    <n v="1233.79"/>
    <s v="High"/>
    <n v="0.14299999999999999"/>
    <n v="4"/>
    <n v="4229.4321199999995"/>
    <n v="2101.36"/>
    <n v="2128.0721199999994"/>
    <n v="0.50315788494082736"/>
  </r>
  <r>
    <s v="ORD-2024-979401"/>
    <x v="436"/>
    <s v="Q1-2024"/>
    <d v="2024-02-09T00:00:00"/>
    <n v="1"/>
    <x v="0"/>
    <x v="0"/>
    <s v="Mombasa"/>
    <s v="Corporate"/>
    <x v="4"/>
    <x v="9"/>
    <x v="0"/>
    <x v="563"/>
    <n v="1233.52"/>
    <n v="1543.76"/>
    <s v="High"/>
    <n v="0.126"/>
    <n v="13"/>
    <n v="17540.201120000002"/>
    <n v="16035.76"/>
    <n v="1504.4411200000013"/>
    <n v="8.5771030201277493E-2"/>
  </r>
  <r>
    <s v="ORD-2025-929414"/>
    <x v="437"/>
    <s v="Q2-2025"/>
    <d v="2025-07-11T00:00:00"/>
    <n v="15"/>
    <x v="0"/>
    <x v="1"/>
    <s v="Port Harcourt"/>
    <s v="Small Business"/>
    <x v="1"/>
    <x v="8"/>
    <x v="4"/>
    <x v="564"/>
    <n v="1170.1500000000001"/>
    <n v="2115.19"/>
    <s v="High"/>
    <n v="9.1999999999999998E-2"/>
    <n v="23"/>
    <n v="44173.627960000005"/>
    <n v="26913.45"/>
    <n v="17260.177960000005"/>
    <n v="0.39073489674946776"/>
  </r>
  <r>
    <s v="ORD-2024-766980"/>
    <x v="272"/>
    <s v="Q4-2024"/>
    <d v="2024-11-07T00:00:00"/>
    <n v="3"/>
    <x v="3"/>
    <x v="7"/>
    <s v="Lyon"/>
    <s v="Corporate"/>
    <x v="1"/>
    <x v="7"/>
    <x v="5"/>
    <x v="565"/>
    <n v="740.68"/>
    <n v="1837.19"/>
    <s v="High"/>
    <n v="0.19700000000000001"/>
    <n v="17"/>
    <n v="25079.480689999997"/>
    <n v="12591.56"/>
    <n v="12487.920689999997"/>
    <n v="0.4979337827748298"/>
  </r>
  <r>
    <s v="ORD-2024-437164"/>
    <x v="438"/>
    <s v="Q1-2024"/>
    <d v="2024-02-20T00:00:00"/>
    <n v="0"/>
    <x v="2"/>
    <x v="10"/>
    <s v="New York"/>
    <s v="Enterprise"/>
    <x v="1"/>
    <x v="0"/>
    <x v="2"/>
    <x v="566"/>
    <n v="1407.05"/>
    <n v="2858.93"/>
    <s v="High"/>
    <n v="0"/>
    <n v="12"/>
    <n v="34307.159999999996"/>
    <n v="16884.599999999999"/>
    <n v="17422.559999999998"/>
    <n v="0.50784034586366222"/>
  </r>
  <r>
    <s v="ORD-2025-169093"/>
    <x v="439"/>
    <s v="Q2-2025"/>
    <d v="2025-04-14T00:00:00"/>
    <n v="1"/>
    <x v="1"/>
    <x v="2"/>
    <s v="Osaka"/>
    <s v="Enterprise"/>
    <x v="1"/>
    <x v="3"/>
    <x v="0"/>
    <x v="567"/>
    <n v="138.9"/>
    <n v="289.92"/>
    <s v="High"/>
    <n v="2.9000000000000001E-2"/>
    <n v="12"/>
    <n v="3378.1478400000001"/>
    <n v="1666.8000000000002"/>
    <n v="1711.3478399999999"/>
    <n v="0.50659353025828491"/>
  </r>
  <r>
    <s v="ORD-2023-868460"/>
    <x v="407"/>
    <s v="Q2-2023"/>
    <d v="2023-06-01T00:00:00"/>
    <n v="0"/>
    <x v="1"/>
    <x v="4"/>
    <s v="Bengaluru"/>
    <s v="Corporate"/>
    <x v="0"/>
    <x v="6"/>
    <x v="6"/>
    <x v="568"/>
    <n v="669.37"/>
    <n v="997.2"/>
    <s v="High"/>
    <n v="8.2000000000000003E-2"/>
    <n v="5"/>
    <n v="4577.1480000000001"/>
    <n v="3346.85"/>
    <n v="1230.2980000000002"/>
    <n v="0.26879139586484863"/>
  </r>
  <r>
    <s v="ORD-2025-177994"/>
    <x v="400"/>
    <s v="Q1-2025"/>
    <d v="2025-04-04T00:00:00"/>
    <n v="11"/>
    <x v="1"/>
    <x v="4"/>
    <s v="Mumbai"/>
    <s v="Education"/>
    <x v="2"/>
    <x v="1"/>
    <x v="3"/>
    <x v="569"/>
    <n v="23.83"/>
    <n v="47.29"/>
    <s v="High"/>
    <n v="6.4000000000000001E-2"/>
    <n v="19"/>
    <n v="841.00536"/>
    <n v="452.77"/>
    <n v="388.23536000000001"/>
    <n v="0.46163244429262618"/>
  </r>
  <r>
    <s v="ORD-2024-355095"/>
    <x v="278"/>
    <s v="Q1-2024"/>
    <d v="2024-01-02T00:00:00"/>
    <n v="0"/>
    <x v="2"/>
    <x v="3"/>
    <s v="Vancouver"/>
    <s v="Education"/>
    <x v="4"/>
    <x v="8"/>
    <x v="4"/>
    <x v="570"/>
    <n v="444.41"/>
    <n v="754.24"/>
    <s v="High"/>
    <n v="0.20699999999999999"/>
    <n v="32"/>
    <n v="19139.594240000002"/>
    <n v="14221.12"/>
    <n v="4918.4742400000014"/>
    <n v="0.25697902360546598"/>
  </r>
  <r>
    <s v="ORD-2023-126505"/>
    <x v="201"/>
    <s v="Q4-2023"/>
    <d v="2024-01-01T00:00:00"/>
    <n v="13"/>
    <x v="2"/>
    <x v="3"/>
    <s v="Toronto"/>
    <s v="Enterprise"/>
    <x v="0"/>
    <x v="11"/>
    <x v="5"/>
    <x v="571"/>
    <n v="856.1"/>
    <n v="901.48"/>
    <s v="High"/>
    <n v="5.6000000000000001E-2"/>
    <n v="17"/>
    <n v="14466.95104"/>
    <n v="14553.7"/>
    <n v="-86.748960000000807"/>
    <n v="-5.9963540182134192E-3"/>
  </r>
  <r>
    <s v="ORD-2023-340056"/>
    <x v="440"/>
    <s v="Q2-2023"/>
    <d v="2023-04-26T00:00:00"/>
    <n v="0"/>
    <x v="3"/>
    <x v="7"/>
    <s v="Marseille"/>
    <s v="Consumer"/>
    <x v="4"/>
    <x v="12"/>
    <x v="0"/>
    <x v="572"/>
    <n v="81.489999999999995"/>
    <n v="113.08"/>
    <s v="High"/>
    <n v="0.121"/>
    <n v="5"/>
    <n v="496.98660000000001"/>
    <n v="407.45"/>
    <n v="89.536600000000021"/>
    <n v="0.18015898215364362"/>
  </r>
  <r>
    <s v="ORD-2025-281413"/>
    <x v="441"/>
    <s v="Q3-2025"/>
    <d v="2025-08-16T00:00:00"/>
    <n v="13"/>
    <x v="2"/>
    <x v="3"/>
    <s v="Montreal"/>
    <s v="Enterprise"/>
    <x v="3"/>
    <x v="7"/>
    <x v="2"/>
    <x v="573"/>
    <n v="698.66"/>
    <n v="868.62"/>
    <s v="High"/>
    <n v="7.1999999999999995E-2"/>
    <n v="15"/>
    <n v="12091.190399999999"/>
    <n v="10479.9"/>
    <n v="1611.2903999999999"/>
    <n v="0.13326151906432637"/>
  </r>
  <r>
    <s v="ORD-2023-713614"/>
    <x v="442"/>
    <s v="Q3-2023"/>
    <d v="2023-08-19T00:00:00"/>
    <n v="17"/>
    <x v="2"/>
    <x v="3"/>
    <s v="Vancouver"/>
    <s v="Corporate"/>
    <x v="1"/>
    <x v="9"/>
    <x v="2"/>
    <x v="574"/>
    <n v="175.38"/>
    <n v="347.9"/>
    <s v="High"/>
    <n v="7.1999999999999995E-2"/>
    <n v="43"/>
    <n v="13882.6016"/>
    <n v="7541.34"/>
    <n v="6341.2615999999998"/>
    <n v="0.45677761148169804"/>
  </r>
  <r>
    <s v="ORD-2023-173313"/>
    <x v="250"/>
    <s v="Q2-2023"/>
    <d v="2023-07-12T00:00:00"/>
    <n v="27"/>
    <x v="3"/>
    <x v="8"/>
    <s v="Manchester"/>
    <s v="Consumer"/>
    <x v="4"/>
    <x v="2"/>
    <x v="6"/>
    <x v="575"/>
    <n v="751.28"/>
    <n v="1111.8800000000001"/>
    <s v="High"/>
    <n v="0.13500000000000001"/>
    <n v="7"/>
    <n v="6732.4334000000008"/>
    <n v="5258.96"/>
    <n v="1473.4734000000008"/>
    <n v="0.21886193482433863"/>
  </r>
  <r>
    <s v="ORD-2024-496601"/>
    <x v="443"/>
    <s v="Q4-2024"/>
    <d v="2024-11-24T00:00:00"/>
    <n v="13"/>
    <x v="3"/>
    <x v="8"/>
    <s v="London"/>
    <s v="Corporate"/>
    <x v="0"/>
    <x v="6"/>
    <x v="2"/>
    <x v="576"/>
    <n v="164.53"/>
    <n v="327.72"/>
    <s v="High"/>
    <n v="6.7000000000000004E-2"/>
    <n v="14"/>
    <n v="4280.6786400000001"/>
    <n v="2303.42"/>
    <n v="1977.25864"/>
    <n v="0.46190307805960412"/>
  </r>
  <r>
    <s v="ORD-2025-155182"/>
    <x v="444"/>
    <s v="Q3-2025"/>
    <d v="2025-08-03T00:00:00"/>
    <n v="23"/>
    <x v="0"/>
    <x v="0"/>
    <s v="Nakuru"/>
    <s v="Small Business"/>
    <x v="0"/>
    <x v="0"/>
    <x v="3"/>
    <x v="577"/>
    <n v="389.93"/>
    <n v="486.13"/>
    <s v="High"/>
    <n v="0.13200000000000001"/>
    <n v="17"/>
    <n v="7173.3342799999991"/>
    <n v="6628.81"/>
    <n v="544.52427999999873"/>
    <n v="7.5909508569562828E-2"/>
  </r>
  <r>
    <s v="ORD-2023-244375"/>
    <x v="445"/>
    <s v="Q2-2023"/>
    <d v="2023-07-01T00:00:00"/>
    <n v="28"/>
    <x v="2"/>
    <x v="5"/>
    <s v="Brasília"/>
    <s v="Small Business"/>
    <x v="2"/>
    <x v="8"/>
    <x v="0"/>
    <x v="578"/>
    <n v="860.4"/>
    <n v="2066.6"/>
    <s v="High"/>
    <n v="0.01"/>
    <n v="3"/>
    <n v="6137.8019999999988"/>
    <n v="2581.1999999999998"/>
    <n v="3556.601999999999"/>
    <n v="0.57945857491004105"/>
  </r>
  <r>
    <s v="ORD-2023-856322"/>
    <x v="446"/>
    <s v="Q1-2023"/>
    <d v="2023-02-06T00:00:00"/>
    <n v="8"/>
    <x v="2"/>
    <x v="5"/>
    <s v="Brasília"/>
    <s v="Corporate"/>
    <x v="2"/>
    <x v="14"/>
    <x v="5"/>
    <x v="579"/>
    <n v="41.84"/>
    <n v="86.2"/>
    <s v="High"/>
    <n v="0.22600000000000001"/>
    <n v="27"/>
    <n v="1801.4076000000002"/>
    <n v="1129.68"/>
    <n v="671.72760000000017"/>
    <n v="0.37289039970742882"/>
  </r>
  <r>
    <s v="ORD-2024-594527"/>
    <x v="330"/>
    <s v="Q3-2024"/>
    <d v="2024-09-13T00:00:00"/>
    <n v="7"/>
    <x v="1"/>
    <x v="2"/>
    <s v="Osaka"/>
    <s v="Corporate"/>
    <x v="4"/>
    <x v="8"/>
    <x v="4"/>
    <x v="580"/>
    <n v="1368.17"/>
    <n v="2307.75"/>
    <s v="High"/>
    <n v="0.16300000000000001"/>
    <n v="21"/>
    <n v="40563.321749999996"/>
    <n v="28731.57"/>
    <n v="11831.751749999996"/>
    <n v="0.29168596750831921"/>
  </r>
  <r>
    <s v="ORD-2024-689872"/>
    <x v="447"/>
    <s v="Q3-2024"/>
    <d v="2024-08-09T00:00:00"/>
    <n v="6"/>
    <x v="0"/>
    <x v="0"/>
    <s v="Mombasa"/>
    <s v="Consumer"/>
    <x v="2"/>
    <x v="10"/>
    <x v="4"/>
    <x v="581"/>
    <n v="643.21"/>
    <n v="1112.81"/>
    <s v="High"/>
    <n v="0.14099999999999999"/>
    <n v="4"/>
    <n v="3823.6151599999998"/>
    <n v="2572.84"/>
    <n v="1250.7751599999997"/>
    <n v="0.32711847496702562"/>
  </r>
  <r>
    <s v="ORD-2025-246692"/>
    <x v="448"/>
    <s v="Q2-2025"/>
    <d v="2025-04-17T00:00:00"/>
    <n v="0"/>
    <x v="2"/>
    <x v="5"/>
    <s v="São Paulo"/>
    <s v="Corporate"/>
    <x v="3"/>
    <x v="4"/>
    <x v="3"/>
    <x v="582"/>
    <n v="719.41"/>
    <n v="1125.99"/>
    <s v="High"/>
    <n v="4.1000000000000002E-2"/>
    <n v="21"/>
    <n v="22676.312610000001"/>
    <n v="15107.609999999999"/>
    <n v="7568.7026100000021"/>
    <n v="0.33377131194876403"/>
  </r>
  <r>
    <s v="ORD-2023-378676"/>
    <x v="449"/>
    <s v="Q2-2023"/>
    <d v="2023-05-16T00:00:00"/>
    <n v="13"/>
    <x v="2"/>
    <x v="10"/>
    <s v="New York"/>
    <s v="Corporate"/>
    <x v="2"/>
    <x v="4"/>
    <x v="3"/>
    <x v="583"/>
    <n v="64.5"/>
    <n v="123.62"/>
    <s v="High"/>
    <n v="0"/>
    <n v="3"/>
    <n v="370.86"/>
    <n v="193.5"/>
    <n v="177.36"/>
    <n v="0.47823976702798904"/>
  </r>
  <r>
    <s v="ORD-2024-243988"/>
    <x v="450"/>
    <s v="Q1-2024"/>
    <d v="2024-04-06T00:00:00"/>
    <n v="24"/>
    <x v="0"/>
    <x v="1"/>
    <s v="Abuja"/>
    <s v="Consumer"/>
    <x v="3"/>
    <x v="4"/>
    <x v="0"/>
    <x v="584"/>
    <n v="1232.78"/>
    <n v="1731.75"/>
    <s v="High"/>
    <n v="9.2999999999999999E-2"/>
    <n v="16"/>
    <n v="25131.155999999999"/>
    <n v="19724.48"/>
    <n v="5406.6759999999995"/>
    <n v="0.21513837246484005"/>
  </r>
  <r>
    <s v="ORD-2024-572312"/>
    <x v="248"/>
    <s v="Q2-2024"/>
    <d v="2024-06-21T00:00:00"/>
    <n v="5"/>
    <x v="1"/>
    <x v="2"/>
    <s v="Tokyo"/>
    <s v="Small Business"/>
    <x v="3"/>
    <x v="9"/>
    <x v="3"/>
    <x v="585"/>
    <n v="1367.13"/>
    <n v="3062.01"/>
    <s v="High"/>
    <n v="0.10299999999999999"/>
    <n v="25"/>
    <n v="68665.574250000005"/>
    <n v="34178.25"/>
    <n v="34487.324250000005"/>
    <n v="0.50225057645971705"/>
  </r>
  <r>
    <s v="ORD-2025-281062"/>
    <x v="146"/>
    <s v="Q1-2025"/>
    <d v="2025-02-27T00:00:00"/>
    <n v="12"/>
    <x v="3"/>
    <x v="7"/>
    <s v="Lyon"/>
    <s v="Non-Profit"/>
    <x v="4"/>
    <x v="11"/>
    <x v="6"/>
    <x v="586"/>
    <n v="1027.26"/>
    <n v="2200.41"/>
    <s v="High"/>
    <n v="8.7999999999999995E-2"/>
    <n v="6"/>
    <n v="12040.64352"/>
    <n v="6163.5599999999995"/>
    <n v="5877.0835200000001"/>
    <n v="0.48810377204822358"/>
  </r>
  <r>
    <s v="ORD-2023-727290"/>
    <x v="451"/>
    <s v="Q2-2023"/>
    <d v="2023-04-16T00:00:00"/>
    <n v="13"/>
    <x v="3"/>
    <x v="7"/>
    <s v="Marseille"/>
    <s v="Non-Profit"/>
    <x v="2"/>
    <x v="12"/>
    <x v="6"/>
    <x v="587"/>
    <n v="790.54"/>
    <n v="601.49"/>
    <s v="High"/>
    <n v="0"/>
    <n v="15"/>
    <n v="9022.35"/>
    <n v="11858.099999999999"/>
    <n v="-2835.7499999999982"/>
    <n v="-0.31430281467688553"/>
  </r>
  <r>
    <s v="ORD-2025-993993"/>
    <x v="387"/>
    <s v="Q3-2025"/>
    <d v="2025-09-22T00:00:00"/>
    <n v="23"/>
    <x v="3"/>
    <x v="7"/>
    <s v="Marseille"/>
    <s v="Corporate"/>
    <x v="4"/>
    <x v="6"/>
    <x v="0"/>
    <x v="588"/>
    <n v="663.9"/>
    <n v="947.77"/>
    <s v="High"/>
    <n v="0.17399999999999999"/>
    <n v="15"/>
    <n v="11742.8703"/>
    <n v="9958.5"/>
    <n v="1784.3703000000005"/>
    <n v="0.1519535049280073"/>
  </r>
  <r>
    <s v="ORD-2023-619493"/>
    <x v="452"/>
    <s v="Q1-2023"/>
    <d v="2023-03-06T00:00:00"/>
    <n v="7"/>
    <x v="2"/>
    <x v="10"/>
    <s v="San Francisco"/>
    <s v="Non-Profit"/>
    <x v="1"/>
    <x v="4"/>
    <x v="2"/>
    <x v="589"/>
    <n v="1015.91"/>
    <n v="2331.48"/>
    <s v="High"/>
    <n v="0.14599999999999999"/>
    <n v="26"/>
    <n v="51768.181920000003"/>
    <n v="26413.66"/>
    <n v="25354.521920000003"/>
    <n v="0.48977037592669626"/>
  </r>
  <r>
    <s v="ORD-2024-947056"/>
    <x v="453"/>
    <s v="Q3-2024"/>
    <d v="2024-08-15T00:00:00"/>
    <n v="15"/>
    <x v="1"/>
    <x v="2"/>
    <s v="Tokyo"/>
    <s v="Corporate"/>
    <x v="2"/>
    <x v="9"/>
    <x v="5"/>
    <x v="590"/>
    <n v="1252.52"/>
    <n v="1417.24"/>
    <s v="High"/>
    <n v="0.192"/>
    <n v="5"/>
    <n v="5725.6496000000006"/>
    <n v="6262.6"/>
    <n v="-536.95039999999972"/>
    <n v="-9.3779821943696953E-2"/>
  </r>
  <r>
    <s v="ORD-2025-856556"/>
    <x v="324"/>
    <s v="Q2-2025"/>
    <d v="2025-07-12T00:00:00"/>
    <n v="27"/>
    <x v="3"/>
    <x v="7"/>
    <s v="Marseille"/>
    <s v="Consumer"/>
    <x v="4"/>
    <x v="0"/>
    <x v="6"/>
    <x v="591"/>
    <n v="318.83"/>
    <n v="699.5"/>
    <s v="High"/>
    <n v="0.08"/>
    <n v="13"/>
    <n v="8366.02"/>
    <n v="4144.79"/>
    <n v="4221.2300000000005"/>
    <n v="0.50456848059172699"/>
  </r>
  <r>
    <s v="ORD-2024-442776"/>
    <x v="24"/>
    <s v="Q2-2024"/>
    <d v="2024-07-21T00:00:00"/>
    <n v="21"/>
    <x v="0"/>
    <x v="0"/>
    <s v="Kisumu"/>
    <s v="Small Business"/>
    <x v="0"/>
    <x v="11"/>
    <x v="4"/>
    <x v="592"/>
    <n v="753.43"/>
    <n v="1787.2"/>
    <s v="High"/>
    <n v="7.2999999999999995E-2"/>
    <n v="9"/>
    <n v="14910.609600000002"/>
    <n v="6780.87"/>
    <n v="8129.7396000000017"/>
    <n v="0.54523187301476939"/>
  </r>
  <r>
    <s v="ORD-2025-705398"/>
    <x v="454"/>
    <s v="Q1-2025"/>
    <d v="2025-02-24T00:00:00"/>
    <n v="7"/>
    <x v="2"/>
    <x v="3"/>
    <s v="Toronto"/>
    <s v="Small Business"/>
    <x v="0"/>
    <x v="14"/>
    <x v="0"/>
    <x v="593"/>
    <n v="1133.47"/>
    <n v="1698.75"/>
    <s v="High"/>
    <n v="4.2999999999999997E-2"/>
    <n v="5"/>
    <n v="8128.5187499999993"/>
    <n v="5667.35"/>
    <n v="2461.1687499999989"/>
    <n v="0.30278194904821976"/>
  </r>
  <r>
    <s v="ORD-2023-689428"/>
    <x v="455"/>
    <s v="Q1-2023"/>
    <d v="2023-01-30T00:00:00"/>
    <n v="23"/>
    <x v="0"/>
    <x v="11"/>
    <s v="Cape Town"/>
    <s v="Consumer"/>
    <x v="1"/>
    <x v="8"/>
    <x v="1"/>
    <x v="594"/>
    <n v="299.02"/>
    <n v="724.7"/>
    <s v="High"/>
    <n v="0.14000000000000001"/>
    <n v="5"/>
    <n v="3116.21"/>
    <n v="1495.1"/>
    <n v="1621.1100000000001"/>
    <n v="0.52021847051386139"/>
  </r>
  <r>
    <s v="ORD-2025-683247"/>
    <x v="401"/>
    <s v="Q1-2025"/>
    <d v="2025-04-04T00:00:00"/>
    <n v="25"/>
    <x v="1"/>
    <x v="2"/>
    <s v="Osaka"/>
    <s v="Corporate"/>
    <x v="4"/>
    <x v="10"/>
    <x v="1"/>
    <x v="595"/>
    <n v="783.72"/>
    <n v="1355.94"/>
    <s v="High"/>
    <n v="0.187"/>
    <n v="4"/>
    <n v="4409.5168800000001"/>
    <n v="3134.88"/>
    <n v="1274.63688"/>
    <n v="0.28906497348525856"/>
  </r>
  <r>
    <s v="ORD-2024-585443"/>
    <x v="456"/>
    <s v="Q3-2024"/>
    <d v="2024-08-24T00:00:00"/>
    <n v="7"/>
    <x v="2"/>
    <x v="5"/>
    <s v="Rio de Janeiro"/>
    <s v="Consumer"/>
    <x v="4"/>
    <x v="12"/>
    <x v="5"/>
    <x v="596"/>
    <n v="165.3"/>
    <n v="275.07"/>
    <s v="High"/>
    <n v="0.13300000000000001"/>
    <n v="25"/>
    <n v="5962.1422499999999"/>
    <n v="4132.5"/>
    <n v="1829.6422499999999"/>
    <n v="0.30687665159280625"/>
  </r>
  <r>
    <s v="ORD-2024-907733"/>
    <x v="306"/>
    <s v="Q1-2024"/>
    <d v="2024-03-22T00:00:00"/>
    <n v="13"/>
    <x v="3"/>
    <x v="8"/>
    <s v="Manchester"/>
    <s v="Consumer"/>
    <x v="1"/>
    <x v="6"/>
    <x v="4"/>
    <x v="597"/>
    <n v="985.45"/>
    <n v="1802.44"/>
    <s v="High"/>
    <n v="8.9999999999999993E-3"/>
    <n v="19"/>
    <n v="33938.142760000002"/>
    <n v="18723.55"/>
    <n v="15214.592760000003"/>
    <n v="0.44830363486867486"/>
  </r>
  <r>
    <s v="ORD-2024-550400"/>
    <x v="395"/>
    <s v="Q3-2024"/>
    <d v="2024-09-02T00:00:00"/>
    <n v="14"/>
    <x v="2"/>
    <x v="3"/>
    <s v="Toronto"/>
    <s v="Consumer"/>
    <x v="3"/>
    <x v="0"/>
    <x v="1"/>
    <x v="598"/>
    <n v="1337.01"/>
    <n v="1269.78"/>
    <s v="High"/>
    <n v="0.16"/>
    <n v="7"/>
    <n v="7466.3063999999986"/>
    <n v="9359.07"/>
    <n v="-1892.7636000000011"/>
    <n v="-0.25350735672996244"/>
  </r>
  <r>
    <s v="ORD-2025-189846"/>
    <x v="457"/>
    <s v="Q3-2025"/>
    <d v="2025-08-28T00:00:00"/>
    <n v="17"/>
    <x v="3"/>
    <x v="7"/>
    <s v="Paris"/>
    <s v="Education"/>
    <x v="1"/>
    <x v="9"/>
    <x v="2"/>
    <x v="599"/>
    <n v="416.16"/>
    <n v="571.9"/>
    <s v="High"/>
    <n v="7.0999999999999994E-2"/>
    <n v="2"/>
    <n v="1062.5902000000001"/>
    <n v="832.32"/>
    <n v="230.27020000000005"/>
    <n v="0.21670649701079497"/>
  </r>
  <r>
    <s v="ORD-2025-752192"/>
    <x v="216"/>
    <s v="Q2-2025"/>
    <d v="2025-05-18T00:00:00"/>
    <n v="2"/>
    <x v="1"/>
    <x v="2"/>
    <s v="Tokyo"/>
    <s v="Enterprise"/>
    <x v="0"/>
    <x v="1"/>
    <x v="1"/>
    <x v="600"/>
    <n v="1144.3800000000001"/>
    <n v="2755.04"/>
    <s v="High"/>
    <n v="0.15"/>
    <n v="17"/>
    <n v="39810.328000000001"/>
    <n v="19454.460000000003"/>
    <n v="20355.867999999999"/>
    <n v="0.51132128326096682"/>
  </r>
  <r>
    <s v="ORD-2023-294716"/>
    <x v="458"/>
    <s v="Q2-2023"/>
    <d v="2023-04-25T00:00:00"/>
    <n v="15"/>
    <x v="3"/>
    <x v="8"/>
    <s v="London"/>
    <s v="Small Business"/>
    <x v="0"/>
    <x v="14"/>
    <x v="1"/>
    <x v="601"/>
    <n v="405.66"/>
    <n v="962.51"/>
    <s v="High"/>
    <n v="0.19"/>
    <n v="7"/>
    <n v="5457.4317000000001"/>
    <n v="2839.6200000000003"/>
    <n v="2617.8116999999997"/>
    <n v="0.47967832561239376"/>
  </r>
  <r>
    <s v="ORD-2023-552115"/>
    <x v="459"/>
    <s v="Q3-2023"/>
    <d v="2023-10-02T00:00:00"/>
    <n v="15"/>
    <x v="2"/>
    <x v="5"/>
    <s v="Rio de Janeiro"/>
    <s v="Small Business"/>
    <x v="0"/>
    <x v="5"/>
    <x v="4"/>
    <x v="602"/>
    <n v="689.33"/>
    <n v="668.27"/>
    <s v="High"/>
    <n v="0.186"/>
    <n v="13"/>
    <n v="7071.6331400000008"/>
    <n v="8961.2900000000009"/>
    <n v="-1889.6568600000001"/>
    <n v="-0.26721647214861033"/>
  </r>
  <r>
    <s v="ORD-2023-107265"/>
    <x v="460"/>
    <s v="Q2-2023"/>
    <d v="2023-05-14T00:00:00"/>
    <n v="22"/>
    <x v="1"/>
    <x v="2"/>
    <s v="Nagoya"/>
    <s v="Enterprise"/>
    <x v="0"/>
    <x v="8"/>
    <x v="6"/>
    <x v="603"/>
    <n v="1209.22"/>
    <n v="1404.33"/>
    <s v="High"/>
    <n v="0.10299999999999999"/>
    <n v="11"/>
    <n v="13856.52411"/>
    <n v="13301.42"/>
    <n v="555.10411000000022"/>
    <n v="4.0060848275751328E-2"/>
  </r>
  <r>
    <s v="ORD-2025-262434"/>
    <x v="111"/>
    <s v="Q2-2025"/>
    <d v="2025-06-21T00:00:00"/>
    <n v="2"/>
    <x v="0"/>
    <x v="11"/>
    <s v="Johannesburg"/>
    <s v="Small Business"/>
    <x v="5"/>
    <x v="10"/>
    <x v="3"/>
    <x v="604"/>
    <n v="1466.27"/>
    <n v="3589.89"/>
    <s v="High"/>
    <n v="9.7000000000000003E-2"/>
    <n v="9"/>
    <n v="29175.036029999999"/>
    <n v="13196.43"/>
    <n v="15978.606029999999"/>
    <n v="0.54768076425234147"/>
  </r>
  <r>
    <s v="ORD-2024-266562"/>
    <x v="461"/>
    <s v="Q4-2024"/>
    <d v="2024-12-24T00:00:00"/>
    <n v="27"/>
    <x v="0"/>
    <x v="0"/>
    <s v="Mombasa"/>
    <s v="Corporate"/>
    <x v="3"/>
    <x v="5"/>
    <x v="1"/>
    <x v="605"/>
    <n v="143.33000000000001"/>
    <n v="233.51"/>
    <s v="High"/>
    <n v="0.16300000000000001"/>
    <n v="14"/>
    <n v="2736.27018"/>
    <n v="2006.6200000000001"/>
    <n v="729.65017999999986"/>
    <n v="0.26665867476580835"/>
  </r>
  <r>
    <s v="ORD-2024-838925"/>
    <x v="10"/>
    <s v="Q1-2024"/>
    <d v="2024-02-04T00:00:00"/>
    <n v="7"/>
    <x v="0"/>
    <x v="11"/>
    <s v="Cape Town"/>
    <s v="Enterprise"/>
    <x v="4"/>
    <x v="7"/>
    <x v="0"/>
    <x v="606"/>
    <n v="109.75"/>
    <n v="124.25"/>
    <s v="High"/>
    <n v="0.12"/>
    <n v="19"/>
    <n v="2077.46"/>
    <n v="2085.25"/>
    <n v="-7.7899999999999636"/>
    <n v="-3.7497713554051405E-3"/>
  </r>
  <r>
    <s v="ORD-2023-664790"/>
    <x v="386"/>
    <s v="Q2-2023"/>
    <d v="2023-04-23T00:00:00"/>
    <n v="7"/>
    <x v="2"/>
    <x v="10"/>
    <s v="Austin"/>
    <s v="Corporate"/>
    <x v="3"/>
    <x v="7"/>
    <x v="1"/>
    <x v="607"/>
    <n v="1099.1500000000001"/>
    <n v="1431.37"/>
    <s v="High"/>
    <n v="0.104"/>
    <n v="8"/>
    <n v="10260.060159999999"/>
    <n v="8793.2000000000007"/>
    <n v="1466.8601599999984"/>
    <n v="0.14296798821109433"/>
  </r>
  <r>
    <s v="ORD-2024-331408"/>
    <x v="145"/>
    <s v="Q1-2024"/>
    <d v="2024-02-01T00:00:00"/>
    <n v="0"/>
    <x v="2"/>
    <x v="10"/>
    <s v="Austin"/>
    <s v="Consumer"/>
    <x v="3"/>
    <x v="10"/>
    <x v="1"/>
    <x v="608"/>
    <n v="714.43"/>
    <n v="1595.52"/>
    <s v="High"/>
    <n v="0.19400000000000001"/>
    <n v="14"/>
    <n v="18003.847679999999"/>
    <n v="10002.019999999999"/>
    <n v="8001.8276800000003"/>
    <n v="0.44445097638151093"/>
  </r>
  <r>
    <s v="ORD-2024-741404"/>
    <x v="462"/>
    <s v="Q4-2024"/>
    <d v="2024-11-06T00:00:00"/>
    <n v="18"/>
    <x v="2"/>
    <x v="10"/>
    <s v="Chicago"/>
    <s v="Education"/>
    <x v="5"/>
    <x v="0"/>
    <x v="5"/>
    <x v="609"/>
    <n v="942.02"/>
    <n v="1028.46"/>
    <s v="High"/>
    <n v="0"/>
    <n v="9"/>
    <n v="9256.14"/>
    <n v="8478.18"/>
    <n v="777.95999999999913"/>
    <n v="8.4047994088248354E-2"/>
  </r>
  <r>
    <s v="ORD-2024-341535"/>
    <x v="463"/>
    <s v="Q2-2024"/>
    <d v="2024-06-30T00:00:00"/>
    <n v="5"/>
    <x v="0"/>
    <x v="0"/>
    <s v="Kisumu"/>
    <s v="Education"/>
    <x v="4"/>
    <x v="12"/>
    <x v="2"/>
    <x v="610"/>
    <n v="1323.55"/>
    <n v="3230.35"/>
    <s v="High"/>
    <n v="2.1999999999999999E-2"/>
    <n v="26"/>
    <n v="82141.339799999987"/>
    <n v="34412.299999999996"/>
    <n v="47729.039799999991"/>
    <n v="0.58105991351263542"/>
  </r>
  <r>
    <s v="ORD-2023-451931"/>
    <x v="202"/>
    <s v="Q3-2023"/>
    <d v="2023-08-19T00:00:00"/>
    <n v="20"/>
    <x v="3"/>
    <x v="7"/>
    <s v="Paris"/>
    <s v="Enterprise"/>
    <x v="2"/>
    <x v="3"/>
    <x v="2"/>
    <x v="611"/>
    <n v="1418.51"/>
    <n v="2789.61"/>
    <s v="High"/>
    <n v="0.17100000000000001"/>
    <n v="8"/>
    <n v="18500.693520000001"/>
    <n v="11348.08"/>
    <n v="7152.6135200000008"/>
    <n v="0.38661326464695689"/>
  </r>
  <r>
    <s v="ORD-2025-532859"/>
    <x v="417"/>
    <s v="Q1-2025"/>
    <d v="2025-03-27T00:00:00"/>
    <n v="16"/>
    <x v="1"/>
    <x v="2"/>
    <s v="Tokyo"/>
    <s v="Enterprise"/>
    <x v="3"/>
    <x v="5"/>
    <x v="1"/>
    <x v="612"/>
    <n v="1317.58"/>
    <n v="1897.74"/>
    <s v="High"/>
    <n v="8.1000000000000003E-2"/>
    <n v="6"/>
    <n v="10464.138360000001"/>
    <n v="7905.48"/>
    <n v="2558.6583600000013"/>
    <n v="0.24451687009230266"/>
  </r>
  <r>
    <s v="ORD-2023-502205"/>
    <x v="326"/>
    <s v="Q4-2023"/>
    <d v="2023-10-11T00:00:00"/>
    <n v="2"/>
    <x v="0"/>
    <x v="1"/>
    <s v="Port Harcourt"/>
    <s v="Education"/>
    <x v="2"/>
    <x v="11"/>
    <x v="2"/>
    <x v="613"/>
    <n v="391.16"/>
    <n v="902.47"/>
    <s v="High"/>
    <n v="4.0000000000000001E-3"/>
    <n v="12"/>
    <n v="10786.32144"/>
    <n v="4693.92"/>
    <n v="6092.4014399999996"/>
    <n v="0.56482661618139207"/>
  </r>
  <r>
    <s v="ORD-2024-930679"/>
    <x v="55"/>
    <s v="Q4-2024"/>
    <d v="2025-01-16T00:00:00"/>
    <n v="30"/>
    <x v="3"/>
    <x v="8"/>
    <s v="Manchester"/>
    <s v="Corporate"/>
    <x v="0"/>
    <x v="14"/>
    <x v="5"/>
    <x v="614"/>
    <n v="722.87"/>
    <n v="33.659999999999997"/>
    <s v="High"/>
    <n v="0.10199999999999999"/>
    <n v="28"/>
    <n v="846.34703999999988"/>
    <n v="20240.36"/>
    <n v="-19394.01296"/>
    <n v="-22.914965189693348"/>
  </r>
  <r>
    <s v="ORD-2025-150713"/>
    <x v="444"/>
    <s v="Q3-2025"/>
    <d v="2025-07-16T00:00:00"/>
    <n v="5"/>
    <x v="3"/>
    <x v="8"/>
    <s v="London"/>
    <s v="Enterprise"/>
    <x v="1"/>
    <x v="11"/>
    <x v="1"/>
    <x v="615"/>
    <n v="930.03"/>
    <n v="1086.68"/>
    <s v="High"/>
    <n v="0.109"/>
    <n v="26"/>
    <n v="25174.028880000002"/>
    <n v="24180.78"/>
    <n v="993.24888000000283"/>
    <n v="3.9455300728168656E-2"/>
  </r>
  <r>
    <s v="ORD-2024-756884"/>
    <x v="464"/>
    <s v="Q4-2024"/>
    <d v="2024-10-24T00:00:00"/>
    <n v="11"/>
    <x v="3"/>
    <x v="7"/>
    <s v="Paris"/>
    <s v="Education"/>
    <x v="3"/>
    <x v="9"/>
    <x v="0"/>
    <x v="616"/>
    <n v="816.7"/>
    <n v="1010.75"/>
    <s v="High"/>
    <n v="4.7E-2"/>
    <n v="43"/>
    <n v="41419.524249999995"/>
    <n v="35118.1"/>
    <n v="6301.4242499999964"/>
    <n v="0.15213656757537472"/>
  </r>
  <r>
    <s v="ORD-2023-755337"/>
    <x v="428"/>
    <s v="Q3-2023"/>
    <d v="2023-09-14T00:00:00"/>
    <n v="6"/>
    <x v="0"/>
    <x v="0"/>
    <s v="Nakuru"/>
    <s v="Education"/>
    <x v="4"/>
    <x v="2"/>
    <x v="6"/>
    <x v="617"/>
    <n v="251.03"/>
    <n v="411.48"/>
    <s v="High"/>
    <n v="0.16500000000000001"/>
    <n v="3"/>
    <n v="1030.7574"/>
    <n v="753.09"/>
    <n v="277.66739999999993"/>
    <n v="0.26938191275658069"/>
  </r>
  <r>
    <s v="ORD-2025-907040"/>
    <x v="448"/>
    <s v="Q2-2025"/>
    <d v="2025-05-03T00:00:00"/>
    <n v="16"/>
    <x v="2"/>
    <x v="5"/>
    <s v="Rio de Janeiro"/>
    <s v="Consumer"/>
    <x v="2"/>
    <x v="1"/>
    <x v="2"/>
    <x v="618"/>
    <n v="168.68"/>
    <n v="413.34"/>
    <s v="High"/>
    <n v="0.186"/>
    <n v="7"/>
    <n v="2355.2113199999999"/>
    <n v="1180.76"/>
    <n v="1174.4513199999999"/>
    <n v="0.49866069767361682"/>
  </r>
  <r>
    <s v="ORD-2024-817997"/>
    <x v="465"/>
    <s v="Q3-2024"/>
    <d v="2024-08-23T00:00:00"/>
    <n v="26"/>
    <x v="1"/>
    <x v="4"/>
    <s v="Hyderabad"/>
    <s v="Corporate"/>
    <x v="0"/>
    <x v="1"/>
    <x v="2"/>
    <x v="619"/>
    <n v="1339.24"/>
    <n v="1558.89"/>
    <s v="High"/>
    <n v="0.192"/>
    <n v="24"/>
    <n v="30229.994880000002"/>
    <n v="32141.760000000002"/>
    <n v="-1911.76512"/>
    <n v="-6.3240669659021781E-2"/>
  </r>
  <r>
    <s v="ORD-2025-649633"/>
    <x v="466"/>
    <s v="Q3-2025"/>
    <d v="2025-07-31T00:00:00"/>
    <n v="12"/>
    <x v="0"/>
    <x v="0"/>
    <s v="Nairobi"/>
    <s v="Small Business"/>
    <x v="2"/>
    <x v="7"/>
    <x v="6"/>
    <x v="620"/>
    <n v="619.64"/>
    <n v="861.16"/>
    <s v="High"/>
    <n v="0.113"/>
    <n v="14"/>
    <n v="10693.88488"/>
    <n v="8674.9599999999991"/>
    <n v="2018.9248800000005"/>
    <n v="0.18879246435276761"/>
  </r>
  <r>
    <s v="ORD-2023-885216"/>
    <x v="241"/>
    <s v="Q3-2023"/>
    <d v="2023-08-10T00:00:00"/>
    <n v="7"/>
    <x v="1"/>
    <x v="9"/>
    <s v="Shanghai"/>
    <s v="Non-Profit"/>
    <x v="4"/>
    <x v="1"/>
    <x v="2"/>
    <x v="621"/>
    <n v="1021.97"/>
    <n v="2296.25"/>
    <s v="High"/>
    <n v="0.161"/>
    <n v="26"/>
    <n v="50090.397499999999"/>
    <n v="26571.22"/>
    <n v="23519.177499999998"/>
    <n v="0.46953465482081669"/>
  </r>
  <r>
    <s v="ORD-2023-561823"/>
    <x v="112"/>
    <s v="Q4-2023"/>
    <d v="2023-12-12T00:00:00"/>
    <n v="23"/>
    <x v="1"/>
    <x v="4"/>
    <s v="Delhi"/>
    <s v="Small Business"/>
    <x v="4"/>
    <x v="0"/>
    <x v="2"/>
    <x v="622"/>
    <n v="1349.04"/>
    <n v="2636.6"/>
    <s v="High"/>
    <n v="0.114"/>
    <n v="14"/>
    <n v="32704.386400000003"/>
    <n v="18886.559999999998"/>
    <n v="13817.826400000005"/>
    <n v="0.42250682312143928"/>
  </r>
  <r>
    <s v="ORD-2023-249805"/>
    <x v="81"/>
    <s v="Q4-2023"/>
    <d v="2024-01-16T00:00:00"/>
    <n v="25"/>
    <x v="1"/>
    <x v="4"/>
    <s v="Hyderabad"/>
    <s v="Small Business"/>
    <x v="0"/>
    <x v="8"/>
    <x v="0"/>
    <x v="623"/>
    <n v="1346.81"/>
    <n v="978.09"/>
    <s v="High"/>
    <n v="0.159"/>
    <n v="17"/>
    <n v="13983.752729999998"/>
    <n v="22895.77"/>
    <n v="-8912.0172700000021"/>
    <n v="-0.6373122753293996"/>
  </r>
  <r>
    <s v="ORD-2023-548934"/>
    <x v="241"/>
    <s v="Q3-2023"/>
    <d v="2023-08-30T00:00:00"/>
    <n v="27"/>
    <x v="1"/>
    <x v="9"/>
    <s v="Shanghai"/>
    <s v="Consumer"/>
    <x v="3"/>
    <x v="13"/>
    <x v="5"/>
    <x v="624"/>
    <n v="226.04"/>
    <n v="545.72"/>
    <s v="High"/>
    <n v="0.151"/>
    <n v="11"/>
    <n v="5096.4790800000001"/>
    <n v="2486.44"/>
    <n v="2610.03908"/>
    <n v="0.51212592831834014"/>
  </r>
  <r>
    <s v="ORD-2023-921939"/>
    <x v="44"/>
    <s v="Q2-2023"/>
    <d v="2023-07-18T00:00:00"/>
    <n v="25"/>
    <x v="2"/>
    <x v="3"/>
    <s v="Vancouver"/>
    <s v="Enterprise"/>
    <x v="1"/>
    <x v="13"/>
    <x v="3"/>
    <x v="625"/>
    <n v="807.02"/>
    <n v="1435.54"/>
    <s v="High"/>
    <n v="0"/>
    <n v="23"/>
    <n v="33017.42"/>
    <n v="18561.46"/>
    <n v="14455.96"/>
    <n v="0.43782827368098415"/>
  </r>
  <r>
    <s v="ORD-2023-961864"/>
    <x v="141"/>
    <s v="Q4-2023"/>
    <d v="2024-01-02T00:00:00"/>
    <n v="26"/>
    <x v="3"/>
    <x v="6"/>
    <s v="Frankfurt"/>
    <s v="Enterprise"/>
    <x v="3"/>
    <x v="6"/>
    <x v="0"/>
    <x v="626"/>
    <n v="1071.99"/>
    <n v="2397.3000000000002"/>
    <s v="High"/>
    <n v="6.2E-2"/>
    <n v="18"/>
    <n v="40476.013200000001"/>
    <n v="19295.82"/>
    <n v="21180.193200000002"/>
    <n v="0.52327765324476183"/>
  </r>
  <r>
    <s v="ORD-2023-455933"/>
    <x v="112"/>
    <s v="Q4-2023"/>
    <d v="2023-12-19T00:00:00"/>
    <n v="30"/>
    <x v="1"/>
    <x v="2"/>
    <s v="Nagoya"/>
    <s v="Consumer"/>
    <x v="0"/>
    <x v="15"/>
    <x v="3"/>
    <x v="627"/>
    <n v="807.11"/>
    <n v="1853.86"/>
    <s v="High"/>
    <n v="0.13900000000000001"/>
    <n v="8"/>
    <n v="12769.38768"/>
    <n v="6456.88"/>
    <n v="6312.5076799999997"/>
    <n v="0.49434693645388639"/>
  </r>
  <r>
    <s v="ORD-2025-728935"/>
    <x v="467"/>
    <s v="Q1-2025"/>
    <d v="2025-03-10T00:00:00"/>
    <n v="10"/>
    <x v="1"/>
    <x v="2"/>
    <s v="Osaka"/>
    <s v="Education"/>
    <x v="3"/>
    <x v="13"/>
    <x v="4"/>
    <x v="628"/>
    <n v="51.86"/>
    <n v="45.98"/>
    <s v="High"/>
    <n v="0.17299999999999999"/>
    <n v="7"/>
    <n v="266.17821999999995"/>
    <n v="363.02"/>
    <n v="-96.841780000000028"/>
    <n v="-0.3638230806412337"/>
  </r>
</pivotCacheRecords>
</file>

<file path=xl/pivotCache/pivotCacheRecords2.xml><?xml version="1.0" encoding="utf-8"?>
<pivotCacheRecords xmlns="http://schemas.openxmlformats.org/spreadsheetml/2006/main" xmlns:r="http://schemas.openxmlformats.org/officeDocument/2006/relationships" count="631">
  <r>
    <s v="ORD-2024-275203"/>
    <d v="2024-03-11T00:00:00"/>
    <s v="Q1-2024"/>
    <d v="2024-04-06T00:00:00"/>
    <n v="26"/>
    <s v="Africa"/>
    <x v="0"/>
    <s v="Kisumu"/>
    <s v="Corporate"/>
    <s v="Retail"/>
    <s v="C. Otieno"/>
    <x v="0"/>
    <s v="CMP-8270"/>
    <n v="279.24"/>
    <n v="608.9"/>
    <s v="High"/>
    <n v="0.112"/>
    <n v="9"/>
    <n v="4866.3287999999993"/>
    <n v="2513.16"/>
    <n v="2353.1687999999995"/>
    <n v="0.48356140670149533"/>
    <x v="0"/>
  </r>
  <r>
    <s v="ORD-2024-358795"/>
    <d v="2024-10-23T00:00:00"/>
    <s v="Q4-2024"/>
    <d v="2024-10-30T00:00:00"/>
    <n v="7"/>
    <s v="Africa"/>
    <x v="1"/>
    <s v="Port Harcourt"/>
    <s v="Education"/>
    <s v="Online"/>
    <s v="J. Njeri"/>
    <x v="1"/>
    <s v="PRN-9322"/>
    <n v="1084.3900000000001"/>
    <n v="759.33"/>
    <s v="High"/>
    <n v="0.23699999999999999"/>
    <n v="31"/>
    <n v="17960.432489999999"/>
    <n v="33616.090000000004"/>
    <n v="-15655.657510000005"/>
    <n v="-0.87167486187856302"/>
    <x v="1"/>
  </r>
  <r>
    <s v="ORD-2023-373538"/>
    <d v="2023-02-28T00:00:00"/>
    <s v="Q1-2023"/>
    <d v="2023-03-25T00:00:00"/>
    <n v="25"/>
    <s v="Africa"/>
    <x v="0"/>
    <s v="Nairobi"/>
    <s v="Corporate"/>
    <s v="Retail"/>
    <s v="I. Johnson"/>
    <x v="2"/>
    <s v="NET-9666"/>
    <n v="1460.76"/>
    <n v="30.66"/>
    <s v="High"/>
    <n v="0.13100000000000001"/>
    <n v="12"/>
    <n v="319.72248000000002"/>
    <n v="17529.12"/>
    <n v="-17209.397519999999"/>
    <n v="-53.826047890032626"/>
    <x v="0"/>
  </r>
  <r>
    <s v="ORD-2025-168148"/>
    <d v="2025-03-29T00:00:00"/>
    <s v="Q1-2025"/>
    <d v="2025-04-02T00:00:00"/>
    <n v="4"/>
    <s v="Africa"/>
    <x v="1"/>
    <s v="Lagos"/>
    <s v="Non-Profit"/>
    <s v="Marketplace"/>
    <s v="G. Dubois"/>
    <x v="3"/>
    <s v="PHN-4556"/>
    <n v="259.93"/>
    <n v="255.94"/>
    <s v="High"/>
    <n v="7.1999999999999995E-2"/>
    <n v="22"/>
    <n v="5225.2710400000005"/>
    <n v="5718.46"/>
    <n v="-493.1889599999995"/>
    <n v="-9.4385335463861311E-2"/>
    <x v="1"/>
  </r>
  <r>
    <s v="ORD-2023-824839"/>
    <d v="2023-12-06T00:00:00"/>
    <s v="Q4-2023"/>
    <d v="2023-12-31T00:00:00"/>
    <n v="25"/>
    <s v="Asia"/>
    <x v="2"/>
    <s v="Osaka"/>
    <s v="Consumer"/>
    <s v="Retail"/>
    <s v="L. Okafor"/>
    <x v="1"/>
    <s v="PRN-8041"/>
    <n v="663.03"/>
    <n v="813.51"/>
    <s v="High"/>
    <n v="0.10199999999999999"/>
    <n v="15"/>
    <n v="10957.9797"/>
    <n v="9945.4499999999989"/>
    <n v="1012.529700000001"/>
    <n v="9.2401129379715952E-2"/>
    <x v="0"/>
  </r>
  <r>
    <s v="ORD-2023-723587"/>
    <d v="2023-01-02T00:00:00"/>
    <s v="Q1-2023"/>
    <d v="2023-01-05T00:00:00"/>
    <n v="3"/>
    <s v="Americas"/>
    <x v="3"/>
    <s v="Toronto"/>
    <s v="Corporate"/>
    <s v="Distributor"/>
    <s v="B. Chen"/>
    <x v="4"/>
    <s v="LAP-8555"/>
    <n v="315.87"/>
    <n v="591.67999999999995"/>
    <s v="High"/>
    <n v="0"/>
    <n v="7"/>
    <n v="4141.7599999999993"/>
    <n v="2211.09"/>
    <n v="1930.6699999999992"/>
    <n v="0.46614724175229844"/>
    <x v="1"/>
  </r>
  <r>
    <s v="ORD-2024-336584"/>
    <d v="2024-12-27T00:00:00"/>
    <s v="Q4-2024"/>
    <d v="2025-01-14T00:00:00"/>
    <n v="18"/>
    <s v="Asia"/>
    <x v="4"/>
    <s v="Bengaluru"/>
    <s v="Small Business"/>
    <s v="Marketplace"/>
    <s v="E. Garcia"/>
    <x v="5"/>
    <s v="MON-8629"/>
    <n v="586.07000000000005"/>
    <n v="845.97"/>
    <s v="High"/>
    <n v="0.14699999999999999"/>
    <n v="4"/>
    <n v="2886.4496399999998"/>
    <n v="2344.2800000000002"/>
    <n v="542.16963999999962"/>
    <n v="0.18783270370862928"/>
    <x v="0"/>
  </r>
  <r>
    <s v="ORD-2023-112666"/>
    <d v="2023-01-15T00:00:00"/>
    <s v="Q1-2023"/>
    <d v="2023-01-22T00:00:00"/>
    <n v="7"/>
    <s v="Africa"/>
    <x v="1"/>
    <s v="Abuja"/>
    <s v="Education"/>
    <s v="Online"/>
    <s v="O. Wang"/>
    <x v="1"/>
    <s v="PRN-6276"/>
    <n v="28.38"/>
    <n v="47.22"/>
    <s v="High"/>
    <n v="0.19400000000000001"/>
    <n v="18"/>
    <n v="685.06776000000002"/>
    <n v="510.84"/>
    <n v="174.22776000000005"/>
    <n v="0.25432193743871417"/>
    <x v="1"/>
  </r>
  <r>
    <s v="ORD-2024-589570"/>
    <d v="2024-05-04T00:00:00"/>
    <s v="Q2-2024"/>
    <d v="2024-05-29T00:00:00"/>
    <n v="25"/>
    <s v="Africa"/>
    <x v="1"/>
    <s v="Abuja"/>
    <s v="Non-Profit"/>
    <s v="Marketplace"/>
    <s v="O. Wang"/>
    <x v="5"/>
    <s v="MON-6892"/>
    <n v="1295.3399999999999"/>
    <n v="2530.81"/>
    <s v="High"/>
    <n v="3.1E-2"/>
    <n v="6"/>
    <n v="14714.12934"/>
    <n v="7772.0399999999991"/>
    <n v="6942.0893400000004"/>
    <n v="0.4717974933880798"/>
    <x v="0"/>
  </r>
  <r>
    <s v="ORD-2025-997421"/>
    <d v="2025-05-21T00:00:00"/>
    <s v="Q2-2025"/>
    <d v="2025-06-09T00:00:00"/>
    <n v="19"/>
    <s v="Americas"/>
    <x v="5"/>
    <s v="São Paulo"/>
    <s v="Non-Profit"/>
    <s v="Online"/>
    <s v="A. Patel"/>
    <x v="0"/>
    <s v="CMP-3731"/>
    <n v="1331.38"/>
    <n v="2309.56"/>
    <s v="High"/>
    <n v="0.14899999999999999"/>
    <n v="31"/>
    <n v="60928.502359999999"/>
    <n v="41272.780000000006"/>
    <n v="19655.722359999992"/>
    <n v="0.32260307735553528"/>
    <x v="0"/>
  </r>
  <r>
    <s v="ORD-2024-210687"/>
    <d v="2024-01-28T00:00:00"/>
    <s v="Q1-2024"/>
    <d v="2024-02-09T00:00:00"/>
    <n v="12"/>
    <s v="Europe"/>
    <x v="6"/>
    <s v="Berlin"/>
    <s v="Corporate"/>
    <s v="Online"/>
    <s v="G. Dubois"/>
    <x v="6"/>
    <s v="ACC-7938"/>
    <n v="644.16999999999996"/>
    <n v="700.12"/>
    <s v="High"/>
    <n v="6.0000000000000001E-3"/>
    <n v="23"/>
    <n v="16006.14344"/>
    <n v="14815.91"/>
    <n v="1190.23344"/>
    <n v="7.436103796405813E-2"/>
    <x v="0"/>
  </r>
  <r>
    <s v="ORD-2025-515515"/>
    <d v="2025-01-03T00:00:00"/>
    <s v="Q1-2025"/>
    <d v="2025-01-23T00:00:00"/>
    <n v="20"/>
    <s v="Asia"/>
    <x v="2"/>
    <s v="Osaka"/>
    <s v="Corporate"/>
    <s v="Distributor"/>
    <s v="F. Müller"/>
    <x v="3"/>
    <s v="PHN-7019"/>
    <n v="908.6"/>
    <n v="691.37"/>
    <s v="High"/>
    <n v="0.25"/>
    <n v="20"/>
    <n v="10370.549999999999"/>
    <n v="18172"/>
    <n v="-7801.4500000000007"/>
    <n v="-0.75226964818645115"/>
    <x v="0"/>
  </r>
  <r>
    <s v="ORD-2025-487261"/>
    <d v="2025-03-06T00:00:00"/>
    <s v="Q1-2025"/>
    <d v="2025-03-31T00:00:00"/>
    <n v="25"/>
    <s v="Americas"/>
    <x v="5"/>
    <s v="Brasília"/>
    <s v="Non-Profit"/>
    <s v="Online"/>
    <s v="J. Njeri"/>
    <x v="0"/>
    <s v="CMP-3693"/>
    <n v="331.57"/>
    <n v="548.4"/>
    <s v="High"/>
    <n v="9.4E-2"/>
    <n v="10"/>
    <n v="4968.5039999999999"/>
    <n v="3315.7"/>
    <n v="1652.8040000000001"/>
    <n v="0.33265626836568918"/>
    <x v="0"/>
  </r>
  <r>
    <s v="ORD-2024-890180"/>
    <d v="2024-01-20T00:00:00"/>
    <s v="Q1-2024"/>
    <d v="2024-02-13T00:00:00"/>
    <n v="24"/>
    <s v="Europe"/>
    <x v="7"/>
    <s v="Marseille"/>
    <s v="Corporate"/>
    <s v="Retail"/>
    <s v="H. Kim"/>
    <x v="1"/>
    <s v="PRN-8392"/>
    <n v="643.53"/>
    <n v="1439.01"/>
    <s v="High"/>
    <n v="0"/>
    <n v="15"/>
    <n v="21585.15"/>
    <n v="9652.9499999999989"/>
    <n v="11932.200000000003"/>
    <n v="0.55279671440782208"/>
    <x v="0"/>
  </r>
  <r>
    <s v="ORD-2025-840976"/>
    <d v="2025-09-01T00:00:00"/>
    <s v="Q3-2025"/>
    <d v="2025-09-30T00:00:00"/>
    <n v="29"/>
    <s v="Americas"/>
    <x v="5"/>
    <s v="Brasília"/>
    <s v="Education"/>
    <s v="Retail"/>
    <s v="K. Singh"/>
    <x v="6"/>
    <s v="ACC-1663"/>
    <n v="780.59"/>
    <n v="631.57000000000005"/>
    <s v="High"/>
    <n v="0"/>
    <n v="12"/>
    <n v="7578.84"/>
    <n v="9367.08"/>
    <n v="-1788.2399999999998"/>
    <n v="-0.23595167598207639"/>
    <x v="0"/>
  </r>
  <r>
    <s v="ORD-2023-937291"/>
    <d v="2023-04-23T00:00:00"/>
    <s v="Q2-2023"/>
    <d v="2023-04-30T00:00:00"/>
    <n v="7"/>
    <s v="Africa"/>
    <x v="0"/>
    <s v="Nairobi"/>
    <s v="Small Business"/>
    <s v="Direct"/>
    <s v="E. Garcia"/>
    <x v="4"/>
    <s v="LAP-1698"/>
    <n v="756.51"/>
    <n v="850.8"/>
    <s v="High"/>
    <n v="7.3999999999999996E-2"/>
    <n v="9"/>
    <n v="7090.5672000000004"/>
    <n v="6808.59"/>
    <n v="281.97720000000027"/>
    <n v="3.9767932810791252E-2"/>
    <x v="1"/>
  </r>
  <r>
    <s v="ORD-2024-206081"/>
    <d v="2024-12-10T00:00:00"/>
    <s v="Q4-2024"/>
    <d v="2025-01-08T00:00:00"/>
    <n v="29"/>
    <s v="Europe"/>
    <x v="7"/>
    <s v="Marseille"/>
    <s v="Small Business"/>
    <s v="Retail"/>
    <s v="K. Singh"/>
    <x v="1"/>
    <s v="PRN-6791"/>
    <n v="891.08"/>
    <n v="1040.0999999999999"/>
    <s v="High"/>
    <n v="0.109"/>
    <n v="28"/>
    <n v="25948.414799999995"/>
    <n v="24950.240000000002"/>
    <n v="998.17479999999341"/>
    <n v="3.8467660074556598E-2"/>
    <x v="0"/>
  </r>
  <r>
    <s v="ORD-2025-233883"/>
    <d v="2025-09-08T00:00:00"/>
    <s v="Q3-2025"/>
    <d v="2025-09-16T00:00:00"/>
    <n v="8"/>
    <s v="Asia"/>
    <x v="2"/>
    <s v="Osaka"/>
    <s v="Corporate"/>
    <s v="Distributor"/>
    <s v="C. Otieno"/>
    <x v="3"/>
    <s v="PHN-1197"/>
    <n v="1225.57"/>
    <n v="2705.57"/>
    <s v="High"/>
    <n v="0.183"/>
    <n v="16"/>
    <n v="35367.211040000002"/>
    <n v="19609.12"/>
    <n v="15758.091040000003"/>
    <n v="0.44555650775453404"/>
    <x v="0"/>
  </r>
  <r>
    <s v="ORD-2025-843974"/>
    <d v="2025-07-20T00:00:00"/>
    <s v="Q3-2025"/>
    <d v="2025-08-05T00:00:00"/>
    <n v="16"/>
    <s v="Americas"/>
    <x v="5"/>
    <s v="Brasília"/>
    <s v="Enterprise"/>
    <s v="Marketplace"/>
    <s v="G. Dubois"/>
    <x v="6"/>
    <s v="ACC-8098"/>
    <n v="1068.17"/>
    <n v="2375.37"/>
    <s v="High"/>
    <n v="0.109"/>
    <n v="18"/>
    <n v="38096.18406"/>
    <n v="19227.060000000001"/>
    <n v="18869.124059999998"/>
    <n v="0.49530220744108822"/>
    <x v="0"/>
  </r>
  <r>
    <s v="ORD-2025-745263"/>
    <d v="2025-05-21T00:00:00"/>
    <s v="Q2-2025"/>
    <d v="2025-05-28T00:00:00"/>
    <n v="7"/>
    <s v="Europe"/>
    <x v="8"/>
    <s v="Birmingham"/>
    <s v="Enterprise"/>
    <s v="Online"/>
    <s v="M. Rossi"/>
    <x v="4"/>
    <s v="LAP-3385"/>
    <n v="1015.16"/>
    <n v="2148.14"/>
    <s v="High"/>
    <n v="3.7999999999999999E-2"/>
    <n v="19"/>
    <n v="39263.702919999996"/>
    <n v="19288.04"/>
    <n v="19975.662919999995"/>
    <n v="0.50875647059322227"/>
    <x v="1"/>
  </r>
  <r>
    <s v="ORD-2024-798002"/>
    <d v="2024-07-25T00:00:00"/>
    <s v="Q3-2024"/>
    <d v="2024-08-01T00:00:00"/>
    <n v="7"/>
    <s v="Africa"/>
    <x v="0"/>
    <s v="Mombasa"/>
    <s v="Non-Profit"/>
    <s v="Direct"/>
    <s v="J. Njeri"/>
    <x v="4"/>
    <s v="LAP-9815"/>
    <n v="1494.4"/>
    <n v="3661.07"/>
    <s v="High"/>
    <n v="7.1999999999999995E-2"/>
    <n v="7"/>
    <n v="23782.310720000001"/>
    <n v="10460.800000000001"/>
    <n v="13321.51072"/>
    <n v="0.56014366630897339"/>
    <x v="1"/>
  </r>
  <r>
    <s v="ORD-2023-867836"/>
    <d v="2023-05-11T00:00:00"/>
    <s v="Q2-2023"/>
    <d v="2023-05-28T00:00:00"/>
    <n v="17"/>
    <s v="Asia"/>
    <x v="9"/>
    <s v="Shenzhen"/>
    <s v="Enterprise"/>
    <s v="Marketplace"/>
    <s v="E. Garcia"/>
    <x v="2"/>
    <s v="NET-3255"/>
    <n v="1331.19"/>
    <n v="2903.09"/>
    <s v="High"/>
    <n v="0.14299999999999999"/>
    <n v="8"/>
    <n v="19903.585040000002"/>
    <n v="10649.52"/>
    <n v="9254.0650400000013"/>
    <n v="0.46494463290920784"/>
    <x v="0"/>
  </r>
  <r>
    <s v="ORD-2025-580047"/>
    <d v="2025-06-14T00:00:00"/>
    <s v="Q2-2025"/>
    <d v="2025-06-29T00:00:00"/>
    <n v="15"/>
    <s v="Africa"/>
    <x v="1"/>
    <s v="Port Harcourt"/>
    <s v="Consumer"/>
    <s v="Marketplace"/>
    <s v="M. Rossi"/>
    <x v="6"/>
    <s v="ACC-3961"/>
    <n v="730.99"/>
    <n v="1242.8399999999999"/>
    <s v="High"/>
    <n v="0.12"/>
    <n v="10"/>
    <n v="10936.992"/>
    <n v="7309.9"/>
    <n v="3627.0920000000006"/>
    <n v="0.33163524303574515"/>
    <x v="0"/>
  </r>
  <r>
    <s v="ORD-2024-500109"/>
    <d v="2024-05-18T00:00:00"/>
    <s v="Q2-2024"/>
    <d v="2024-05-23T00:00:00"/>
    <n v="5"/>
    <s v="Americas"/>
    <x v="10"/>
    <s v="Chicago"/>
    <s v="Enterprise"/>
    <s v="Retail"/>
    <s v="H. Kim"/>
    <x v="4"/>
    <s v="LAP-4987"/>
    <n v="1274.5899999999999"/>
    <n v="2553.69"/>
    <s v="High"/>
    <n v="0.01"/>
    <n v="8"/>
    <n v="20225.2248"/>
    <n v="10196.719999999999"/>
    <n v="10028.504800000001"/>
    <n v="0.49584145042481803"/>
    <x v="1"/>
  </r>
  <r>
    <s v="ORD-2023-271836"/>
    <d v="2023-02-07T00:00:00"/>
    <s v="Q1-2023"/>
    <d v="2023-02-12T00:00:00"/>
    <n v="5"/>
    <s v="Americas"/>
    <x v="5"/>
    <s v="São Paulo"/>
    <s v="Education"/>
    <s v="Online"/>
    <s v="N. Brown"/>
    <x v="0"/>
    <s v="CMP-2693"/>
    <n v="948.55"/>
    <n v="2089.16"/>
    <s v="High"/>
    <n v="7.0000000000000001E-3"/>
    <n v="12"/>
    <n v="24894.430559999997"/>
    <n v="11382.599999999999"/>
    <n v="13511.830559999999"/>
    <n v="0.54276519912492427"/>
    <x v="1"/>
  </r>
  <r>
    <s v="ORD-2024-215294"/>
    <d v="2024-06-30T00:00:00"/>
    <s v="Q2-2024"/>
    <d v="2024-07-14T00:00:00"/>
    <n v="14"/>
    <s v="Americas"/>
    <x v="5"/>
    <s v="Brasília"/>
    <s v="Education"/>
    <s v="Retail"/>
    <s v="C. Otieno"/>
    <x v="6"/>
    <s v="ACC-8683"/>
    <n v="1491.85"/>
    <n v="2583.02"/>
    <s v="High"/>
    <n v="0.16800000000000001"/>
    <n v="4"/>
    <n v="8596.2905599999995"/>
    <n v="5967.4"/>
    <n v="2628.8905599999998"/>
    <n v="0.30581685689321325"/>
    <x v="0"/>
  </r>
  <r>
    <s v="ORD-2024-788105"/>
    <d v="2024-11-30T00:00:00"/>
    <s v="Q4-2024"/>
    <d v="2024-12-30T00:00:00"/>
    <n v="30"/>
    <s v="Europe"/>
    <x v="7"/>
    <s v="Marseille"/>
    <s v="Consumer"/>
    <s v="Marketplace"/>
    <s v="F. Müller"/>
    <x v="1"/>
    <s v="PRN-4170"/>
    <n v="117.64"/>
    <n v="175.67"/>
    <s v="High"/>
    <n v="0"/>
    <n v="10"/>
    <n v="1756.6999999999998"/>
    <n v="1176.4000000000001"/>
    <n v="580.29999999999973"/>
    <n v="0.33033528775545046"/>
    <x v="0"/>
  </r>
  <r>
    <s v="ORD-2024-855073"/>
    <d v="2024-07-19T00:00:00"/>
    <s v="Q3-2024"/>
    <d v="2024-07-19T00:00:00"/>
    <n v="0"/>
    <s v="Africa"/>
    <x v="0"/>
    <s v="Kisumu"/>
    <s v="Small Business"/>
    <s v="Retail"/>
    <s v="A. Patel"/>
    <x v="3"/>
    <s v="PHN-6854"/>
    <n v="857.24"/>
    <n v="758.23"/>
    <s v="High"/>
    <n v="0.125"/>
    <n v="6"/>
    <n v="3980.7075"/>
    <n v="5143.4400000000005"/>
    <n v="-1162.7325000000005"/>
    <n v="-0.29209192084572921"/>
    <x v="1"/>
  </r>
  <r>
    <s v="ORD-2023-897079"/>
    <d v="2023-04-14T00:00:00"/>
    <s v="Q2-2023"/>
    <d v="2023-05-14T00:00:00"/>
    <n v="30"/>
    <s v="Africa"/>
    <x v="0"/>
    <s v="Nakuru"/>
    <s v="Consumer"/>
    <s v="Marketplace"/>
    <s v="M. Rossi"/>
    <x v="3"/>
    <s v="PHN-1784"/>
    <n v="209.25"/>
    <n v="434.8"/>
    <s v="High"/>
    <n v="0"/>
    <n v="9"/>
    <n v="3913.2000000000003"/>
    <n v="1883.25"/>
    <n v="2029.9500000000003"/>
    <n v="0.51874425022999082"/>
    <x v="0"/>
  </r>
  <r>
    <s v="ORD-2025-548982"/>
    <d v="2025-04-07T00:00:00"/>
    <s v="Q2-2025"/>
    <d v="2025-04-11T00:00:00"/>
    <n v="4"/>
    <s v="Europe"/>
    <x v="7"/>
    <s v="Lyon"/>
    <s v="Education"/>
    <s v="Retail"/>
    <s v="E. Garcia"/>
    <x v="2"/>
    <s v="NET-9716"/>
    <n v="754.77"/>
    <n v="1666.18"/>
    <s v="High"/>
    <n v="0.13900000000000001"/>
    <n v="14"/>
    <n v="20084.133720000002"/>
    <n v="10566.779999999999"/>
    <n v="9517.3537200000028"/>
    <n v="0.47387424584424653"/>
    <x v="1"/>
  </r>
  <r>
    <s v="ORD-2024-170313"/>
    <d v="2024-12-27T00:00:00"/>
    <s v="Q4-2024"/>
    <d v="2025-01-15T00:00:00"/>
    <n v="19"/>
    <s v="Asia"/>
    <x v="4"/>
    <s v="Delhi"/>
    <s v="Non-Profit"/>
    <s v="Distributor"/>
    <s v="G. Dubois"/>
    <x v="0"/>
    <s v="CMP-6919"/>
    <n v="495.59"/>
    <n v="631.78"/>
    <s v="High"/>
    <n v="8.6999999999999994E-2"/>
    <n v="17"/>
    <n v="9805.8573800000013"/>
    <n v="8425.0299999999988"/>
    <n v="1380.8273800000024"/>
    <n v="0.14081658813601899"/>
    <x v="0"/>
  </r>
  <r>
    <s v="ORD-2023-562894"/>
    <d v="2023-02-23T00:00:00"/>
    <s v="Q1-2023"/>
    <d v="2023-03-25T00:00:00"/>
    <n v="30"/>
    <s v="Americas"/>
    <x v="3"/>
    <s v="Montreal"/>
    <s v="Enterprise"/>
    <s v="Online"/>
    <s v="D. Smith"/>
    <x v="3"/>
    <s v="PHN-4854"/>
    <n v="1242.6600000000001"/>
    <n v="1794.07"/>
    <s v="High"/>
    <n v="8.8999999999999996E-2"/>
    <n v="16"/>
    <n v="26150.364320000001"/>
    <n v="19882.560000000001"/>
    <n v="6267.8043199999993"/>
    <n v="0.23968325042440553"/>
    <x v="0"/>
  </r>
  <r>
    <s v="ORD-2025-474710"/>
    <d v="2025-07-24T00:00:00"/>
    <s v="Q3-2025"/>
    <d v="2025-08-06T00:00:00"/>
    <n v="13"/>
    <s v="Africa"/>
    <x v="11"/>
    <s v="Johannesburg"/>
    <s v="Education"/>
    <s v="Marketplace"/>
    <s v="D. Smith"/>
    <x v="2"/>
    <s v="NET-7966"/>
    <n v="1463.9"/>
    <n v="2633.02"/>
    <s v="High"/>
    <n v="8.4000000000000005E-2"/>
    <n v="4"/>
    <n v="9647.3852800000004"/>
    <n v="5855.6"/>
    <n v="3791.7852800000001"/>
    <n v="0.39303761277791527"/>
    <x v="0"/>
  </r>
  <r>
    <s v="ORD-2024-629525"/>
    <d v="2024-04-18T00:00:00"/>
    <s v="Q2-2024"/>
    <d v="2024-05-08T00:00:00"/>
    <n v="20"/>
    <s v="Europe"/>
    <x v="8"/>
    <s v="London"/>
    <s v="Non-Profit"/>
    <s v="Unknown"/>
    <s v="D. Smith"/>
    <x v="4"/>
    <s v="LAP-9932"/>
    <n v="645.33000000000004"/>
    <n v="1321.85"/>
    <s v="High"/>
    <n v="0"/>
    <n v="10"/>
    <n v="13218.5"/>
    <n v="6453.3"/>
    <n v="6765.2"/>
    <n v="0.51179785906116426"/>
    <x v="0"/>
  </r>
  <r>
    <s v="ORD-2024-167215"/>
    <d v="2024-08-23T00:00:00"/>
    <s v="Q3-2024"/>
    <d v="2024-08-30T00:00:00"/>
    <n v="7"/>
    <s v="Africa"/>
    <x v="11"/>
    <s v="Johannesburg"/>
    <s v="Education"/>
    <s v="Retail"/>
    <s v="E. Garcia"/>
    <x v="0"/>
    <s v="CMP-1559"/>
    <n v="1432.52"/>
    <n v="3036.87"/>
    <s v="High"/>
    <n v="0"/>
    <n v="9"/>
    <n v="27331.829999999998"/>
    <n v="12892.68"/>
    <n v="14439.149999999998"/>
    <n v="0.52829064135112791"/>
    <x v="1"/>
  </r>
  <r>
    <s v="ORD-2023-864121"/>
    <d v="2023-03-27T00:00:00"/>
    <s v="Q1-2023"/>
    <d v="2023-04-22T00:00:00"/>
    <n v="26"/>
    <s v="Asia"/>
    <x v="4"/>
    <s v="Delhi"/>
    <s v="Non-Profit"/>
    <s v="Marketplace"/>
    <s v="J. Njeri"/>
    <x v="1"/>
    <s v="PRN-4506"/>
    <n v="178.53"/>
    <n v="199.37"/>
    <s v="High"/>
    <n v="0.10100000000000001"/>
    <n v="37"/>
    <n v="6631.6443100000006"/>
    <n v="6605.61"/>
    <n v="26.034310000000914"/>
    <n v="3.9257699573457538E-3"/>
    <x v="0"/>
  </r>
  <r>
    <s v="ORD-2024-692673"/>
    <d v="2024-03-07T00:00:00"/>
    <s v="Q1-2024"/>
    <d v="2024-03-25T00:00:00"/>
    <n v="18"/>
    <s v="Europe"/>
    <x v="6"/>
    <s v="Munich"/>
    <s v="Corporate"/>
    <s v="Online"/>
    <s v="B. Chen"/>
    <x v="0"/>
    <s v="CMP-7617"/>
    <n v="712.84"/>
    <n v="927.51"/>
    <s v="High"/>
    <n v="0.24299999999999999"/>
    <n v="27"/>
    <n v="18957.37689"/>
    <n v="19246.68"/>
    <n v="-289.30311000000074"/>
    <n v="-1.5260714163076427E-2"/>
    <x v="0"/>
  </r>
  <r>
    <s v="ORD-2025-718992"/>
    <d v="2025-06-24T00:00:00"/>
    <s v="Q2-2025"/>
    <d v="2025-07-10T00:00:00"/>
    <n v="16"/>
    <s v="Asia"/>
    <x v="9"/>
    <s v="Shanghai"/>
    <s v="Enterprise"/>
    <s v="Direct"/>
    <s v="N. Brown"/>
    <x v="0"/>
    <s v="CMP-8390"/>
    <n v="757.19"/>
    <n v="1735.41"/>
    <s v="High"/>
    <n v="0.13600000000000001"/>
    <n v="8"/>
    <n v="11995.153920000001"/>
    <n v="6057.52"/>
    <n v="5937.6339200000002"/>
    <n v="0.4950027285685718"/>
    <x v="0"/>
  </r>
  <r>
    <s v="ORD-2024-599522"/>
    <d v="2024-04-19T00:00:00"/>
    <s v="Q2-2024"/>
    <d v="2024-05-06T00:00:00"/>
    <n v="17"/>
    <s v="Africa"/>
    <x v="1"/>
    <s v="Port Harcourt"/>
    <s v="Non-Profit"/>
    <s v="Online"/>
    <s v="A. Patel"/>
    <x v="1"/>
    <s v="PRN-7303"/>
    <n v="865.33"/>
    <n v="1395.64"/>
    <s v="High"/>
    <n v="0.17499999999999999"/>
    <n v="13"/>
    <n v="14968.239"/>
    <n v="11249.29"/>
    <n v="3718.9489999999987"/>
    <n v="0.24845601409758347"/>
    <x v="0"/>
  </r>
  <r>
    <s v="ORD-2023-651638"/>
    <d v="2023-06-17T00:00:00"/>
    <s v="Q2-2023"/>
    <d v="2023-06-24T00:00:00"/>
    <n v="7"/>
    <s v="Americas"/>
    <x v="10"/>
    <s v="San Francisco"/>
    <s v="Corporate"/>
    <s v="Retail"/>
    <s v="I. Johnson"/>
    <x v="1"/>
    <s v="PRN-6536"/>
    <n v="313.99"/>
    <n v="454.42"/>
    <s v="High"/>
    <n v="0.129"/>
    <n v="9"/>
    <n v="3562.1983800000003"/>
    <n v="2825.91"/>
    <n v="736.28838000000042"/>
    <n v="0.20669493988147858"/>
    <x v="1"/>
  </r>
  <r>
    <s v="ORD-2024-635626"/>
    <d v="2024-08-27T00:00:00"/>
    <s v="Q3-2024"/>
    <d v="2024-09-19T00:00:00"/>
    <n v="23"/>
    <s v="Europe"/>
    <x v="6"/>
    <s v="Berlin"/>
    <s v="Small Business"/>
    <s v="Direct"/>
    <s v="D. Smith"/>
    <x v="5"/>
    <s v="MON-9967"/>
    <n v="1024.01"/>
    <n v="1580.97"/>
    <s v="High"/>
    <n v="3.6999999999999998E-2"/>
    <n v="27"/>
    <n v="41106.800970000004"/>
    <n v="27648.27"/>
    <n v="13458.530970000003"/>
    <n v="0.3274039976942531"/>
    <x v="0"/>
  </r>
  <r>
    <s v="ORD-2024-296582"/>
    <d v="2024-01-11T00:00:00"/>
    <s v="Q1-2024"/>
    <d v="2024-02-02T00:00:00"/>
    <n v="22"/>
    <s v="Africa"/>
    <x v="11"/>
    <s v="Durban"/>
    <s v="Consumer"/>
    <s v="Online"/>
    <s v="K. Singh"/>
    <x v="2"/>
    <s v="NET-1412"/>
    <n v="1206.2"/>
    <n v="1759.79"/>
    <s v="High"/>
    <n v="0"/>
    <n v="6"/>
    <n v="10558.74"/>
    <n v="7237.2000000000007"/>
    <n v="3321.5399999999991"/>
    <n v="0.31457730751964713"/>
    <x v="0"/>
  </r>
  <r>
    <s v="ORD-2024-998320"/>
    <d v="2024-10-25T00:00:00"/>
    <s v="Q4-2024"/>
    <d v="2024-11-14T00:00:00"/>
    <n v="20"/>
    <s v="Africa"/>
    <x v="0"/>
    <s v="Mombasa"/>
    <s v="Corporate"/>
    <s v="Direct"/>
    <s v="H. Kim"/>
    <x v="1"/>
    <s v="PRN-3143"/>
    <n v="1396.48"/>
    <n v="3204.5"/>
    <s v="High"/>
    <n v="0.3"/>
    <n v="14"/>
    <n v="31404.1"/>
    <n v="19550.72"/>
    <n v="11853.379999999997"/>
    <n v="0.3774468938769141"/>
    <x v="0"/>
  </r>
  <r>
    <s v="ORD-2025-820255"/>
    <d v="2025-05-29T00:00:00"/>
    <s v="Q2-2025"/>
    <d v="2025-06-20T00:00:00"/>
    <n v="22"/>
    <s v="Europe"/>
    <x v="6"/>
    <s v="Berlin"/>
    <s v="Corporate"/>
    <s v="Direct"/>
    <s v="A. Patel"/>
    <x v="1"/>
    <s v="PRN-9787"/>
    <n v="483.47"/>
    <n v="1135.43"/>
    <s v="High"/>
    <n v="0.14599999999999999"/>
    <n v="11"/>
    <n v="10666.229420000001"/>
    <n v="5318.17"/>
    <n v="5348.0594200000014"/>
    <n v="0.50140112399719983"/>
    <x v="0"/>
  </r>
  <r>
    <s v="ORD-2024-389336"/>
    <d v="2024-05-20T00:00:00"/>
    <s v="Q2-2024"/>
    <d v="2024-06-02T00:00:00"/>
    <n v="13"/>
    <s v="Americas"/>
    <x v="3"/>
    <s v="Vancouver"/>
    <s v="Enterprise"/>
    <s v="Marketplace"/>
    <s v="K. Singh"/>
    <x v="0"/>
    <s v="CMP-5946"/>
    <n v="675.43"/>
    <n v="996.36"/>
    <s v="High"/>
    <n v="0.182"/>
    <n v="22"/>
    <n v="17930.494560000003"/>
    <n v="14859.46"/>
    <n v="3071.0345600000037"/>
    <n v="0.17127439233332575"/>
    <x v="0"/>
  </r>
  <r>
    <s v="ORD-2023-308124"/>
    <d v="2023-04-19T00:00:00"/>
    <s v="Q2-2023"/>
    <d v="2023-04-30T00:00:00"/>
    <n v="11"/>
    <s v="Asia"/>
    <x v="4"/>
    <s v="Delhi"/>
    <s v="Small Business"/>
    <s v="Retail"/>
    <s v="A. Patel"/>
    <x v="2"/>
    <s v="NET-2062"/>
    <n v="826.55"/>
    <n v="1397.05"/>
    <s v="High"/>
    <n v="0.16900000000000001"/>
    <n v="28"/>
    <n v="32506.559399999998"/>
    <n v="23143.399999999998"/>
    <n v="9363.1594000000005"/>
    <n v="0.28803907804527601"/>
    <x v="0"/>
  </r>
  <r>
    <s v="ORD-2023-128295"/>
    <d v="2023-06-23T00:00:00"/>
    <s v="Q2-2023"/>
    <d v="2023-07-03T00:00:00"/>
    <n v="10"/>
    <s v="Africa"/>
    <x v="1"/>
    <s v="Abuja"/>
    <s v="Consumer"/>
    <s v="Online"/>
    <s v="J. Njeri"/>
    <x v="1"/>
    <s v="PRN-2542"/>
    <n v="337.75"/>
    <n v="548.89"/>
    <s v="High"/>
    <n v="0"/>
    <n v="13"/>
    <n v="7135.57"/>
    <n v="4390.75"/>
    <n v="2744.8199999999997"/>
    <n v="0.38466723751571352"/>
    <x v="0"/>
  </r>
  <r>
    <s v="ORD-2024-548345"/>
    <d v="2024-05-14T00:00:00"/>
    <s v="Q2-2024"/>
    <d v="2024-05-28T00:00:00"/>
    <n v="14"/>
    <s v="Europe"/>
    <x v="8"/>
    <s v="Birmingham"/>
    <s v="Consumer"/>
    <s v="Retail"/>
    <s v="B. Chen"/>
    <x v="2"/>
    <s v="NET-2365"/>
    <n v="1421.14"/>
    <n v="3524"/>
    <s v="High"/>
    <n v="0"/>
    <n v="31"/>
    <n v="109244"/>
    <n v="44055.340000000004"/>
    <n v="65188.659999999996"/>
    <n v="0.59672531214528945"/>
    <x v="0"/>
  </r>
  <r>
    <s v="ORD-2024-966651"/>
    <d v="2024-10-14T00:00:00"/>
    <s v="Q4-2024"/>
    <d v="2024-11-08T00:00:00"/>
    <n v="25"/>
    <s v="Africa"/>
    <x v="1"/>
    <s v="Lagos"/>
    <s v="Enterprise"/>
    <s v="Online"/>
    <s v="O. Wang"/>
    <x v="2"/>
    <s v="NET-5268"/>
    <n v="859.35"/>
    <n v="1825.61"/>
    <s v="High"/>
    <n v="0.187"/>
    <n v="24"/>
    <n v="35621.302319999995"/>
    <n v="20624.400000000001"/>
    <n v="14996.902319999994"/>
    <n v="0.42100937762681989"/>
    <x v="0"/>
  </r>
  <r>
    <s v="ORD-2023-292714"/>
    <d v="2023-07-10T00:00:00"/>
    <s v="Q3-2023"/>
    <d v="2023-08-01T00:00:00"/>
    <n v="22"/>
    <s v="Europe"/>
    <x v="7"/>
    <s v="Marseille"/>
    <s v="Consumer"/>
    <s v="Marketplace"/>
    <s v="B. Chen"/>
    <x v="1"/>
    <s v="PRN-1504"/>
    <n v="1303.56"/>
    <n v="1791.37"/>
    <s v="High"/>
    <n v="0.126"/>
    <n v="22"/>
    <n v="34444.462359999998"/>
    <n v="28678.32"/>
    <n v="5766.142359999998"/>
    <n v="0.16740404596055358"/>
    <x v="0"/>
  </r>
  <r>
    <s v="ORD-2024-468501"/>
    <d v="2024-11-06T00:00:00"/>
    <s v="Q4-2024"/>
    <d v="2024-11-22T00:00:00"/>
    <n v="16"/>
    <s v="Americas"/>
    <x v="3"/>
    <s v="Toronto"/>
    <s v="Non-Profit"/>
    <s v="Distributor"/>
    <s v="D. Smith"/>
    <x v="6"/>
    <s v="ACC-6348"/>
    <n v="1454.11"/>
    <n v="2629.75"/>
    <s v="High"/>
    <n v="0.29199999999999998"/>
    <n v="8"/>
    <n v="14894.903999999999"/>
    <n v="11632.88"/>
    <n v="3262.0239999999994"/>
    <n v="0.21900268709351867"/>
    <x v="0"/>
  </r>
  <r>
    <s v="ORD-2024-260775"/>
    <d v="2024-10-17T00:00:00"/>
    <s v="Q4-2024"/>
    <d v="2024-11-06T00:00:00"/>
    <n v="20"/>
    <s v="Asia"/>
    <x v="4"/>
    <s v="Bengaluru"/>
    <s v="Enterprise"/>
    <s v="Distributor"/>
    <s v="O. Wang"/>
    <x v="5"/>
    <s v="MON-4330"/>
    <n v="72.94"/>
    <n v="106.3"/>
    <s v="High"/>
    <n v="0.29499999999999998"/>
    <n v="8"/>
    <n v="599.53200000000004"/>
    <n v="583.52"/>
    <n v="16.012000000000057"/>
    <n v="2.6707498515508857E-2"/>
    <x v="0"/>
  </r>
  <r>
    <s v="ORD-2023-419187"/>
    <d v="2023-03-31T00:00:00"/>
    <s v="Q1-2023"/>
    <d v="2023-04-05T00:00:00"/>
    <n v="5"/>
    <s v="Africa"/>
    <x v="0"/>
    <s v="Nakuru"/>
    <s v="Education"/>
    <s v="Marketplace"/>
    <s v="B. Chen"/>
    <x v="4"/>
    <s v="LAP-7819"/>
    <n v="533.26"/>
    <n v="385.72"/>
    <s v="High"/>
    <n v="0"/>
    <n v="15"/>
    <n v="5785.8"/>
    <n v="7998.9"/>
    <n v="-2213.0999999999995"/>
    <n v="-0.38250544436378708"/>
    <x v="1"/>
  </r>
  <r>
    <s v="ORD-2025-578007"/>
    <d v="2025-01-21T00:00:00"/>
    <s v="Q1-2025"/>
    <d v="2025-02-16T00:00:00"/>
    <n v="26"/>
    <s v="Europe"/>
    <x v="7"/>
    <s v="Lyon"/>
    <s v="Corporate"/>
    <s v="Distributor"/>
    <s v="O. Wang"/>
    <x v="4"/>
    <s v="LAP-3779"/>
    <n v="204.11"/>
    <n v="236.87"/>
    <s v="High"/>
    <n v="0.182"/>
    <n v="13"/>
    <n v="2518.8755800000004"/>
    <n v="2653.4300000000003"/>
    <n v="-134.55441999999994"/>
    <n v="-5.3418446337075494E-2"/>
    <x v="0"/>
  </r>
  <r>
    <s v="ORD-2023-235230"/>
    <d v="2023-08-30T00:00:00"/>
    <s v="Q3-2023"/>
    <d v="2023-09-01T00:00:00"/>
    <n v="2"/>
    <s v="Europe"/>
    <x v="6"/>
    <s v="Munich"/>
    <s v="Corporate"/>
    <s v="Direct"/>
    <s v="N. Brown"/>
    <x v="2"/>
    <s v="NET-9989"/>
    <n v="44.42"/>
    <n v="41.9"/>
    <s v="High"/>
    <n v="0.14399999999999999"/>
    <n v="6"/>
    <n v="215.19839999999996"/>
    <n v="266.52"/>
    <n v="-51.321600000000018"/>
    <n v="-0.23848504449847224"/>
    <x v="1"/>
  </r>
  <r>
    <s v="ORD-2025-765220"/>
    <d v="2025-04-06T00:00:00"/>
    <s v="Q2-2025"/>
    <d v="2025-04-30T00:00:00"/>
    <n v="24"/>
    <s v="Americas"/>
    <x v="5"/>
    <s v="Brasília"/>
    <s v="Education"/>
    <s v="Online"/>
    <s v="K. Singh"/>
    <x v="5"/>
    <s v="MON-4925"/>
    <n v="855.78"/>
    <n v="977.38"/>
    <s v="High"/>
    <n v="0.14699999999999999"/>
    <n v="38"/>
    <n v="31680.795320000001"/>
    <n v="32519.64"/>
    <n v="-838.84467999999833"/>
    <n v="-2.6478018355506307E-2"/>
    <x v="0"/>
  </r>
  <r>
    <s v="ORD-2025-931538"/>
    <d v="2025-02-09T00:00:00"/>
    <s v="Q1-2025"/>
    <d v="2025-03-01T00:00:00"/>
    <n v="20"/>
    <s v="Americas"/>
    <x v="5"/>
    <s v="São Paulo"/>
    <s v="Corporate"/>
    <s v="Distributor"/>
    <s v="B. Chen"/>
    <x v="4"/>
    <s v="LAP-6989"/>
    <n v="1154.6400000000001"/>
    <n v="2794.13"/>
    <s v="High"/>
    <n v="3.5000000000000003E-2"/>
    <n v="11"/>
    <n v="29659.68995"/>
    <n v="12701.04"/>
    <n v="16958.649949999999"/>
    <n v="0.57177435025749479"/>
    <x v="0"/>
  </r>
  <r>
    <s v="ORD-2024-289089"/>
    <d v="2024-12-17T00:00:00"/>
    <s v="Q4-2024"/>
    <d v="2024-12-18T00:00:00"/>
    <n v="1"/>
    <s v="Europe"/>
    <x v="6"/>
    <s v="Munich"/>
    <s v="Education"/>
    <s v="Retail"/>
    <s v="L. Okafor"/>
    <x v="6"/>
    <s v="ACC-5780"/>
    <n v="346.82"/>
    <n v="701.95"/>
    <s v="High"/>
    <n v="0.14699999999999999"/>
    <n v="8"/>
    <n v="4790.1068000000005"/>
    <n v="2774.56"/>
    <n v="2015.5468000000005"/>
    <n v="0.42077283120284509"/>
    <x v="1"/>
  </r>
  <r>
    <s v="ORD-2025-639542"/>
    <d v="2025-06-09T00:00:00"/>
    <s v="Q2-2025"/>
    <d v="2025-06-18T00:00:00"/>
    <n v="9"/>
    <s v="Europe"/>
    <x v="7"/>
    <s v="Marseille"/>
    <s v="Small Business"/>
    <s v="Marketplace"/>
    <s v="H. Kim"/>
    <x v="6"/>
    <s v="ACC-1770"/>
    <n v="1225.5"/>
    <n v="5.27"/>
    <s v="High"/>
    <n v="7.4999999999999997E-2"/>
    <n v="56"/>
    <n v="272.98599999999999"/>
    <n v="68628"/>
    <n v="-68355.013999999996"/>
    <n v="-250.39750756449047"/>
    <x v="0"/>
  </r>
  <r>
    <s v="ORD-2025-762301"/>
    <d v="2025-05-02T00:00:00"/>
    <s v="Q2-2025"/>
    <d v="2025-05-13T00:00:00"/>
    <n v="11"/>
    <s v="Africa"/>
    <x v="0"/>
    <s v="Nakuru"/>
    <s v="Small Business"/>
    <s v="Online"/>
    <s v="A. Patel"/>
    <x v="6"/>
    <s v="ACC-2252"/>
    <n v="1057.5999999999999"/>
    <n v="1437.06"/>
    <s v="High"/>
    <n v="0.20499999999999999"/>
    <n v="4"/>
    <n v="4569.8508000000002"/>
    <n v="4230.3999999999996"/>
    <n v="339.45080000000053"/>
    <n v="7.4280499485891424E-2"/>
    <x v="0"/>
  </r>
  <r>
    <s v="ORD-2024-906395"/>
    <d v="2024-03-10T00:00:00"/>
    <s v="Q1-2024"/>
    <d v="2024-04-09T00:00:00"/>
    <n v="30"/>
    <s v="Europe"/>
    <x v="7"/>
    <s v="Lyon"/>
    <s v="Corporate"/>
    <s v="Direct"/>
    <s v="I. Johnson"/>
    <x v="0"/>
    <s v="CMP-8002"/>
    <n v="1176.56"/>
    <n v="1911.89"/>
    <s v="High"/>
    <n v="0.11899999999999999"/>
    <n v="20"/>
    <n v="33687.501800000005"/>
    <n v="23531.199999999997"/>
    <n v="10156.301800000008"/>
    <n v="0.30148575160892477"/>
    <x v="0"/>
  </r>
  <r>
    <s v="ORD-2025-779574"/>
    <d v="2025-09-10T00:00:00"/>
    <s v="Q3-2025"/>
    <d v="2025-09-12T00:00:00"/>
    <n v="2"/>
    <s v="Asia"/>
    <x v="2"/>
    <s v="Tokyo"/>
    <s v="Consumer"/>
    <s v="Online"/>
    <s v="O. Wang"/>
    <x v="0"/>
    <s v="CMP-6971"/>
    <n v="1470.15"/>
    <n v="2593.7800000000002"/>
    <s v="High"/>
    <n v="0.11"/>
    <n v="12"/>
    <n v="27701.570400000001"/>
    <n v="17641.800000000003"/>
    <n v="10059.770399999998"/>
    <n v="0.36314801849645306"/>
    <x v="1"/>
  </r>
  <r>
    <s v="ORD-2025-526650"/>
    <d v="2025-04-27T00:00:00"/>
    <s v="Q2-2025"/>
    <d v="2025-05-25T00:00:00"/>
    <n v="28"/>
    <s v="Europe"/>
    <x v="7"/>
    <s v="Paris"/>
    <s v="Small Business"/>
    <s v="Marketplace"/>
    <s v="I. Johnson"/>
    <x v="3"/>
    <s v="PHN-8350"/>
    <n v="603.45000000000005"/>
    <n v="1244.08"/>
    <s v="High"/>
    <n v="0.2"/>
    <n v="11"/>
    <n v="10947.904"/>
    <n v="6637.9500000000007"/>
    <n v="4309.9539999999997"/>
    <n v="0.39367846119220623"/>
    <x v="0"/>
  </r>
  <r>
    <s v="ORD-2024-247979"/>
    <d v="2024-11-02T00:00:00"/>
    <s v="Q4-2024"/>
    <d v="2024-11-18T00:00:00"/>
    <n v="16"/>
    <s v="Asia"/>
    <x v="4"/>
    <s v="Mumbai"/>
    <s v="Small Business"/>
    <s v="Distributor"/>
    <s v="O. Wang"/>
    <x v="5"/>
    <s v="MON-5188"/>
    <n v="1233.58"/>
    <n v="1912.51"/>
    <s v="High"/>
    <n v="0.255"/>
    <n v="51"/>
    <n v="72665.817450000002"/>
    <n v="62912.579999999994"/>
    <n v="9753.2374500000078"/>
    <n v="0.134220432553601"/>
    <x v="0"/>
  </r>
  <r>
    <s v="ORD-2023-480975"/>
    <d v="2023-02-15T00:00:00"/>
    <s v="Q1-2023"/>
    <d v="2023-02-26T00:00:00"/>
    <n v="11"/>
    <s v="Africa"/>
    <x v="11"/>
    <s v="Johannesburg"/>
    <s v="Non-Profit"/>
    <s v="Retail"/>
    <s v="K. Singh"/>
    <x v="4"/>
    <s v="LAP-3393"/>
    <n v="498.5"/>
    <n v="755.87"/>
    <s v="High"/>
    <n v="0.13"/>
    <n v="40"/>
    <n v="26304.275999999998"/>
    <n v="19940"/>
    <n v="6364.275999999998"/>
    <n v="0.24194834330357537"/>
    <x v="0"/>
  </r>
  <r>
    <s v="ORD-2023-239789"/>
    <d v="2023-12-03T00:00:00"/>
    <s v="Q4-2023"/>
    <d v="2023-12-26T00:00:00"/>
    <n v="23"/>
    <s v="Americas"/>
    <x v="5"/>
    <s v="Rio de Janeiro"/>
    <s v="Education"/>
    <s v="Retail"/>
    <s v="O. Wang"/>
    <x v="3"/>
    <s v="PHN-4644"/>
    <n v="1303.1099999999999"/>
    <n v="1145.67"/>
    <s v="High"/>
    <n v="0.184"/>
    <n v="13"/>
    <n v="12153.267360000002"/>
    <n v="16940.43"/>
    <n v="-4787.1626399999986"/>
    <n v="-0.39389922875851208"/>
    <x v="0"/>
  </r>
  <r>
    <s v="ORD-2023-548874"/>
    <d v="2023-03-19T00:00:00"/>
    <s v="Q1-2023"/>
    <d v="2023-04-09T00:00:00"/>
    <n v="21"/>
    <s v="Europe"/>
    <x v="8"/>
    <s v="Manchester"/>
    <s v="Consumer"/>
    <s v="Retail"/>
    <s v="L. Okafor"/>
    <x v="6"/>
    <s v="ACC-9150"/>
    <n v="1082.17"/>
    <n v="1234.0999999999999"/>
    <s v="High"/>
    <n v="0.189"/>
    <n v="16"/>
    <n v="16013.681599999998"/>
    <n v="17314.72"/>
    <n v="-1301.0384000000031"/>
    <n v="-8.124542703534228E-2"/>
    <x v="0"/>
  </r>
  <r>
    <s v="ORD-2024-347736"/>
    <d v="2024-05-22T00:00:00"/>
    <s v="Q2-2024"/>
    <d v="2024-06-06T00:00:00"/>
    <n v="15"/>
    <s v="Asia"/>
    <x v="2"/>
    <s v="Nagoya"/>
    <s v="Corporate"/>
    <s v="Distributor"/>
    <s v="C. Otieno"/>
    <x v="5"/>
    <s v="MON-6870"/>
    <n v="673.88"/>
    <n v="1228.01"/>
    <s v="High"/>
    <n v="0.105"/>
    <n v="13"/>
    <n v="14287.896349999999"/>
    <n v="8760.44"/>
    <n v="5527.4563499999986"/>
    <n v="0.38686285332689996"/>
    <x v="0"/>
  </r>
  <r>
    <s v="ORD-2023-749324"/>
    <d v="2023-08-19T00:00:00"/>
    <s v="Q3-2023"/>
    <d v="2023-09-07T00:00:00"/>
    <n v="19"/>
    <s v="Africa"/>
    <x v="11"/>
    <s v="Johannesburg"/>
    <s v="Enterprise"/>
    <s v="Retail"/>
    <s v="D. Smith"/>
    <x v="5"/>
    <s v="MON-2296"/>
    <n v="494.61"/>
    <n v="605.23"/>
    <s v="High"/>
    <n v="0.20399999999999999"/>
    <n v="18"/>
    <n v="8671.7354400000004"/>
    <n v="8902.98"/>
    <n v="-231.24455999999918"/>
    <n v="-2.6666468505639647E-2"/>
    <x v="0"/>
  </r>
  <r>
    <s v="ORD-2023-809913"/>
    <d v="2023-04-21T00:00:00"/>
    <s v="Q2-2023"/>
    <d v="2023-05-10T00:00:00"/>
    <n v="19"/>
    <s v="Asia"/>
    <x v="9"/>
    <s v="Shanghai"/>
    <s v="Corporate"/>
    <s v="Retail"/>
    <s v="A. Patel"/>
    <x v="0"/>
    <s v="CMP-7371"/>
    <n v="882.33"/>
    <n v="1880.15"/>
    <s v="High"/>
    <n v="0.05"/>
    <n v="5"/>
    <n v="8930.7124999999996"/>
    <n v="4411.6500000000005"/>
    <n v="4519.0624999999991"/>
    <n v="0.50601365792482955"/>
    <x v="0"/>
  </r>
  <r>
    <s v="ORD-2024-287210"/>
    <d v="2024-03-18T00:00:00"/>
    <s v="Q1-2024"/>
    <d v="2024-03-21T00:00:00"/>
    <n v="3"/>
    <s v="Europe"/>
    <x v="6"/>
    <s v="Munich"/>
    <s v="Small Business"/>
    <s v="Online"/>
    <s v="M. Rossi"/>
    <x v="6"/>
    <s v="ACC-2761"/>
    <n v="910.63"/>
    <n v="1269.4000000000001"/>
    <s v="High"/>
    <n v="6.8000000000000005E-2"/>
    <n v="9"/>
    <n v="10647.727199999999"/>
    <n v="8195.67"/>
    <n v="2452.0571999999993"/>
    <n v="0.23028925834989455"/>
    <x v="1"/>
  </r>
  <r>
    <s v="ORD-2025-640677"/>
    <d v="2025-04-09T00:00:00"/>
    <s v="Q2-2025"/>
    <d v="2025-05-06T00:00:00"/>
    <n v="27"/>
    <s v="Americas"/>
    <x v="5"/>
    <s v="Brasília"/>
    <s v="Enterprise"/>
    <s v="Marketplace"/>
    <s v="F. Müller"/>
    <x v="4"/>
    <s v="LAP-4517"/>
    <n v="264.19"/>
    <n v="620.92999999999995"/>
    <s v="High"/>
    <n v="0.14199999999999999"/>
    <n v="12"/>
    <n v="6393.0952799999995"/>
    <n v="3170.2799999999997"/>
    <n v="3222.8152799999998"/>
    <n v="0.50410875152794532"/>
    <x v="0"/>
  </r>
  <r>
    <s v="ORD-2024-939873"/>
    <d v="2024-04-12T00:00:00"/>
    <s v="Q2-2024"/>
    <d v="2024-05-07T00:00:00"/>
    <n v="25"/>
    <s v="Africa"/>
    <x v="11"/>
    <s v="Johannesburg"/>
    <s v="Education"/>
    <s v="Distributor"/>
    <s v="A. Patel"/>
    <x v="4"/>
    <s v="LAP-8489"/>
    <n v="1376.51"/>
    <n v="1455.91"/>
    <s v="High"/>
    <n v="0.185"/>
    <n v="17"/>
    <n v="20171.63305"/>
    <n v="23400.67"/>
    <n v="-3229.0369499999979"/>
    <n v="-0.1600781127634085"/>
    <x v="0"/>
  </r>
  <r>
    <s v="ORD-2024-800947"/>
    <d v="2024-12-15T00:00:00"/>
    <s v="Q4-2024"/>
    <d v="2024-12-20T00:00:00"/>
    <n v="5"/>
    <s v="Asia"/>
    <x v="9"/>
    <s v="Shenzhen"/>
    <s v="Small Business"/>
    <s v="Direct"/>
    <s v="J. Njeri"/>
    <x v="2"/>
    <s v="NET-1846"/>
    <n v="717.55"/>
    <n v="546.42999999999995"/>
    <s v="High"/>
    <n v="4.7E-2"/>
    <n v="18"/>
    <n v="9373.460219999999"/>
    <n v="12915.9"/>
    <n v="-3542.4397800000006"/>
    <n v="-0.37792231437026369"/>
    <x v="1"/>
  </r>
  <r>
    <s v="ORD-2023-382272"/>
    <d v="2023-05-20T00:00:00"/>
    <s v="Q2-2023"/>
    <d v="2023-05-27T00:00:00"/>
    <n v="7"/>
    <s v="Africa"/>
    <x v="11"/>
    <s v="Durban"/>
    <s v="Corporate"/>
    <s v="Distributor"/>
    <s v="A. Patel"/>
    <x v="0"/>
    <s v="CMP-5208"/>
    <n v="917.88"/>
    <n v="1347.92"/>
    <s v="High"/>
    <n v="0.3"/>
    <n v="5"/>
    <n v="4717.72"/>
    <n v="4589.3999999999996"/>
    <n v="128.32000000000062"/>
    <n v="2.7199579457873848E-2"/>
    <x v="1"/>
  </r>
  <r>
    <s v="ORD-2023-722117"/>
    <d v="2023-09-18T00:00:00"/>
    <s v="Q3-2023"/>
    <d v="2023-10-08T00:00:00"/>
    <n v="20"/>
    <s v="Asia"/>
    <x v="4"/>
    <s v="Delhi"/>
    <s v="Small Business"/>
    <s v="Direct"/>
    <s v="B. Chen"/>
    <x v="0"/>
    <s v="CMP-1009"/>
    <n v="825.64"/>
    <n v="1108.43"/>
    <s v="High"/>
    <n v="0.114"/>
    <n v="7"/>
    <n v="6874.4828600000001"/>
    <n v="5779.48"/>
    <n v="1095.0028600000005"/>
    <n v="0.15928512475773349"/>
    <x v="0"/>
  </r>
  <r>
    <s v="ORD-2024-446699"/>
    <d v="2024-08-28T00:00:00"/>
    <s v="Q3-2024"/>
    <d v="2024-09-25T00:00:00"/>
    <n v="28"/>
    <s v="Americas"/>
    <x v="5"/>
    <s v="Rio de Janeiro"/>
    <s v="Non-Profit"/>
    <s v="Online"/>
    <s v="Unknown"/>
    <x v="6"/>
    <s v="ACC-4490"/>
    <n v="1394.65"/>
    <n v="3144.1"/>
    <s v="High"/>
    <n v="0.13400000000000001"/>
    <n v="13"/>
    <n v="35396.277799999996"/>
    <n v="18130.45"/>
    <n v="17265.827799999995"/>
    <n v="0.4877865378263021"/>
    <x v="0"/>
  </r>
  <r>
    <s v="ORD-2024-451005"/>
    <d v="2024-06-30T00:00:00"/>
    <s v="Q2-2024"/>
    <d v="2024-07-07T00:00:00"/>
    <n v="7"/>
    <s v="Americas"/>
    <x v="5"/>
    <s v="Rio de Janeiro"/>
    <s v="Small Business"/>
    <s v="Direct"/>
    <s v="L. Okafor"/>
    <x v="6"/>
    <s v="ACC-9162"/>
    <n v="1112.98"/>
    <n v="2095.73"/>
    <s v="High"/>
    <n v="7.1999999999999995E-2"/>
    <n v="17"/>
    <n v="33062.236480000007"/>
    <n v="18920.66"/>
    <n v="14141.576480000007"/>
    <n v="0.42772594916724777"/>
    <x v="1"/>
  </r>
  <r>
    <s v="ORD-2023-290279"/>
    <d v="2023-06-14T00:00:00"/>
    <s v="Q2-2023"/>
    <d v="2023-06-16T00:00:00"/>
    <n v="2"/>
    <s v="Europe"/>
    <x v="8"/>
    <s v="Manchester"/>
    <s v="Non-Profit"/>
    <s v="Direct"/>
    <s v="K. Singh"/>
    <x v="0"/>
    <s v="CMP-5820"/>
    <n v="357.36"/>
    <n v="703.62"/>
    <s v="High"/>
    <n v="0.25700000000000001"/>
    <n v="20"/>
    <n v="10455.7932"/>
    <n v="7147.2000000000007"/>
    <n v="3308.5931999999993"/>
    <n v="0.31643636563125593"/>
    <x v="1"/>
  </r>
  <r>
    <s v="ORD-2024-192263"/>
    <d v="2024-11-21T00:00:00"/>
    <s v="Q4-2024"/>
    <d v="2024-12-21T00:00:00"/>
    <n v="30"/>
    <s v="Europe"/>
    <x v="7"/>
    <s v="Marseille"/>
    <s v="Small Business"/>
    <s v="Direct"/>
    <s v="I. Johnson"/>
    <x v="5"/>
    <s v="MON-7943"/>
    <n v="1122.68"/>
    <n v="1997.19"/>
    <s v="High"/>
    <n v="0.186"/>
    <n v="3"/>
    <n v="4877.1379800000004"/>
    <n v="3368.04"/>
    <n v="1509.0979800000005"/>
    <n v="0.30942285951073306"/>
    <x v="0"/>
  </r>
  <r>
    <s v="ORD-2023-159379"/>
    <d v="2023-02-08T00:00:00"/>
    <s v="Q1-2023"/>
    <d v="2023-02-11T00:00:00"/>
    <n v="3"/>
    <s v="Africa"/>
    <x v="11"/>
    <s v="Cape Town"/>
    <s v="Corporate"/>
    <s v="Direct"/>
    <s v="M. Rossi"/>
    <x v="2"/>
    <s v="NET-5018"/>
    <n v="1410.05"/>
    <n v="2763.95"/>
    <s v="High"/>
    <n v="0.161"/>
    <n v="26"/>
    <n v="60292.805299999993"/>
    <n v="36661.299999999996"/>
    <n v="23631.505299999997"/>
    <n v="0.39194569206750779"/>
    <x v="1"/>
  </r>
  <r>
    <s v="ORD-2023-343322"/>
    <d v="2023-08-19T00:00:00"/>
    <s v="Q3-2023"/>
    <d v="2023-09-12T00:00:00"/>
    <n v="24"/>
    <s v="Americas"/>
    <x v="3"/>
    <s v="Vancouver"/>
    <s v="Enterprise"/>
    <s v="Retail"/>
    <s v="I. Johnson"/>
    <x v="1"/>
    <s v="PRN-9669"/>
    <n v="1183.95"/>
    <n v="1503.53"/>
    <s v="High"/>
    <n v="0.24099999999999999"/>
    <n v="16"/>
    <n v="18258.868320000001"/>
    <n v="18943.2"/>
    <n v="-684.33167999999932"/>
    <n v="-3.7479413729623705E-2"/>
    <x v="0"/>
  </r>
  <r>
    <s v="ORD-2025-114382"/>
    <d v="2025-05-14T00:00:00"/>
    <s v="Q2-2025"/>
    <d v="2025-05-24T00:00:00"/>
    <n v="10"/>
    <s v="Europe"/>
    <x v="7"/>
    <s v="Paris"/>
    <s v="Small Business"/>
    <s v="Marketplace"/>
    <s v="K. Singh"/>
    <x v="0"/>
    <s v="CMP-2865"/>
    <n v="170.39"/>
    <n v="388.04"/>
    <s v="High"/>
    <n v="8.4000000000000005E-2"/>
    <n v="15"/>
    <n v="5331.6696000000002"/>
    <n v="2555.85"/>
    <n v="2775.8196000000003"/>
    <n v="0.52062858508711796"/>
    <x v="0"/>
  </r>
  <r>
    <s v="ORD-2025-488349"/>
    <d v="2025-04-23T00:00:00"/>
    <s v="Q2-2025"/>
    <d v="2025-04-30T00:00:00"/>
    <n v="7"/>
    <s v="Americas"/>
    <x v="10"/>
    <s v="San Francisco"/>
    <s v="Non-Profit"/>
    <s v="Distributor"/>
    <s v="D. Smith"/>
    <x v="5"/>
    <s v="MON-3371"/>
    <n v="23.24"/>
    <n v="44.57"/>
    <s v="High"/>
    <n v="0.215"/>
    <n v="15"/>
    <n v="524.81174999999996"/>
    <n v="348.59999999999997"/>
    <n v="176.21174999999999"/>
    <n v="0.33576182316802167"/>
    <x v="1"/>
  </r>
  <r>
    <s v="ORD-2025-330203"/>
    <d v="2025-03-25T00:00:00"/>
    <s v="Q1-2025"/>
    <d v="2025-04-17T00:00:00"/>
    <n v="23"/>
    <s v="Europe"/>
    <x v="8"/>
    <s v="London"/>
    <s v="Consumer"/>
    <s v="Retail"/>
    <s v="H. Kim"/>
    <x v="2"/>
    <s v="NET-7166"/>
    <n v="1421.19"/>
    <n v="1808.26"/>
    <s v="High"/>
    <n v="0.104"/>
    <n v="13"/>
    <n v="21062.61248"/>
    <n v="18475.47"/>
    <n v="2587.1424799999986"/>
    <n v="0.12283103449093123"/>
    <x v="0"/>
  </r>
  <r>
    <s v="ORD-2023-841426"/>
    <d v="2023-12-22T00:00:00"/>
    <s v="Q4-2023"/>
    <d v="2023-12-23T00:00:00"/>
    <n v="1"/>
    <s v="Africa"/>
    <x v="11"/>
    <s v="Cape Town"/>
    <s v="Non-Profit"/>
    <s v="Marketplace"/>
    <s v="D. Smith"/>
    <x v="0"/>
    <s v="CMP-4531"/>
    <n v="1186.18"/>
    <n v="1285.0899999999999"/>
    <s v="High"/>
    <n v="7.0000000000000007E-2"/>
    <n v="11"/>
    <n v="13146.470699999998"/>
    <n v="13047.980000000001"/>
    <n v="98.49069999999665"/>
    <n v="7.4917977796121861E-3"/>
    <x v="1"/>
  </r>
  <r>
    <s v="ORD-2024-594592"/>
    <d v="2024-04-06T00:00:00"/>
    <s v="Q2-2024"/>
    <d v="2024-04-25T00:00:00"/>
    <n v="19"/>
    <s v="Asia"/>
    <x v="9"/>
    <s v="Shanghai"/>
    <s v="Corporate"/>
    <s v="Retail"/>
    <s v="K. Singh"/>
    <x v="0"/>
    <s v="CMP-8196"/>
    <n v="1366.48"/>
    <n v="1678.14"/>
    <s v="High"/>
    <n v="0.154"/>
    <n v="10"/>
    <n v="14197.064400000001"/>
    <n v="13664.8"/>
    <n v="532.26440000000184"/>
    <n v="3.7491159087790132E-2"/>
    <x v="0"/>
  </r>
  <r>
    <s v="ORD-2025-863978"/>
    <d v="2025-08-07T00:00:00"/>
    <s v="Q3-2025"/>
    <d v="2025-08-19T00:00:00"/>
    <n v="12"/>
    <s v="Africa"/>
    <x v="0"/>
    <s v="Nakuru"/>
    <s v="Corporate"/>
    <s v="Unknown"/>
    <s v="M. Rossi"/>
    <x v="0"/>
    <s v="CMP-2854"/>
    <n v="601.51"/>
    <n v="679.35"/>
    <s v="High"/>
    <n v="0.188"/>
    <n v="3"/>
    <n v="1654.8966000000003"/>
    <n v="1804.53"/>
    <n v="-149.63339999999971"/>
    <n v="-9.0418579626062243E-2"/>
    <x v="0"/>
  </r>
  <r>
    <s v="ORD-2024-604471"/>
    <d v="2024-01-21T00:00:00"/>
    <s v="Q1-2024"/>
    <d v="2024-01-25T00:00:00"/>
    <n v="4"/>
    <s v="Asia"/>
    <x v="4"/>
    <s v="Delhi"/>
    <s v="Consumer"/>
    <s v="Direct"/>
    <s v="C. Otieno"/>
    <x v="5"/>
    <s v="MON-8973"/>
    <n v="523.70000000000005"/>
    <n v="1109.92"/>
    <s v="High"/>
    <n v="0.03"/>
    <n v="11"/>
    <n v="11842.8464"/>
    <n v="5760.7000000000007"/>
    <n v="6082.1463999999996"/>
    <n v="0.51357133197302973"/>
    <x v="1"/>
  </r>
  <r>
    <s v="ORD-2023-258768"/>
    <d v="2023-06-29T00:00:00"/>
    <s v="Q2-2023"/>
    <d v="2023-07-02T00:00:00"/>
    <n v="3"/>
    <s v="Asia"/>
    <x v="2"/>
    <s v="Nagoya"/>
    <s v="Education"/>
    <s v="Marketplace"/>
    <s v="F. Müller"/>
    <x v="5"/>
    <s v="MON-2990"/>
    <n v="55.65"/>
    <n v="83.57"/>
    <s v="High"/>
    <n v="6.6000000000000003E-2"/>
    <n v="8"/>
    <n v="624.43503999999996"/>
    <n v="445.2"/>
    <n v="179.23503999999997"/>
    <n v="0.2870355257449998"/>
    <x v="1"/>
  </r>
  <r>
    <s v="ORD-2025-626047"/>
    <d v="2025-04-28T00:00:00"/>
    <s v="Q2-2025"/>
    <d v="2025-05-15T00:00:00"/>
    <n v="17"/>
    <s v="Asia"/>
    <x v="2"/>
    <s v="Nagoya"/>
    <s v="Education"/>
    <s v="Direct"/>
    <s v="N. Brown"/>
    <x v="2"/>
    <s v="NET-1966"/>
    <n v="691.19"/>
    <n v="1284.3"/>
    <s v="High"/>
    <n v="7.3999999999999996E-2"/>
    <n v="7"/>
    <n v="8324.8326000000015"/>
    <n v="4838.33"/>
    <n v="3486.5026000000016"/>
    <n v="0.41880753253825198"/>
    <x v="0"/>
  </r>
  <r>
    <s v="ORD-2025-526752"/>
    <d v="2025-06-09T00:00:00"/>
    <s v="Q2-2025"/>
    <d v="2025-06-25T00:00:00"/>
    <n v="16"/>
    <s v="Asia"/>
    <x v="4"/>
    <s v="Hyderabad"/>
    <s v="Enterprise"/>
    <s v="Distributor"/>
    <s v="M. Rossi"/>
    <x v="3"/>
    <s v="PHN-3482"/>
    <n v="527.33000000000004"/>
    <n v="911.72"/>
    <s v="High"/>
    <n v="0.14399999999999999"/>
    <n v="25"/>
    <n v="19510.808000000001"/>
    <n v="13183.250000000002"/>
    <n v="6327.5579999999991"/>
    <n v="0.32431040272652978"/>
    <x v="0"/>
  </r>
  <r>
    <s v="ORD-2023-374486"/>
    <d v="2023-06-24T00:00:00"/>
    <s v="Q2-2023"/>
    <d v="2023-07-01T00:00:00"/>
    <n v="7"/>
    <s v="Americas"/>
    <x v="5"/>
    <s v="Rio de Janeiro"/>
    <s v="Non-Profit"/>
    <s v="Retail"/>
    <s v="E. Garcia"/>
    <x v="1"/>
    <s v="PRN-6490"/>
    <n v="804.01"/>
    <n v="1405.07"/>
    <s v="High"/>
    <n v="9.6000000000000002E-2"/>
    <n v="8"/>
    <n v="10161.46624"/>
    <n v="6432.08"/>
    <n v="3729.3862399999998"/>
    <n v="0.36701260939287439"/>
    <x v="1"/>
  </r>
  <r>
    <s v="ORD-2024-997336"/>
    <d v="2024-10-04T00:00:00"/>
    <s v="Q4-2024"/>
    <d v="2024-11-02T00:00:00"/>
    <n v="29"/>
    <s v="Africa"/>
    <x v="1"/>
    <s v="Abuja"/>
    <s v="Corporate"/>
    <s v="Distributor"/>
    <s v="F. Müller"/>
    <x v="6"/>
    <s v="ACC-9038"/>
    <n v="412.09"/>
    <n v="968.94"/>
    <s v="High"/>
    <n v="9.9000000000000005E-2"/>
    <n v="23"/>
    <n v="20079.343620000003"/>
    <n v="9478.07"/>
    <n v="10601.273620000004"/>
    <n v="0.52796913189137418"/>
    <x v="0"/>
  </r>
  <r>
    <s v="ORD-2025-725646"/>
    <d v="2025-09-10T00:00:00"/>
    <s v="Q3-2025"/>
    <d v="2025-09-30T00:00:00"/>
    <n v="20"/>
    <s v="Africa"/>
    <x v="0"/>
    <s v="Mombasa"/>
    <s v="Corporate"/>
    <s v="Direct"/>
    <s v="L. Okafor"/>
    <x v="3"/>
    <s v="PHN-6954"/>
    <n v="1009.48"/>
    <n v="1088.81"/>
    <s v="High"/>
    <n v="0.16"/>
    <n v="6"/>
    <n v="5487.6023999999998"/>
    <n v="6056.88"/>
    <n v="-569.27760000000035"/>
    <n v="-0.10373885688219693"/>
    <x v="0"/>
  </r>
  <r>
    <s v="ORD-2023-868734"/>
    <d v="2023-04-06T00:00:00"/>
    <s v="Q2-2023"/>
    <d v="2023-04-27T00:00:00"/>
    <n v="21"/>
    <s v="Europe"/>
    <x v="8"/>
    <s v="Manchester"/>
    <s v="Enterprise"/>
    <s v="Distributor"/>
    <s v="I. Johnson"/>
    <x v="1"/>
    <s v="PRN-8970"/>
    <n v="1084.79"/>
    <n v="2484.9899999999998"/>
    <s v="High"/>
    <n v="3.4000000000000002E-2"/>
    <n v="18"/>
    <n v="43209.006119999991"/>
    <n v="19526.22"/>
    <n v="23682.78611999999"/>
    <n v="0.54809837685755114"/>
    <x v="0"/>
  </r>
  <r>
    <s v="ORD-2025-262491"/>
    <d v="2025-08-01T00:00:00"/>
    <s v="Q3-2025"/>
    <d v="2025-08-16T00:00:00"/>
    <n v="15"/>
    <s v="Asia"/>
    <x v="4"/>
    <s v="Unknown"/>
    <s v="Enterprise"/>
    <s v="Direct"/>
    <s v="O. Wang"/>
    <x v="5"/>
    <s v="MON-1822"/>
    <n v="24.44"/>
    <n v="28.69"/>
    <s v="High"/>
    <n v="0.14599999999999999"/>
    <n v="6"/>
    <n v="147.00756000000001"/>
    <n v="146.64000000000001"/>
    <n v="0.36755999999999744"/>
    <n v="2.5002795774584476E-3"/>
    <x v="0"/>
  </r>
  <r>
    <s v="ORD-2024-638884"/>
    <d v="2024-05-28T00:00:00"/>
    <s v="Q2-2024"/>
    <d v="2024-06-04T00:00:00"/>
    <n v="7"/>
    <s v="Africa"/>
    <x v="1"/>
    <s v="Abuja"/>
    <s v="Enterprise"/>
    <s v="Online"/>
    <s v="F. Müller"/>
    <x v="6"/>
    <s v="ACC-5177"/>
    <n v="1227.08"/>
    <n v="1896.62"/>
    <s v="High"/>
    <n v="0"/>
    <n v="18"/>
    <n v="34139.159999999996"/>
    <n v="22087.439999999999"/>
    <n v="12051.719999999998"/>
    <n v="0.353017473189147"/>
    <x v="1"/>
  </r>
  <r>
    <s v="ORD-2025-541501"/>
    <d v="2025-07-22T00:00:00"/>
    <s v="Q3-2025"/>
    <d v="2025-08-18T00:00:00"/>
    <n v="27"/>
    <s v="Asia"/>
    <x v="9"/>
    <s v="Shenzhen"/>
    <s v="Non-Profit"/>
    <s v="Marketplace"/>
    <s v="M. Rossi"/>
    <x v="2"/>
    <s v="NET-1804"/>
    <n v="547.32000000000005"/>
    <n v="419.17"/>
    <s v="High"/>
    <n v="9.1999999999999998E-2"/>
    <n v="14"/>
    <n v="5328.4890400000004"/>
    <n v="7662.4800000000005"/>
    <n v="-2333.9909600000001"/>
    <n v="-0.43802116181137907"/>
    <x v="0"/>
  </r>
  <r>
    <s v="ORD-2023-422918"/>
    <d v="2023-02-28T00:00:00"/>
    <s v="Q1-2023"/>
    <d v="2023-03-20T00:00:00"/>
    <n v="20"/>
    <s v="Europe"/>
    <x v="6"/>
    <s v="Berlin"/>
    <s v="Small Business"/>
    <s v="Direct"/>
    <s v="H. Kim"/>
    <x v="4"/>
    <s v="LAP-3679"/>
    <n v="1200.78"/>
    <n v="2001.17"/>
    <s v="High"/>
    <n v="0.29199999999999998"/>
    <n v="18"/>
    <n v="25502.910479999999"/>
    <n v="21614.04"/>
    <n v="3888.8704799999978"/>
    <n v="0.15248732034132906"/>
    <x v="0"/>
  </r>
  <r>
    <s v="ORD-2025-328504"/>
    <d v="2025-01-27T00:00:00"/>
    <s v="Q1-2025"/>
    <d v="2025-02-15T00:00:00"/>
    <n v="19"/>
    <s v="Asia"/>
    <x v="9"/>
    <s v="Shenzhen"/>
    <s v="Non-Profit"/>
    <s v="Direct"/>
    <s v="L. Okafor"/>
    <x v="3"/>
    <s v="PHN-8368"/>
    <n v="1253.22"/>
    <n v="3104.71"/>
    <s v="High"/>
    <n v="0"/>
    <n v="17"/>
    <n v="52780.07"/>
    <n v="21304.74"/>
    <n v="31475.329999999998"/>
    <n v="0.59634877331538205"/>
    <x v="0"/>
  </r>
  <r>
    <s v="ORD-2024-851883"/>
    <d v="2024-01-13T00:00:00"/>
    <s v="Q1-2024"/>
    <d v="2024-01-22T00:00:00"/>
    <n v="9"/>
    <s v="Asia"/>
    <x v="4"/>
    <s v="Mumbai"/>
    <s v="Enterprise"/>
    <s v="Marketplace"/>
    <s v="J. Njeri"/>
    <x v="0"/>
    <s v="CMP-8141"/>
    <n v="313.60000000000002"/>
    <n v="334.28"/>
    <s v="High"/>
    <n v="0.14000000000000001"/>
    <n v="22"/>
    <n v="6324.5775999999996"/>
    <n v="6899.2000000000007"/>
    <n v="-574.62240000000111"/>
    <n v="-9.0855458868905517E-2"/>
    <x v="0"/>
  </r>
  <r>
    <s v="ORD-2025-662997"/>
    <d v="2025-03-31T00:00:00"/>
    <s v="Q1-2025"/>
    <d v="2025-04-04T00:00:00"/>
    <n v="4"/>
    <s v="Africa"/>
    <x v="0"/>
    <s v="Nakuru"/>
    <s v="Corporate"/>
    <s v="Direct"/>
    <s v="C. Otieno"/>
    <x v="4"/>
    <s v="LAP-7136"/>
    <n v="862.08"/>
    <n v="1952.83"/>
    <s v="High"/>
    <n v="0"/>
    <n v="7"/>
    <n v="13669.81"/>
    <n v="6034.56"/>
    <n v="7635.2499999999991"/>
    <n v="0.5585483631447693"/>
    <x v="1"/>
  </r>
  <r>
    <s v="ORD-2024-478165"/>
    <d v="2024-12-05T00:00:00"/>
    <s v="Q4-2024"/>
    <d v="2024-12-28T00:00:00"/>
    <n v="23"/>
    <s v="Americas"/>
    <x v="3"/>
    <s v="Vancouver"/>
    <s v="Corporate"/>
    <s v="Direct"/>
    <s v="F. Müller"/>
    <x v="6"/>
    <s v="ACC-2386"/>
    <n v="107.03"/>
    <n v="242.29"/>
    <s v="High"/>
    <n v="0.18"/>
    <n v="30"/>
    <n v="5960.3340000000007"/>
    <n v="3210.9"/>
    <n v="2749.4340000000007"/>
    <n v="0.46128857879440988"/>
    <x v="0"/>
  </r>
  <r>
    <s v="ORD-2024-771210"/>
    <d v="2024-09-14T00:00:00"/>
    <s v="Q3-2024"/>
    <d v="2024-10-05T00:00:00"/>
    <n v="21"/>
    <s v="Asia"/>
    <x v="9"/>
    <s v="Shanghai"/>
    <s v="Small Business"/>
    <s v="Online"/>
    <s v="H. Kim"/>
    <x v="4"/>
    <s v="LAP-5150"/>
    <n v="1405.56"/>
    <n v="2968.87"/>
    <s v="High"/>
    <n v="0.16900000000000001"/>
    <n v="5"/>
    <n v="12335.654849999999"/>
    <n v="7027.7999999999993"/>
    <n v="5307.8548499999997"/>
    <n v="0.4302856163327235"/>
    <x v="0"/>
  </r>
  <r>
    <s v="ORD-2024-155337"/>
    <d v="2024-05-21T00:00:00"/>
    <s v="Q2-2024"/>
    <d v="2024-05-27T00:00:00"/>
    <n v="6"/>
    <s v="Africa"/>
    <x v="11"/>
    <s v="Johannesburg"/>
    <s v="Non-Profit"/>
    <s v="Online"/>
    <s v="M. Rossi"/>
    <x v="0"/>
    <s v="CMP-8101"/>
    <n v="1157.51"/>
    <n v="1394.3"/>
    <s v="High"/>
    <n v="0.27800000000000002"/>
    <n v="12"/>
    <n v="12080.215199999999"/>
    <n v="13890.119999999999"/>
    <n v="-1809.9048000000003"/>
    <n v="-0.14982388724333326"/>
    <x v="1"/>
  </r>
  <r>
    <s v="ORD-2023-251563"/>
    <d v="2023-05-11T00:00:00"/>
    <s v="Q2-2023"/>
    <d v="2023-06-07T00:00:00"/>
    <n v="27"/>
    <s v="Africa"/>
    <x v="0"/>
    <s v="Mombasa"/>
    <s v="Corporate"/>
    <s v="Online"/>
    <s v="J. Njeri"/>
    <x v="3"/>
    <s v="PHN-8970"/>
    <n v="12.85"/>
    <n v="15.41"/>
    <s v="High"/>
    <n v="0.13700000000000001"/>
    <n v="39"/>
    <n v="518.65436999999997"/>
    <n v="501.15"/>
    <n v="17.504369999999994"/>
    <n v="3.3749585489851353E-2"/>
    <x v="0"/>
  </r>
  <r>
    <s v="ORD-2024-286833"/>
    <d v="2024-08-14T00:00:00"/>
    <s v="Q3-2024"/>
    <d v="2024-09-04T00:00:00"/>
    <n v="21"/>
    <s v="Europe"/>
    <x v="8"/>
    <s v="Manchester"/>
    <s v="Non-Profit"/>
    <s v="Online"/>
    <s v="J. Njeri"/>
    <x v="3"/>
    <s v="PHN-2341"/>
    <n v="1138.8"/>
    <n v="2250.81"/>
    <s v="High"/>
    <n v="0.123"/>
    <n v="12"/>
    <n v="23687.524440000001"/>
    <n v="13665.599999999999"/>
    <n v="10021.924440000003"/>
    <n v="0.42308872188756258"/>
    <x v="0"/>
  </r>
  <r>
    <s v="ORD-2024-792558"/>
    <d v="2024-10-16T00:00:00"/>
    <s v="Q4-2024"/>
    <d v="2024-11-08T00:00:00"/>
    <n v="23"/>
    <s v="Asia"/>
    <x v="2"/>
    <s v="Osaka"/>
    <s v="Small Business"/>
    <s v="Retail"/>
    <s v="J. Njeri"/>
    <x v="2"/>
    <s v="NET-6387"/>
    <n v="82.14"/>
    <n v="166.04"/>
    <s v="High"/>
    <n v="0"/>
    <n v="10"/>
    <n v="1660.3999999999999"/>
    <n v="821.4"/>
    <n v="838.99999999999989"/>
    <n v="0.50529992772825827"/>
    <x v="0"/>
  </r>
  <r>
    <s v="ORD-2024-166150"/>
    <d v="2024-06-02T00:00:00"/>
    <s v="Q2-2024"/>
    <d v="2024-06-08T00:00:00"/>
    <n v="6"/>
    <s v="Africa"/>
    <x v="0"/>
    <s v="Kisumu"/>
    <s v="Consumer"/>
    <s v="Marketplace"/>
    <s v="A. Patel"/>
    <x v="6"/>
    <s v="ACC-9820"/>
    <n v="292.94"/>
    <n v="356.55"/>
    <s v="High"/>
    <n v="0.22900000000000001"/>
    <n v="2"/>
    <n v="549.80010000000004"/>
    <n v="585.88"/>
    <n v="-36.079899999999952"/>
    <n v="-6.5623669402751925E-2"/>
    <x v="1"/>
  </r>
  <r>
    <s v="ORD-2024-909942"/>
    <d v="2024-06-09T00:00:00"/>
    <s v="Q2-2024"/>
    <d v="2024-07-07T00:00:00"/>
    <n v="28"/>
    <s v="Asia"/>
    <x v="9"/>
    <s v="Shenzhen"/>
    <s v="Corporate"/>
    <s v="Online"/>
    <s v="J. Njeri"/>
    <x v="0"/>
    <s v="CMP-6392"/>
    <n v="550.22"/>
    <n v="1025.05"/>
    <s v="High"/>
    <n v="0"/>
    <n v="27"/>
    <n v="27676.35"/>
    <n v="14855.94"/>
    <n v="12820.409999999998"/>
    <n v="0.46322618408858102"/>
    <x v="0"/>
  </r>
  <r>
    <s v="ORD-2024-223618"/>
    <d v="2024-06-10T00:00:00"/>
    <s v="Q2-2024"/>
    <d v="2024-06-11T00:00:00"/>
    <n v="1"/>
    <s v="Europe"/>
    <x v="8"/>
    <s v="Birmingham"/>
    <s v="Small Business"/>
    <s v="Marketplace"/>
    <s v="M. Rossi"/>
    <x v="4"/>
    <s v="LAP-9230"/>
    <n v="1187.1300000000001"/>
    <n v="1795.17"/>
    <s v="High"/>
    <n v="1.2E-2"/>
    <n v="17"/>
    <n v="30151.675319999998"/>
    <n v="20181.210000000003"/>
    <n v="9970.4653199999957"/>
    <n v="0.33067699271046663"/>
    <x v="1"/>
  </r>
  <r>
    <s v="ORD-2024-919471"/>
    <d v="2024-06-29T00:00:00"/>
    <s v="Q2-2024"/>
    <d v="2024-07-26T00:00:00"/>
    <n v="27"/>
    <s v="Africa"/>
    <x v="11"/>
    <s v="Durban"/>
    <s v="Enterprise"/>
    <s v="Distributor"/>
    <s v="B. Chen"/>
    <x v="2"/>
    <s v="NET-4241"/>
    <n v="5.36"/>
    <n v="4.37"/>
    <s v="High"/>
    <n v="0.11799999999999999"/>
    <n v="9"/>
    <n v="34.689059999999998"/>
    <n v="48.24"/>
    <n v="-13.550940000000004"/>
    <n v="-0.39064016148030545"/>
    <x v="0"/>
  </r>
  <r>
    <s v="ORD-2025-649239"/>
    <d v="2025-01-17T00:00:00"/>
    <s v="Q1-2025"/>
    <d v="2025-01-24T00:00:00"/>
    <n v="7"/>
    <s v="Americas"/>
    <x v="10"/>
    <s v="Austin"/>
    <s v="Enterprise"/>
    <s v="Online"/>
    <s v="G. Dubois"/>
    <x v="6"/>
    <s v="ACC-4511"/>
    <n v="142.09"/>
    <n v="218.5"/>
    <s v="High"/>
    <n v="0.11899999999999999"/>
    <n v="11"/>
    <n v="2117.4834999999998"/>
    <n v="1562.99"/>
    <n v="554.49349999999981"/>
    <n v="0.26186437816398561"/>
    <x v="1"/>
  </r>
  <r>
    <s v="ORD-2023-975863"/>
    <d v="2023-11-20T00:00:00"/>
    <s v="Q4-2023"/>
    <d v="2023-12-05T00:00:00"/>
    <n v="15"/>
    <s v="Asia"/>
    <x v="2"/>
    <s v="Tokyo"/>
    <s v="Enterprise"/>
    <s v="Retail"/>
    <s v="L. Okafor"/>
    <x v="2"/>
    <s v="NET-3033"/>
    <n v="354.24"/>
    <n v="249.87"/>
    <s v="High"/>
    <n v="0"/>
    <n v="6"/>
    <n v="1499.22"/>
    <n v="2125.44"/>
    <n v="-626.22"/>
    <n v="-0.41769720254532355"/>
    <x v="0"/>
  </r>
  <r>
    <s v="ORD-2023-869884"/>
    <d v="2023-03-02T00:00:00"/>
    <s v="Q1-2023"/>
    <d v="2023-03-05T00:00:00"/>
    <n v="3"/>
    <s v="Americas"/>
    <x v="5"/>
    <s v="Brasília"/>
    <s v="Enterprise"/>
    <s v="Direct"/>
    <s v="G. Dubois"/>
    <x v="5"/>
    <s v="MON-2828"/>
    <n v="1473.58"/>
    <n v="3436.52"/>
    <s v="High"/>
    <n v="0.108"/>
    <n v="8"/>
    <n v="24523.006720000001"/>
    <n v="11788.64"/>
    <n v="12734.366720000002"/>
    <n v="0.51928243813652564"/>
    <x v="1"/>
  </r>
  <r>
    <s v="ORD-2025-698069"/>
    <d v="2025-06-03T00:00:00"/>
    <s v="Q2-2025"/>
    <d v="2025-06-10T00:00:00"/>
    <n v="7"/>
    <s v="Americas"/>
    <x v="3"/>
    <s v="Toronto"/>
    <s v="Consumer"/>
    <s v="Distributor"/>
    <s v="O. Wang"/>
    <x v="1"/>
    <s v="PRN-6429"/>
    <n v="75.180000000000007"/>
    <n v="53.45"/>
    <s v="High"/>
    <n v="0.157"/>
    <n v="17"/>
    <n v="765.99195000000009"/>
    <n v="1278.0600000000002"/>
    <n v="-512.06805000000008"/>
    <n v="-0.66850317421743144"/>
    <x v="1"/>
  </r>
  <r>
    <s v="ORD-2024-474999"/>
    <d v="2024-12-27T00:00:00"/>
    <s v="Q4-2024"/>
    <d v="2025-01-02T00:00:00"/>
    <n v="6"/>
    <s v="Europe"/>
    <x v="6"/>
    <s v="Frankfurt"/>
    <s v="Education"/>
    <s v="Direct"/>
    <s v="F. Müller"/>
    <x v="4"/>
    <s v="LAP-8214"/>
    <n v="1391.99"/>
    <n v="3469.7"/>
    <s v="High"/>
    <n v="0.184"/>
    <n v="23"/>
    <n v="65119.329599999997"/>
    <n v="32015.77"/>
    <n v="33103.559599999993"/>
    <n v="0.50835227886006973"/>
    <x v="1"/>
  </r>
  <r>
    <s v="ORD-2023-427304"/>
    <d v="2023-06-09T00:00:00"/>
    <s v="Q2-2023"/>
    <d v="2023-06-19T00:00:00"/>
    <n v="10"/>
    <s v="Asia"/>
    <x v="9"/>
    <s v="Beijing"/>
    <s v="Enterprise"/>
    <s v="Retail"/>
    <s v="F. Müller"/>
    <x v="5"/>
    <s v="MON-9194"/>
    <n v="339.61"/>
    <n v="621.02"/>
    <s v="High"/>
    <n v="7.0999999999999994E-2"/>
    <n v="10"/>
    <n v="5769.2758000000003"/>
    <n v="3396.1000000000004"/>
    <n v="2373.1758"/>
    <n v="0.41134726129750981"/>
    <x v="0"/>
  </r>
  <r>
    <s v="ORD-2025-956101"/>
    <d v="2025-07-09T00:00:00"/>
    <s v="Q3-2025"/>
    <d v="2025-07-18T00:00:00"/>
    <n v="9"/>
    <s v="Americas"/>
    <x v="3"/>
    <s v="Vancouver"/>
    <s v="Education"/>
    <s v="Distributor"/>
    <s v="I. Johnson"/>
    <x v="4"/>
    <s v="LAP-2218"/>
    <n v="57.96"/>
    <n v="88.51"/>
    <s v="High"/>
    <n v="4.2999999999999997E-2"/>
    <n v="7"/>
    <n v="592.92849000000001"/>
    <n v="405.72"/>
    <n v="187.20848999999998"/>
    <n v="0.3157353595877978"/>
    <x v="0"/>
  </r>
  <r>
    <s v="ORD-2025-184082"/>
    <d v="2025-06-19T00:00:00"/>
    <s v="Q2-2025"/>
    <d v="2025-07-12T00:00:00"/>
    <n v="23"/>
    <s v="Europe"/>
    <x v="8"/>
    <s v="Unknown"/>
    <s v="Non-Profit"/>
    <s v="Direct"/>
    <s v="Unknown"/>
    <x v="2"/>
    <s v="NET-6370"/>
    <n v="801.24"/>
    <n v="1959.09"/>
    <s v="High"/>
    <n v="0.123"/>
    <n v="23"/>
    <n v="39516.804389999998"/>
    <n v="18428.52"/>
    <n v="21088.284389999997"/>
    <n v="0.53365358650651762"/>
    <x v="0"/>
  </r>
  <r>
    <s v="ORD-2023-576840"/>
    <d v="2023-11-19T00:00:00"/>
    <s v="Q4-2023"/>
    <d v="2023-12-13T00:00:00"/>
    <n v="24"/>
    <s v="Europe"/>
    <x v="7"/>
    <s v="Lyon"/>
    <s v="Non-Profit"/>
    <s v="Direct"/>
    <s v="H. Kim"/>
    <x v="5"/>
    <s v="MON-3745"/>
    <n v="1297.42"/>
    <n v="2742.97"/>
    <s v="High"/>
    <n v="6.9000000000000006E-2"/>
    <n v="9"/>
    <n v="22983.34563"/>
    <n v="11676.78"/>
    <n v="11306.565629999999"/>
    <n v="0.49194602961727291"/>
    <x v="0"/>
  </r>
  <r>
    <s v="ORD-2023-178249"/>
    <d v="2023-12-29T00:00:00"/>
    <s v="Q4-2023"/>
    <d v="2024-01-20T00:00:00"/>
    <n v="22"/>
    <s v="Africa"/>
    <x v="0"/>
    <s v="Kisumu"/>
    <s v="Corporate"/>
    <s v="Direct"/>
    <s v="L. Okafor"/>
    <x v="3"/>
    <s v="PHN-7924"/>
    <n v="1395.49"/>
    <n v="1679.42"/>
    <s v="High"/>
    <n v="0.20300000000000001"/>
    <n v="12"/>
    <n v="16061.972879999999"/>
    <n v="16745.88"/>
    <n v="-683.90712000000167"/>
    <n v="-4.2579272490964493E-2"/>
    <x v="0"/>
  </r>
  <r>
    <s v="ORD-2024-588972"/>
    <d v="2024-11-02T00:00:00"/>
    <s v="Q4-2024"/>
    <d v="2024-11-29T00:00:00"/>
    <n v="27"/>
    <s v="Americas"/>
    <x v="5"/>
    <s v="Brasília"/>
    <s v="Small Business"/>
    <s v="Direct"/>
    <s v="I. Johnson"/>
    <x v="2"/>
    <s v="NET-8561"/>
    <n v="1363.51"/>
    <n v="1433.9"/>
    <s v="High"/>
    <n v="5.7000000000000002E-2"/>
    <n v="8"/>
    <n v="10817.3416"/>
    <n v="10908.08"/>
    <n v="-90.738400000000183"/>
    <n v="-8.3882346842037592E-3"/>
    <x v="0"/>
  </r>
  <r>
    <s v="ORD-2023-603238"/>
    <d v="2023-08-21T00:00:00"/>
    <s v="Q3-2023"/>
    <d v="2023-09-04T00:00:00"/>
    <n v="14"/>
    <s v="Americas"/>
    <x v="3"/>
    <s v="Montreal"/>
    <s v="Education"/>
    <s v="Distributor"/>
    <s v="F. Müller"/>
    <x v="0"/>
    <s v="CMP-2136"/>
    <n v="178.19"/>
    <n v="284.43"/>
    <s v="High"/>
    <n v="8.8999999999999996E-2"/>
    <n v="8"/>
    <n v="2072.9258400000003"/>
    <n v="1425.52"/>
    <n v="647.40584000000035"/>
    <n v="0.31231500302972742"/>
    <x v="0"/>
  </r>
  <r>
    <s v="ORD-2023-883066"/>
    <d v="2023-08-12T00:00:00"/>
    <s v="Q3-2023"/>
    <d v="2023-09-06T00:00:00"/>
    <n v="25"/>
    <s v="Asia"/>
    <x v="9"/>
    <s v="Shanghai"/>
    <s v="Small Business"/>
    <s v="Retail"/>
    <s v="B. Chen"/>
    <x v="0"/>
    <s v="CMP-6352"/>
    <n v="950.77"/>
    <n v="694.78"/>
    <s v="High"/>
    <n v="8.4000000000000005E-2"/>
    <n v="14"/>
    <n v="8909.8587200000002"/>
    <n v="13310.779999999999"/>
    <n v="-4400.9212799999987"/>
    <n v="-0.49393839097821279"/>
    <x v="0"/>
  </r>
  <r>
    <s v="ORD-2024-584090"/>
    <d v="2024-06-07T00:00:00"/>
    <s v="Q2-2024"/>
    <d v="2024-06-26T00:00:00"/>
    <n v="19"/>
    <s v="Europe"/>
    <x v="6"/>
    <s v="Berlin"/>
    <s v="Non-Profit"/>
    <s v="Marketplace"/>
    <s v="M. Rossi"/>
    <x v="0"/>
    <s v="CMP-2040"/>
    <n v="1064.32"/>
    <n v="1848.39"/>
    <s v="High"/>
    <n v="7.2999999999999995E-2"/>
    <n v="38"/>
    <n v="65111.38614000001"/>
    <n v="40444.159999999996"/>
    <n v="24667.226140000013"/>
    <n v="0.3788465827921631"/>
    <x v="0"/>
  </r>
  <r>
    <s v="ORD-2025-537785"/>
    <d v="2025-08-05T00:00:00"/>
    <s v="Q3-2025"/>
    <d v="2025-08-14T00:00:00"/>
    <n v="9"/>
    <s v="Europe"/>
    <x v="8"/>
    <s v="London"/>
    <s v="Non-Profit"/>
    <s v="Direct"/>
    <s v="E. Garcia"/>
    <x v="0"/>
    <s v="CMP-6346"/>
    <n v="41.76"/>
    <n v="45.19"/>
    <s v="High"/>
    <n v="0.17899999999999999"/>
    <n v="23"/>
    <n v="853.32276999999988"/>
    <n v="960.4799999999999"/>
    <n v="-107.15723000000003"/>
    <n v="-0.12557643340514638"/>
    <x v="0"/>
  </r>
  <r>
    <s v="ORD-2024-605518"/>
    <d v="2024-05-30T00:00:00"/>
    <s v="Q2-2024"/>
    <d v="2024-06-13T00:00:00"/>
    <n v="14"/>
    <s v="Americas"/>
    <x v="10"/>
    <s v="San Francisco"/>
    <s v="Small Business"/>
    <s v="Retail"/>
    <s v="F. Müller"/>
    <x v="3"/>
    <s v="PHN-4356"/>
    <n v="157.78"/>
    <n v="361.1"/>
    <s v="High"/>
    <n v="0.187"/>
    <n v="9"/>
    <n v="2642.1686999999997"/>
    <n v="1420.02"/>
    <n v="1222.1486999999997"/>
    <n v="0.46255513510549112"/>
    <x v="0"/>
  </r>
  <r>
    <s v="ORD-2023-521818"/>
    <d v="2023-01-22T00:00:00"/>
    <s v="Q1-2023"/>
    <d v="2023-01-30T00:00:00"/>
    <n v="8"/>
    <s v="Americas"/>
    <x v="10"/>
    <s v="San Francisco"/>
    <s v="Small Business"/>
    <s v="Online"/>
    <s v="A. Patel"/>
    <x v="2"/>
    <s v="NET-4155"/>
    <n v="413.52"/>
    <n v="1004.34"/>
    <s v="High"/>
    <n v="0.111"/>
    <n v="18"/>
    <n v="16071.44868"/>
    <n v="7443.36"/>
    <n v="8628.0886800000007"/>
    <n v="0.53685817948304593"/>
    <x v="0"/>
  </r>
  <r>
    <s v="ORD-2025-650719"/>
    <d v="2025-02-12T00:00:00"/>
    <s v="Q1-2025"/>
    <d v="2025-02-28T00:00:00"/>
    <n v="16"/>
    <s v="Americas"/>
    <x v="5"/>
    <s v="São Paulo"/>
    <s v="Non-Profit"/>
    <s v="Direct"/>
    <s v="B. Chen"/>
    <x v="5"/>
    <s v="MON-5179"/>
    <n v="414.95"/>
    <n v="1027.73"/>
    <s v="High"/>
    <n v="6.3E-2"/>
    <n v="8"/>
    <n v="7703.8640800000003"/>
    <n v="3319.6"/>
    <n v="4384.2640800000008"/>
    <n v="0.56909935513815568"/>
    <x v="0"/>
  </r>
  <r>
    <s v="ORD-2025-501927"/>
    <d v="2025-03-03T00:00:00"/>
    <s v="Q1-2025"/>
    <d v="2025-03-24T00:00:00"/>
    <n v="21"/>
    <s v="Africa"/>
    <x v="1"/>
    <s v="Abuja"/>
    <s v="Enterprise"/>
    <s v="Direct"/>
    <s v="H. Kim"/>
    <x v="6"/>
    <s v="ACC-4056"/>
    <n v="555.95000000000005"/>
    <n v="468.09"/>
    <s v="High"/>
    <n v="0.14199999999999999"/>
    <n v="11"/>
    <n v="4417.8334199999999"/>
    <n v="6115.4500000000007"/>
    <n v="-1697.6165800000008"/>
    <n v="-0.38426450674095375"/>
    <x v="0"/>
  </r>
  <r>
    <s v="ORD-2023-430904"/>
    <d v="2023-01-27T00:00:00"/>
    <s v="Q1-2023"/>
    <d v="2023-01-31T00:00:00"/>
    <n v="4"/>
    <s v="Europe"/>
    <x v="8"/>
    <s v="Manchester"/>
    <s v="Enterprise"/>
    <s v="Online"/>
    <s v="N. Brown"/>
    <x v="4"/>
    <s v="LAP-9782"/>
    <n v="941.2"/>
    <n v="668.02"/>
    <s v="High"/>
    <n v="0.22"/>
    <n v="16"/>
    <n v="8336.8896000000004"/>
    <n v="15059.2"/>
    <n v="-6722.3104000000003"/>
    <n v="-0.80633314371825193"/>
    <x v="1"/>
  </r>
  <r>
    <s v="ORD-2025-354346"/>
    <d v="2025-01-09T00:00:00"/>
    <s v="Q1-2025"/>
    <d v="2025-01-15T00:00:00"/>
    <n v="6"/>
    <s v="Asia"/>
    <x v="9"/>
    <s v="Beijing"/>
    <s v="Education"/>
    <s v="Online"/>
    <s v="C. Otieno"/>
    <x v="3"/>
    <s v="PHN-2875"/>
    <n v="304.77999999999997"/>
    <n v="537.27"/>
    <s v="High"/>
    <n v="0.187"/>
    <n v="8"/>
    <n v="3494.4040799999998"/>
    <n v="2438.2399999999998"/>
    <n v="1056.16408"/>
    <n v="0.3022444044307549"/>
    <x v="1"/>
  </r>
  <r>
    <s v="ORD-2024-164288"/>
    <d v="2024-12-21T00:00:00"/>
    <s v="Q4-2024"/>
    <d v="2024-12-26T00:00:00"/>
    <n v="5"/>
    <s v="Americas"/>
    <x v="10"/>
    <s v="San Francisco"/>
    <s v="Consumer"/>
    <s v="Marketplace"/>
    <s v="M. Rossi"/>
    <x v="1"/>
    <s v="PRN-4788"/>
    <n v="699.57"/>
    <n v="572.71"/>
    <s v="High"/>
    <n v="0.192"/>
    <n v="26"/>
    <n v="12031.491680000001"/>
    <n v="18188.82"/>
    <n v="-6157.3283199999987"/>
    <n v="-0.51176765805651114"/>
    <x v="1"/>
  </r>
  <r>
    <s v="ORD-2023-867285"/>
    <d v="2023-04-12T00:00:00"/>
    <s v="Q2-2023"/>
    <d v="2023-04-17T00:00:00"/>
    <n v="5"/>
    <s v="Europe"/>
    <x v="7"/>
    <s v="Lyon"/>
    <s v="Enterprise"/>
    <s v="Direct"/>
    <s v="E. Garcia"/>
    <x v="5"/>
    <s v="MON-3043"/>
    <n v="1087.81"/>
    <n v="2323.87"/>
    <s v="High"/>
    <n v="9.4E-2"/>
    <n v="13"/>
    <n v="27370.540859999997"/>
    <n v="14141.529999999999"/>
    <n v="13229.010859999999"/>
    <n v="0.48333026839572651"/>
    <x v="1"/>
  </r>
  <r>
    <s v="ORD-2024-836421"/>
    <d v="2024-12-14T00:00:00"/>
    <s v="Q4-2024"/>
    <d v="2025-01-12T00:00:00"/>
    <n v="29"/>
    <s v="Asia"/>
    <x v="9"/>
    <s v="Shenzhen"/>
    <s v="Education"/>
    <s v="Online"/>
    <s v="J. Njeri"/>
    <x v="0"/>
    <s v="CMP-3720"/>
    <n v="1412.15"/>
    <n v="1631.04"/>
    <s v="High"/>
    <n v="8.9999999999999993E-3"/>
    <n v="6"/>
    <n v="9698.1638399999993"/>
    <n v="8472.9000000000015"/>
    <n v="1225.2638399999978"/>
    <n v="0.12633977526203535"/>
    <x v="0"/>
  </r>
  <r>
    <s v="ORD-2023-613287"/>
    <d v="2023-03-31T00:00:00"/>
    <s v="Q1-2023"/>
    <d v="2023-04-12T00:00:00"/>
    <n v="12"/>
    <s v="Africa"/>
    <x v="0"/>
    <s v="Mombasa"/>
    <s v="Small Business"/>
    <s v="Online"/>
    <s v="C. Otieno"/>
    <x v="3"/>
    <s v="PHN-8014"/>
    <n v="304.22000000000003"/>
    <n v="393.31"/>
    <s v="High"/>
    <n v="0.26500000000000001"/>
    <n v="15"/>
    <n v="4336.2427499999994"/>
    <n v="4563.3"/>
    <n v="-227.05725000000075"/>
    <n v="-5.2362670424759034E-2"/>
    <x v="0"/>
  </r>
  <r>
    <s v="ORD-2024-783321"/>
    <d v="2024-11-20T00:00:00"/>
    <s v="Q4-2024"/>
    <d v="2024-12-15T00:00:00"/>
    <n v="25"/>
    <s v="Europe"/>
    <x v="7"/>
    <s v="Paris"/>
    <s v="Corporate"/>
    <s v="Online"/>
    <s v="G. Dubois"/>
    <x v="1"/>
    <s v="PRN-4911"/>
    <n v="1203.58"/>
    <n v="1856.16"/>
    <s v="High"/>
    <n v="0.129"/>
    <n v="22"/>
    <n v="35567.737920000007"/>
    <n v="26478.76"/>
    <n v="9088.9779200000085"/>
    <n v="0.25553994860295032"/>
    <x v="0"/>
  </r>
  <r>
    <s v="ORD-2024-232632"/>
    <d v="2024-02-14T00:00:00"/>
    <s v="Q1-2024"/>
    <d v="2024-02-14T00:00:00"/>
    <n v="0"/>
    <s v="Asia"/>
    <x v="9"/>
    <s v="Beijing"/>
    <s v="Corporate"/>
    <s v="Distributor"/>
    <s v="L. Okafor"/>
    <x v="6"/>
    <s v="ACC-1021"/>
    <n v="65.930000000000007"/>
    <n v="84.9"/>
    <s v="High"/>
    <n v="0.25900000000000001"/>
    <n v="23"/>
    <n v="1446.9507000000001"/>
    <n v="1516.39"/>
    <n v="-69.439300000000003"/>
    <n v="-4.7990093926489688E-2"/>
    <x v="1"/>
  </r>
  <r>
    <s v="ORD-2023-906481"/>
    <d v="2023-05-02T00:00:00"/>
    <s v="Q2-2023"/>
    <d v="2023-05-18T00:00:00"/>
    <n v="16"/>
    <s v="Asia"/>
    <x v="4"/>
    <s v="Delhi"/>
    <s v="Small Business"/>
    <s v="Marketplace"/>
    <s v="K. Singh"/>
    <x v="5"/>
    <s v="MON-2266"/>
    <n v="1463.92"/>
    <n v="2252.2399999999998"/>
    <s v="High"/>
    <n v="0.11799999999999999"/>
    <n v="44"/>
    <n v="87404.929919999995"/>
    <n v="64412.480000000003"/>
    <n v="22992.449919999992"/>
    <n v="0.26305667130040061"/>
    <x v="0"/>
  </r>
  <r>
    <s v="ORD-2024-902741"/>
    <d v="2024-12-23T00:00:00"/>
    <s v="Q4-2024"/>
    <d v="2025-01-11T00:00:00"/>
    <n v="19"/>
    <s v="Europe"/>
    <x v="6"/>
    <s v="Berlin"/>
    <s v="Education"/>
    <s v="Retail"/>
    <s v="K. Singh"/>
    <x v="3"/>
    <s v="PHN-8057"/>
    <n v="501.81"/>
    <n v="921.62"/>
    <s v="High"/>
    <n v="0.01"/>
    <n v="9"/>
    <n v="8211.6342000000004"/>
    <n v="4516.29"/>
    <n v="3695.3442000000005"/>
    <n v="0.45001325071202031"/>
    <x v="0"/>
  </r>
  <r>
    <s v="ORD-2023-912395"/>
    <d v="2023-07-26T00:00:00"/>
    <s v="Q3-2023"/>
    <d v="2023-08-25T00:00:00"/>
    <n v="30"/>
    <s v="Americas"/>
    <x v="10"/>
    <s v="New York"/>
    <s v="Consumer"/>
    <s v="Retail"/>
    <s v="M. Rossi"/>
    <x v="6"/>
    <s v="ACC-7078"/>
    <n v="1261.48"/>
    <n v="1643.18"/>
    <s v="High"/>
    <n v="0.151"/>
    <n v="23"/>
    <n v="32086.37586"/>
    <n v="29014.04"/>
    <n v="3072.3358599999992"/>
    <n v="9.5752037357079045E-2"/>
    <x v="0"/>
  </r>
  <r>
    <s v="ORD-2024-389102"/>
    <d v="2024-06-15T00:00:00"/>
    <s v="Q2-2024"/>
    <d v="2024-07-06T00:00:00"/>
    <n v="21"/>
    <s v="Americas"/>
    <x v="3"/>
    <s v="Toronto"/>
    <s v="Enterprise"/>
    <s v="Distributor"/>
    <s v="L. Okafor"/>
    <x v="1"/>
    <s v="PRN-4453"/>
    <n v="817.23"/>
    <n v="1467.17"/>
    <s v="High"/>
    <n v="0.245"/>
    <n v="9"/>
    <n v="9969.4201499999999"/>
    <n v="7355.07"/>
    <n v="2614.3501500000002"/>
    <n v="0.26223693160328893"/>
    <x v="0"/>
  </r>
  <r>
    <s v="ORD-2023-309373"/>
    <d v="2023-07-05T00:00:00"/>
    <s v="Q3-2023"/>
    <d v="2023-07-14T00:00:00"/>
    <n v="9"/>
    <s v="Americas"/>
    <x v="5"/>
    <s v="Brasília"/>
    <s v="Enterprise"/>
    <s v="Direct"/>
    <s v="B. Chen"/>
    <x v="2"/>
    <s v="NET-2394"/>
    <n v="578.85"/>
    <n v="998.76"/>
    <s v="High"/>
    <n v="8.2000000000000003E-2"/>
    <n v="28"/>
    <n v="25672.127039999999"/>
    <n v="16207.800000000001"/>
    <n v="9464.3270399999983"/>
    <n v="0.36866158480960831"/>
    <x v="0"/>
  </r>
  <r>
    <s v="ORD-2023-825495"/>
    <d v="2023-11-30T00:00:00"/>
    <s v="Q4-2023"/>
    <d v="2023-12-07T00:00:00"/>
    <n v="7"/>
    <s v="Africa"/>
    <x v="11"/>
    <s v="Durban"/>
    <s v="Small Business"/>
    <s v="Marketplace"/>
    <s v="E. Garcia"/>
    <x v="4"/>
    <s v="LAP-1525"/>
    <n v="275.56"/>
    <n v="630.72"/>
    <s v="High"/>
    <n v="0.107"/>
    <n v="23"/>
    <n v="12954.358080000002"/>
    <n v="6337.88"/>
    <n v="6616.4780800000017"/>
    <n v="0.5107530638831933"/>
    <x v="1"/>
  </r>
  <r>
    <s v="ORD-2025-244832"/>
    <d v="2025-09-11T00:00:00"/>
    <s v="Q3-2025"/>
    <d v="2025-09-28T00:00:00"/>
    <n v="17"/>
    <s v="Africa"/>
    <x v="0"/>
    <s v="Nairobi"/>
    <s v="Non-Profit"/>
    <s v="Distributor"/>
    <s v="J. Njeri"/>
    <x v="4"/>
    <s v="LAP-3278"/>
    <n v="891.46"/>
    <n v="728.61"/>
    <s v="High"/>
    <n v="0.185"/>
    <n v="6"/>
    <n v="3562.9028999999996"/>
    <n v="5348.76"/>
    <n v="-1785.8571000000006"/>
    <n v="-0.50123653383874167"/>
    <x v="0"/>
  </r>
  <r>
    <s v="ORD-2024-211453"/>
    <d v="2024-04-04T00:00:00"/>
    <s v="Q2-2024"/>
    <d v="2024-04-24T00:00:00"/>
    <n v="20"/>
    <s v="Europe"/>
    <x v="6"/>
    <s v="Frankfurt"/>
    <s v="Non-Profit"/>
    <s v="Direct"/>
    <s v="O. Wang"/>
    <x v="6"/>
    <s v="ACC-6543"/>
    <n v="683.42"/>
    <n v="951.51"/>
    <s v="High"/>
    <n v="0"/>
    <n v="14"/>
    <n v="13321.14"/>
    <n v="9567.8799999999992"/>
    <n v="3753.26"/>
    <n v="0.28175216235247136"/>
    <x v="0"/>
  </r>
  <r>
    <s v="ORD-2023-192324"/>
    <d v="2023-09-14T00:00:00"/>
    <s v="Q3-2023"/>
    <d v="2023-09-16T00:00:00"/>
    <n v="2"/>
    <s v="Europe"/>
    <x v="7"/>
    <s v="Lyon"/>
    <s v="Non-Profit"/>
    <s v="Direct"/>
    <s v="B. Chen"/>
    <x v="1"/>
    <s v="PRN-4432"/>
    <n v="376.83"/>
    <n v="732.88"/>
    <s v="High"/>
    <n v="0.188"/>
    <n v="25"/>
    <n v="14877.464000000002"/>
    <n v="9420.75"/>
    <n v="5456.7140000000018"/>
    <n v="0.36677716040852132"/>
    <x v="1"/>
  </r>
  <r>
    <s v="ORD-2024-438404"/>
    <d v="2024-09-23T00:00:00"/>
    <s v="Q3-2024"/>
    <d v="2024-10-18T00:00:00"/>
    <n v="25"/>
    <s v="Americas"/>
    <x v="3"/>
    <s v="Vancouver"/>
    <s v="Small Business"/>
    <s v="Online"/>
    <s v="N. Brown"/>
    <x v="3"/>
    <s v="PHN-4568"/>
    <n v="1297"/>
    <n v="2411.52"/>
    <s v="High"/>
    <n v="2.1000000000000001E-2"/>
    <n v="18"/>
    <n v="42495.805439999996"/>
    <n v="23346"/>
    <n v="19149.805439999996"/>
    <n v="0.45062813239385913"/>
    <x v="0"/>
  </r>
  <r>
    <s v="ORD-2025-246470"/>
    <d v="2025-04-16T00:00:00"/>
    <s v="Q2-2025"/>
    <d v="2025-05-16T00:00:00"/>
    <n v="30"/>
    <s v="Americas"/>
    <x v="3"/>
    <s v="Montreal"/>
    <s v="Enterprise"/>
    <s v="Distributor"/>
    <s v="K. Singh"/>
    <x v="1"/>
    <s v="PRN-6178"/>
    <n v="763.32"/>
    <n v="568.29"/>
    <s v="High"/>
    <n v="0.13100000000000001"/>
    <n v="16"/>
    <n v="7901.5041599999995"/>
    <n v="12213.12"/>
    <n v="-4311.6158400000013"/>
    <n v="-0.54567026134426555"/>
    <x v="0"/>
  </r>
  <r>
    <s v="ORD-2023-497686"/>
    <d v="2023-07-03T00:00:00"/>
    <s v="Q3-2023"/>
    <d v="2023-07-23T00:00:00"/>
    <n v="20"/>
    <s v="Africa"/>
    <x v="11"/>
    <s v="Johannesburg"/>
    <s v="Small Business"/>
    <s v="Distributor"/>
    <s v="F. Müller"/>
    <x v="4"/>
    <s v="LAP-6342"/>
    <n v="1001.96"/>
    <n v="1254.95"/>
    <s v="High"/>
    <n v="4.4999999999999998E-2"/>
    <n v="18"/>
    <n v="21572.590500000002"/>
    <n v="18035.28"/>
    <n v="3537.3105000000032"/>
    <n v="0.16397244920585699"/>
    <x v="0"/>
  </r>
  <r>
    <s v="ORD-2023-596758"/>
    <d v="2023-12-07T00:00:00"/>
    <s v="Q4-2023"/>
    <d v="2023-12-14T00:00:00"/>
    <n v="7"/>
    <s v="Asia"/>
    <x v="2"/>
    <s v="Tokyo"/>
    <s v="Non-Profit"/>
    <s v="Marketplace"/>
    <s v="H. Kim"/>
    <x v="1"/>
    <s v="PRN-8175"/>
    <n v="1097.5899999999999"/>
    <n v="845.55"/>
    <s v="High"/>
    <n v="0.184"/>
    <n v="6"/>
    <n v="4139.8127999999997"/>
    <n v="6585.5399999999991"/>
    <n v="-2445.7271999999994"/>
    <n v="-0.59078207594314402"/>
    <x v="1"/>
  </r>
  <r>
    <s v="ORD-2024-201376"/>
    <d v="2024-02-18T00:00:00"/>
    <s v="Q1-2024"/>
    <d v="2024-03-04T00:00:00"/>
    <n v="15"/>
    <s v="Africa"/>
    <x v="0"/>
    <s v="Kisumu"/>
    <s v="Education"/>
    <s v="Direct"/>
    <s v="K. Singh"/>
    <x v="1"/>
    <s v="PRN-7089"/>
    <n v="928.68"/>
    <n v="2145.17"/>
    <s v="High"/>
    <n v="0.13600000000000001"/>
    <n v="16"/>
    <n v="29654.83008"/>
    <n v="14858.88"/>
    <n v="14795.950080000001"/>
    <n v="0.49893896003062177"/>
    <x v="0"/>
  </r>
  <r>
    <s v="ORD-2023-842488"/>
    <d v="2023-10-31T00:00:00"/>
    <s v="Q4-2023"/>
    <d v="2023-11-02T00:00:00"/>
    <n v="2"/>
    <s v="Africa"/>
    <x v="0"/>
    <s v="Kisumu"/>
    <s v="Education"/>
    <s v="Retail"/>
    <s v="O. Wang"/>
    <x v="6"/>
    <s v="ACC-4124"/>
    <n v="867.89"/>
    <n v="1349.94"/>
    <s v="High"/>
    <n v="0.184"/>
    <n v="10"/>
    <n v="11015.510400000003"/>
    <n v="8678.9"/>
    <n v="2336.6104000000032"/>
    <n v="0.21212003031652557"/>
    <x v="1"/>
  </r>
  <r>
    <s v="ORD-2024-136321"/>
    <d v="2024-08-07T00:00:00"/>
    <s v="Q3-2024"/>
    <d v="2024-08-17T00:00:00"/>
    <n v="10"/>
    <s v="Asia"/>
    <x v="2"/>
    <s v="Osaka"/>
    <s v="Consumer"/>
    <s v="Online"/>
    <s v="K. Singh"/>
    <x v="2"/>
    <s v="NET-7924"/>
    <n v="436.58"/>
    <n v="527.48"/>
    <s v="High"/>
    <n v="0.111"/>
    <n v="19"/>
    <n v="8909.6646800000017"/>
    <n v="8295.02"/>
    <n v="614.64468000000124"/>
    <n v="6.8986286473802644E-2"/>
    <x v="0"/>
  </r>
  <r>
    <s v="ORD-2024-764468"/>
    <d v="2024-02-01T00:00:00"/>
    <s v="Q1-2024"/>
    <d v="2024-02-21T00:00:00"/>
    <n v="20"/>
    <s v="Europe"/>
    <x v="7"/>
    <s v="Paris"/>
    <s v="Small Business"/>
    <s v="Marketplace"/>
    <s v="A. Patel"/>
    <x v="2"/>
    <s v="NET-8761"/>
    <n v="656.2"/>
    <n v="1467.17"/>
    <s v="High"/>
    <n v="1.7999999999999999E-2"/>
    <n v="5"/>
    <n v="7203.8047000000006"/>
    <n v="3281"/>
    <n v="3922.8047000000006"/>
    <n v="0.54454623124360946"/>
    <x v="0"/>
  </r>
  <r>
    <s v="ORD-2024-553449"/>
    <d v="2024-08-27T00:00:00"/>
    <s v="Q3-2024"/>
    <d v="2024-09-18T00:00:00"/>
    <n v="22"/>
    <s v="Asia"/>
    <x v="4"/>
    <s v="Delhi"/>
    <s v="Consumer"/>
    <s v="Direct"/>
    <s v="B. Chen"/>
    <x v="0"/>
    <s v="CMP-3875"/>
    <n v="896.75"/>
    <n v="1651.14"/>
    <s v="High"/>
    <n v="2.5000000000000001E-2"/>
    <n v="15"/>
    <n v="24147.922500000001"/>
    <n v="13451.25"/>
    <n v="10696.672500000001"/>
    <n v="0.44296450346815552"/>
    <x v="0"/>
  </r>
  <r>
    <s v="ORD-2025-766923"/>
    <d v="2025-02-15T00:00:00"/>
    <s v="Q1-2025"/>
    <d v="2025-02-15T00:00:00"/>
    <n v="0"/>
    <s v="Europe"/>
    <x v="6"/>
    <s v="Frankfurt"/>
    <s v="Small Business"/>
    <s v="Marketplace"/>
    <s v="L. Okafor"/>
    <x v="6"/>
    <s v="ACC-3989"/>
    <n v="815.83"/>
    <n v="1982.18"/>
    <s v="High"/>
    <n v="0.127"/>
    <n v="6"/>
    <n v="10382.65884"/>
    <n v="4894.9800000000005"/>
    <n v="5487.6788399999996"/>
    <n v="0.52854272923408507"/>
    <x v="1"/>
  </r>
  <r>
    <s v="ORD-2025-418232"/>
    <d v="2025-08-01T00:00:00"/>
    <s v="Q3-2025"/>
    <d v="2025-08-21T00:00:00"/>
    <n v="20"/>
    <s v="Asia"/>
    <x v="9"/>
    <s v="Shanghai"/>
    <s v="Corporate"/>
    <s v="Direct"/>
    <s v="I. Johnson"/>
    <x v="3"/>
    <s v="PHN-9234"/>
    <n v="1220.4100000000001"/>
    <n v="2552.2199999999998"/>
    <s v="High"/>
    <n v="0.18099999999999999"/>
    <n v="14"/>
    <n v="29263.754519999995"/>
    <n v="17085.740000000002"/>
    <n v="12178.014519999993"/>
    <n v="0.41614668793360271"/>
    <x v="0"/>
  </r>
  <r>
    <s v="ORD-2023-848013"/>
    <d v="2023-02-20T00:00:00"/>
    <s v="Q1-2023"/>
    <d v="2023-03-04T00:00:00"/>
    <n v="12"/>
    <s v="Asia"/>
    <x v="4"/>
    <s v="Delhi"/>
    <s v="Consumer"/>
    <s v="Distributor"/>
    <s v="M. Rossi"/>
    <x v="5"/>
    <s v="MON-9906"/>
    <n v="299.75"/>
    <n v="523.01"/>
    <s v="High"/>
    <n v="0.157"/>
    <n v="50"/>
    <n v="22044.871499999997"/>
    <n v="14987.5"/>
    <n v="7057.3714999999975"/>
    <n v="0.32013665854210122"/>
    <x v="0"/>
  </r>
  <r>
    <s v="ORD-2024-357368"/>
    <d v="2024-10-30T00:00:00"/>
    <s v="Q4-2024"/>
    <d v="2024-11-24T00:00:00"/>
    <n v="25"/>
    <s v="Asia"/>
    <x v="9"/>
    <s v="Shenzhen"/>
    <s v="Small Business"/>
    <s v="Online"/>
    <s v="E. Garcia"/>
    <x v="0"/>
    <s v="CMP-4610"/>
    <n v="811.05"/>
    <n v="1217.71"/>
    <s v="High"/>
    <n v="7.1999999999999995E-2"/>
    <n v="5"/>
    <n v="5650.1744000000008"/>
    <n v="4055.25"/>
    <n v="1594.9244000000008"/>
    <n v="0.28227879125288602"/>
    <x v="0"/>
  </r>
  <r>
    <s v="ORD-2024-219735"/>
    <d v="2024-04-03T00:00:00"/>
    <s v="Q2-2024"/>
    <d v="2024-04-07T00:00:00"/>
    <n v="4"/>
    <s v="Americas"/>
    <x v="5"/>
    <s v="Brasília"/>
    <s v="Non-Profit"/>
    <s v="Direct"/>
    <s v="N. Brown"/>
    <x v="3"/>
    <s v="PHN-5445"/>
    <n v="1023.27"/>
    <n v="1343.64"/>
    <s v="High"/>
    <n v="0.13300000000000001"/>
    <n v="7"/>
    <n v="8154.5511600000009"/>
    <n v="7162.8899999999994"/>
    <n v="991.66116000000147"/>
    <n v="0.12160830688810116"/>
    <x v="1"/>
  </r>
  <r>
    <s v="ORD-2023-240507"/>
    <d v="2023-03-25T00:00:00"/>
    <s v="Q1-2023"/>
    <d v="2023-03-26T00:00:00"/>
    <n v="1"/>
    <s v="Asia"/>
    <x v="2"/>
    <s v="Osaka"/>
    <s v="Small Business"/>
    <s v="Distributor"/>
    <s v="I. Johnson"/>
    <x v="5"/>
    <s v="MON-9227"/>
    <n v="135.12"/>
    <n v="301.7"/>
    <s v="High"/>
    <n v="0.14000000000000001"/>
    <n v="47"/>
    <n v="12194.714"/>
    <n v="6350.64"/>
    <n v="5844.0739999999996"/>
    <n v="0.47923009920527859"/>
    <x v="1"/>
  </r>
  <r>
    <s v="ORD-2024-134084"/>
    <d v="2024-06-04T00:00:00"/>
    <s v="Q2-2024"/>
    <d v="2024-06-16T00:00:00"/>
    <n v="12"/>
    <s v="Asia"/>
    <x v="9"/>
    <s v="Shanghai"/>
    <s v="Corporate"/>
    <s v="Retail"/>
    <s v="J. Njeri"/>
    <x v="1"/>
    <s v="PRN-4097"/>
    <n v="918.42"/>
    <n v="1511.71"/>
    <s v="High"/>
    <n v="0.02"/>
    <n v="8"/>
    <n v="11851.806399999999"/>
    <n v="7347.36"/>
    <n v="4504.4463999999998"/>
    <n v="0.38006412254590999"/>
    <x v="0"/>
  </r>
  <r>
    <s v="ORD-2023-884625"/>
    <d v="2023-02-19T00:00:00"/>
    <s v="Q1-2023"/>
    <d v="2023-03-12T00:00:00"/>
    <n v="21"/>
    <s v="Europe"/>
    <x v="6"/>
    <s v="Berlin"/>
    <s v="Small Business"/>
    <s v="Direct"/>
    <s v="L. Okafor"/>
    <x v="5"/>
    <s v="MON-6699"/>
    <n v="1234.81"/>
    <n v="2055.2399999999998"/>
    <s v="High"/>
    <n v="5.2999999999999999E-2"/>
    <n v="44"/>
    <n v="85637.740319999997"/>
    <n v="54331.64"/>
    <n v="31306.100319999998"/>
    <n v="0.36556429680441616"/>
    <x v="0"/>
  </r>
  <r>
    <s v="ORD-2023-157993"/>
    <d v="2023-04-18T00:00:00"/>
    <s v="Q2-2023"/>
    <d v="2023-05-18T00:00:00"/>
    <n v="30"/>
    <s v="Asia"/>
    <x v="9"/>
    <s v="Shenzhen"/>
    <s v="Non-Profit"/>
    <s v="Retail"/>
    <s v="H. Kim"/>
    <x v="4"/>
    <s v="LAP-1482"/>
    <n v="329.03"/>
    <n v="391.15"/>
    <s v="High"/>
    <n v="0.19700000000000001"/>
    <n v="46"/>
    <n v="14448.298699999998"/>
    <n v="15135.38"/>
    <n v="-687.08130000000165"/>
    <n v="-4.7554477815440081E-2"/>
    <x v="0"/>
  </r>
  <r>
    <s v="ORD-2024-329104"/>
    <d v="2024-05-23T00:00:00"/>
    <s v="Q2-2024"/>
    <d v="2024-06-14T00:00:00"/>
    <n v="22"/>
    <s v="Europe"/>
    <x v="7"/>
    <s v="Marseille"/>
    <s v="Small Business"/>
    <s v="Online"/>
    <s v="N. Brown"/>
    <x v="5"/>
    <s v="MON-2100"/>
    <n v="1481.74"/>
    <n v="1848.97"/>
    <s v="High"/>
    <n v="0.254"/>
    <n v="9"/>
    <n v="12413.98458"/>
    <n v="13335.66"/>
    <n v="-921.67541999999958"/>
    <n v="-7.4244930309072407E-2"/>
    <x v="0"/>
  </r>
  <r>
    <s v="ORD-2023-304451"/>
    <d v="2023-10-07T00:00:00"/>
    <s v="Q4-2023"/>
    <d v="2023-10-23T00:00:00"/>
    <n v="16"/>
    <s v="Asia"/>
    <x v="4"/>
    <s v="Hyderabad"/>
    <s v="Consumer"/>
    <s v="Retail"/>
    <s v="G. Dubois"/>
    <x v="5"/>
    <s v="MON-7602"/>
    <n v="906.81"/>
    <n v="1395.56"/>
    <s v="High"/>
    <n v="0.185"/>
    <n v="6"/>
    <n v="6824.2884000000004"/>
    <n v="5440.86"/>
    <n v="1383.4284000000007"/>
    <n v="0.20272126834498974"/>
    <x v="0"/>
  </r>
  <r>
    <s v="ORD-2024-942981"/>
    <d v="2024-10-09T00:00:00"/>
    <s v="Q4-2024"/>
    <d v="2024-11-08T00:00:00"/>
    <n v="30"/>
    <s v="Europe"/>
    <x v="8"/>
    <s v="Manchester"/>
    <s v="Small Business"/>
    <s v="Distributor"/>
    <s v="J. Njeri"/>
    <x v="0"/>
    <s v="CMP-1072"/>
    <n v="343.85"/>
    <n v="538.04"/>
    <s v="High"/>
    <n v="0.13900000000000001"/>
    <n v="5"/>
    <n v="2316.2621999999997"/>
    <n v="1719.25"/>
    <n v="597.01219999999967"/>
    <n v="0.25774810813732563"/>
    <x v="0"/>
  </r>
  <r>
    <s v="ORD-2024-605629"/>
    <d v="2024-07-15T00:00:00"/>
    <s v="Q3-2024"/>
    <d v="2024-07-15T00:00:00"/>
    <n v="0"/>
    <s v="Asia"/>
    <x v="2"/>
    <s v="Tokyo"/>
    <s v="Small Business"/>
    <s v="Marketplace"/>
    <s v="G. Dubois"/>
    <x v="6"/>
    <s v="ACC-2735"/>
    <n v="801.77"/>
    <n v="1218.92"/>
    <s v="High"/>
    <n v="0.254"/>
    <n v="16"/>
    <n v="14549.029120000001"/>
    <n v="12828.32"/>
    <n v="1720.7091200000013"/>
    <n v="0.11826968698788344"/>
    <x v="1"/>
  </r>
  <r>
    <s v="ORD-2023-450877"/>
    <d v="2023-09-21T00:00:00"/>
    <s v="Q3-2023"/>
    <d v="2023-10-10T00:00:00"/>
    <n v="19"/>
    <s v="Asia"/>
    <x v="2"/>
    <s v="Tokyo"/>
    <s v="Education"/>
    <s v="Online"/>
    <s v="D. Smith"/>
    <x v="0"/>
    <s v="CMP-5211"/>
    <n v="845.63"/>
    <n v="2062.12"/>
    <s v="High"/>
    <n v="0.13400000000000001"/>
    <n v="5"/>
    <n v="8928.9795999999988"/>
    <n v="4228.1499999999996"/>
    <n v="4700.8295999999991"/>
    <n v="0.52646884757133949"/>
    <x v="0"/>
  </r>
  <r>
    <s v="ORD-2023-286994"/>
    <d v="2023-02-24T00:00:00"/>
    <s v="Q1-2023"/>
    <d v="2023-03-09T00:00:00"/>
    <n v="13"/>
    <s v="Americas"/>
    <x v="10"/>
    <s v="New York"/>
    <s v="Enterprise"/>
    <s v="Online"/>
    <s v="M. Rossi"/>
    <x v="0"/>
    <s v="CMP-1632"/>
    <n v="6.85"/>
    <n v="10.18"/>
    <s v="High"/>
    <n v="4.7E-2"/>
    <n v="10"/>
    <n v="97.0154"/>
    <n v="68.5"/>
    <n v="28.5154"/>
    <n v="0.2939265312517394"/>
    <x v="0"/>
  </r>
  <r>
    <s v="ORD-2025-700847"/>
    <d v="2025-05-21T00:00:00"/>
    <s v="Q2-2025"/>
    <d v="2025-05-28T00:00:00"/>
    <n v="7"/>
    <s v="Africa"/>
    <x v="11"/>
    <s v="Johannesburg"/>
    <s v="Non-Profit"/>
    <s v="Distributor"/>
    <s v="O. Wang"/>
    <x v="4"/>
    <s v="LAP-7099"/>
    <n v="1263.8399999999999"/>
    <n v="2281.7199999999998"/>
    <s v="High"/>
    <n v="7.8E-2"/>
    <n v="15"/>
    <n v="31556.187599999997"/>
    <n v="18957.599999999999"/>
    <n v="12598.587599999999"/>
    <n v="0.39924301882398494"/>
    <x v="1"/>
  </r>
  <r>
    <s v="ORD-2024-970848"/>
    <d v="2024-05-23T00:00:00"/>
    <s v="Q2-2024"/>
    <d v="2024-06-03T00:00:00"/>
    <n v="11"/>
    <s v="Africa"/>
    <x v="11"/>
    <s v="Johannesburg"/>
    <s v="Small Business"/>
    <s v="Distributor"/>
    <s v="F. Müller"/>
    <x v="1"/>
    <s v="PRN-3785"/>
    <n v="180.89"/>
    <n v="249.57"/>
    <s v="High"/>
    <n v="2.1999999999999999E-2"/>
    <n v="8"/>
    <n v="1952.6356799999999"/>
    <n v="1447.12"/>
    <n v="505.51567999999997"/>
    <n v="0.25888888806948362"/>
    <x v="0"/>
  </r>
  <r>
    <s v="ORD-2025-845715"/>
    <d v="2025-04-14T00:00:00"/>
    <s v="Q2-2025"/>
    <d v="2025-05-04T00:00:00"/>
    <n v="20"/>
    <s v="Europe"/>
    <x v="8"/>
    <s v="Birmingham"/>
    <s v="Enterprise"/>
    <s v="Marketplace"/>
    <s v="K. Singh"/>
    <x v="5"/>
    <s v="MON-6962"/>
    <n v="1413.87"/>
    <n v="3275"/>
    <s v="High"/>
    <n v="0.255"/>
    <n v="38"/>
    <n v="92715.25"/>
    <n v="53727.06"/>
    <n v="38988.19"/>
    <n v="0.42051539525590453"/>
    <x v="0"/>
  </r>
  <r>
    <s v="ORD-2023-664749"/>
    <d v="2023-08-27T00:00:00"/>
    <s v="Q3-2023"/>
    <d v="2023-09-11T00:00:00"/>
    <n v="15"/>
    <s v="Europe"/>
    <x v="8"/>
    <s v="London"/>
    <s v="Consumer"/>
    <s v="Marketplace"/>
    <s v="N. Brown"/>
    <x v="1"/>
    <s v="PRN-5107"/>
    <n v="943.79"/>
    <n v="1913.76"/>
    <s v="High"/>
    <n v="9.0999999999999998E-2"/>
    <n v="9"/>
    <n v="15656.47056"/>
    <n v="8494.11"/>
    <n v="7162.3605599999992"/>
    <n v="0.45746967891338081"/>
    <x v="0"/>
  </r>
  <r>
    <s v="ORD-2024-960952"/>
    <d v="2024-02-03T00:00:00"/>
    <s v="Q1-2024"/>
    <d v="2024-02-21T00:00:00"/>
    <n v="18"/>
    <s v="Europe"/>
    <x v="6"/>
    <s v="Frankfurt"/>
    <s v="Corporate"/>
    <s v="Retail"/>
    <s v="H. Kim"/>
    <x v="0"/>
    <s v="CMP-9264"/>
    <n v="39.229999999999997"/>
    <n v="30.09"/>
    <s v="High"/>
    <n v="0.17699999999999999"/>
    <n v="13"/>
    <n v="321.93290999999999"/>
    <n v="509.98999999999995"/>
    <n v="-188.05708999999996"/>
    <n v="-0.58414993981199359"/>
    <x v="0"/>
  </r>
  <r>
    <s v="ORD-2023-987700"/>
    <d v="2023-04-05T00:00:00"/>
    <s v="Q2-2023"/>
    <d v="2023-04-16T00:00:00"/>
    <n v="11"/>
    <s v="Americas"/>
    <x v="3"/>
    <s v="Vancouver"/>
    <s v="Non-Profit"/>
    <s v="Online"/>
    <s v="O. Wang"/>
    <x v="5"/>
    <s v="MON-5259"/>
    <n v="213.1"/>
    <n v="501.31"/>
    <s v="High"/>
    <n v="5.6000000000000001E-2"/>
    <n v="15"/>
    <n v="7098.5495999999994"/>
    <n v="3196.5"/>
    <n v="3902.0495999999994"/>
    <n v="0.54969674368409005"/>
    <x v="0"/>
  </r>
  <r>
    <s v="ORD-2025-652467"/>
    <d v="2025-08-21T00:00:00"/>
    <s v="Q3-2025"/>
    <d v="2025-09-12T00:00:00"/>
    <n v="22"/>
    <s v="Asia"/>
    <x v="9"/>
    <s v="Shenzhen"/>
    <s v="Education"/>
    <s v="Retail"/>
    <s v="B. Chen"/>
    <x v="1"/>
    <s v="PRN-8137"/>
    <n v="352.66"/>
    <n v="411.18"/>
    <s v="High"/>
    <n v="0.17299999999999999"/>
    <n v="13"/>
    <n v="4420.5961799999995"/>
    <n v="4584.58"/>
    <n v="-163.98382000000038"/>
    <n v="-3.7095408248758066E-2"/>
    <x v="0"/>
  </r>
  <r>
    <s v="ORD-2025-667201"/>
    <d v="2025-09-15T00:00:00"/>
    <s v="Q3-2025"/>
    <d v="2025-09-18T00:00:00"/>
    <n v="3"/>
    <s v="Americas"/>
    <x v="5"/>
    <s v="Rio de Janeiro"/>
    <s v="Non-Profit"/>
    <s v="Direct"/>
    <s v="L. Okafor"/>
    <x v="6"/>
    <s v="ACC-6777"/>
    <n v="5.5"/>
    <n v="5.92"/>
    <s v="High"/>
    <n v="0.21199999999999999"/>
    <n v="4"/>
    <n v="18.659839999999999"/>
    <n v="22"/>
    <n v="-3.3401600000000009"/>
    <n v="-0.17900260666758133"/>
    <x v="1"/>
  </r>
  <r>
    <s v="ORD-2024-237478"/>
    <d v="2024-10-03T00:00:00"/>
    <s v="Q4-2024"/>
    <d v="2024-10-11T00:00:00"/>
    <n v="8"/>
    <s v="Asia"/>
    <x v="9"/>
    <s v="Beijing"/>
    <s v="Enterprise"/>
    <s v="Direct"/>
    <s v="B. Chen"/>
    <x v="3"/>
    <s v="PHN-7488"/>
    <n v="1132.6099999999999"/>
    <n v="2206.63"/>
    <s v="High"/>
    <n v="6.3E-2"/>
    <n v="20"/>
    <n v="41352.246200000009"/>
    <n v="22652.199999999997"/>
    <n v="18700.046200000012"/>
    <n v="0.45221355351671338"/>
    <x v="0"/>
  </r>
  <r>
    <s v="ORD-2025-898843"/>
    <d v="2025-02-02T00:00:00"/>
    <s v="Q1-2025"/>
    <d v="2025-03-04T00:00:00"/>
    <n v="30"/>
    <s v="Asia"/>
    <x v="2"/>
    <s v="Osaka"/>
    <s v="Education"/>
    <s v="Distributor"/>
    <s v="L. Okafor"/>
    <x v="6"/>
    <s v="ACC-9591"/>
    <n v="766.59"/>
    <n v="1912.8"/>
    <s v="High"/>
    <n v="0.19600000000000001"/>
    <n v="5"/>
    <n v="7689.4560000000001"/>
    <n v="3832.9500000000003"/>
    <n v="3856.5059999999999"/>
    <n v="0.50153170783472845"/>
    <x v="0"/>
  </r>
  <r>
    <s v="ORD-2023-334213"/>
    <d v="2023-08-19T00:00:00"/>
    <s v="Q3-2023"/>
    <d v="2023-08-23T00:00:00"/>
    <n v="4"/>
    <s v="Africa"/>
    <x v="1"/>
    <s v="Abuja"/>
    <s v="Small Business"/>
    <s v="Online"/>
    <s v="J. Njeri"/>
    <x v="5"/>
    <s v="MON-5517"/>
    <n v="790.63"/>
    <n v="1382.31"/>
    <s v="High"/>
    <n v="0.10100000000000001"/>
    <n v="7"/>
    <n v="8698.8768300000011"/>
    <n v="5534.41"/>
    <n v="3164.4668300000012"/>
    <n v="0.36377878338116448"/>
    <x v="1"/>
  </r>
  <r>
    <s v="ORD-2024-640340"/>
    <d v="2024-10-22T00:00:00"/>
    <s v="Q4-2024"/>
    <d v="2024-10-29T00:00:00"/>
    <n v="7"/>
    <s v="Africa"/>
    <x v="1"/>
    <s v="Port Harcourt"/>
    <s v="Enterprise"/>
    <s v="Distributor"/>
    <s v="M. Rossi"/>
    <x v="5"/>
    <s v="MON-8758"/>
    <n v="1023.06"/>
    <n v="1355.61"/>
    <s v="High"/>
    <n v="0.153"/>
    <n v="23"/>
    <n v="26408.63841"/>
    <n v="23530.379999999997"/>
    <n v="2878.2584100000022"/>
    <n v="0.10898927711888809"/>
    <x v="1"/>
  </r>
  <r>
    <s v="ORD-2023-399631"/>
    <d v="2023-06-22T00:00:00"/>
    <s v="Q2-2023"/>
    <d v="2023-07-21T00:00:00"/>
    <n v="29"/>
    <s v="Europe"/>
    <x v="7"/>
    <s v="Lyon"/>
    <s v="Corporate"/>
    <s v="Retail"/>
    <s v="J. Njeri"/>
    <x v="6"/>
    <s v="ACC-3385"/>
    <n v="734.34"/>
    <n v="887.9"/>
    <s v="High"/>
    <n v="2.5000000000000001E-2"/>
    <n v="12"/>
    <n v="10388.429999999998"/>
    <n v="8812.08"/>
    <n v="1576.3499999999985"/>
    <n v="0.15174092716608753"/>
    <x v="0"/>
  </r>
  <r>
    <s v="ORD-2025-542939"/>
    <d v="2025-01-13T00:00:00"/>
    <s v="Q1-2025"/>
    <d v="2025-02-08T00:00:00"/>
    <n v="26"/>
    <s v="Europe"/>
    <x v="7"/>
    <s v="Paris"/>
    <s v="Non-Profit"/>
    <s v="Unknown"/>
    <s v="E. Garcia"/>
    <x v="5"/>
    <s v="MON-1593"/>
    <n v="594.74"/>
    <n v="1020.69"/>
    <s v="High"/>
    <n v="0.21099999999999999"/>
    <n v="6"/>
    <n v="4831.9464600000001"/>
    <n v="3568.44"/>
    <n v="1263.5064600000001"/>
    <n v="0.26149016146176424"/>
    <x v="0"/>
  </r>
  <r>
    <s v="ORD-2023-825836"/>
    <d v="2023-07-19T00:00:00"/>
    <s v="Q3-2023"/>
    <d v="2023-07-31T00:00:00"/>
    <n v="12"/>
    <s v="Americas"/>
    <x v="5"/>
    <s v="Rio de Janeiro"/>
    <s v="Corporate"/>
    <s v="Retail"/>
    <s v="C. Otieno"/>
    <x v="5"/>
    <s v="MON-7869"/>
    <n v="1334.64"/>
    <n v="2273.42"/>
    <s v="High"/>
    <n v="0.11799999999999999"/>
    <n v="14"/>
    <n v="28072.190160000002"/>
    <n v="18684.960000000003"/>
    <n v="9387.2301599999992"/>
    <n v="0.33439607335575267"/>
    <x v="0"/>
  </r>
  <r>
    <s v="ORD-2024-503082"/>
    <d v="2024-05-19T00:00:00"/>
    <s v="Q2-2024"/>
    <d v="2024-06-08T00:00:00"/>
    <n v="20"/>
    <s v="Americas"/>
    <x v="5"/>
    <s v="Brasília"/>
    <s v="Small Business"/>
    <s v="Retail"/>
    <s v="E. Garcia"/>
    <x v="5"/>
    <s v="MON-4271"/>
    <n v="1075.9000000000001"/>
    <n v="1242.1500000000001"/>
    <s v="High"/>
    <n v="1.2E-2"/>
    <n v="7"/>
    <n v="8590.7094000000016"/>
    <n v="7531.3000000000011"/>
    <n v="1059.4094000000005"/>
    <n v="0.12332036280961853"/>
    <x v="0"/>
  </r>
  <r>
    <s v="ORD-2024-760799"/>
    <d v="2024-02-03T00:00:00"/>
    <s v="Q1-2024"/>
    <d v="2024-02-19T00:00:00"/>
    <n v="16"/>
    <s v="Asia"/>
    <x v="9"/>
    <s v="Shenzhen"/>
    <s v="Small Business"/>
    <s v="Online"/>
    <s v="H. Kim"/>
    <x v="4"/>
    <s v="LAP-5531"/>
    <n v="993.75"/>
    <n v="1310.29"/>
    <s v="High"/>
    <n v="0.215"/>
    <n v="19"/>
    <n v="19542.975350000001"/>
    <n v="18881.25"/>
    <n v="661.72535000000062"/>
    <n v="3.3860010471742245E-2"/>
    <x v="0"/>
  </r>
  <r>
    <s v="ORD-2023-197661"/>
    <d v="2023-08-08T00:00:00"/>
    <s v="Q3-2023"/>
    <d v="2023-08-22T00:00:00"/>
    <n v="14"/>
    <s v="Europe"/>
    <x v="8"/>
    <s v="Birmingham"/>
    <s v="Non-Profit"/>
    <s v="Direct"/>
    <s v="N. Brown"/>
    <x v="5"/>
    <s v="MON-7511"/>
    <n v="446.69"/>
    <n v="967.25"/>
    <s v="High"/>
    <n v="9.4E-2"/>
    <n v="10"/>
    <n v="8763.2849999999999"/>
    <n v="4466.8999999999996"/>
    <n v="4296.3850000000002"/>
    <n v="0.49027105702941309"/>
    <x v="0"/>
  </r>
  <r>
    <s v="ORD-2024-212990"/>
    <d v="2024-08-12T00:00:00"/>
    <s v="Q3-2024"/>
    <d v="2024-09-03T00:00:00"/>
    <n v="22"/>
    <s v="Americas"/>
    <x v="10"/>
    <s v="Austin"/>
    <s v="Consumer"/>
    <s v="Distributor"/>
    <s v="I. Johnson"/>
    <x v="4"/>
    <s v="LAP-7979"/>
    <n v="797.8"/>
    <n v="886.22"/>
    <s v="High"/>
    <n v="0.23599999999999999"/>
    <n v="36"/>
    <n v="24374.594880000001"/>
    <n v="28720.799999999999"/>
    <n v="-4346.2051199999987"/>
    <n v="-0.17830881462428633"/>
    <x v="0"/>
  </r>
  <r>
    <s v="ORD-2023-925146"/>
    <d v="2023-10-15T00:00:00"/>
    <s v="Q4-2023"/>
    <d v="2023-11-13T00:00:00"/>
    <n v="29"/>
    <s v="Asia"/>
    <x v="9"/>
    <s v="Shenzhen"/>
    <s v="Non-Profit"/>
    <s v="Distributor"/>
    <s v="J. Njeri"/>
    <x v="1"/>
    <s v="PRN-4983"/>
    <n v="986.44"/>
    <n v="790.61"/>
    <s v="High"/>
    <n v="7.1999999999999995E-2"/>
    <n v="6"/>
    <n v="4402.1164799999997"/>
    <n v="5918.64"/>
    <n v="-1516.5235200000006"/>
    <n v="-0.34449872621271499"/>
    <x v="0"/>
  </r>
  <r>
    <s v="ORD-2023-177794"/>
    <d v="2023-05-04T00:00:00"/>
    <s v="Q2-2023"/>
    <d v="2023-05-26T00:00:00"/>
    <n v="22"/>
    <s v="Americas"/>
    <x v="10"/>
    <s v="San Francisco"/>
    <s v="Enterprise"/>
    <s v="Online"/>
    <s v="J. Njeri"/>
    <x v="2"/>
    <s v="NET-5941"/>
    <n v="249.71"/>
    <n v="361.33"/>
    <s v="High"/>
    <n v="9.4E-2"/>
    <n v="12"/>
    <n v="3928.3797600000003"/>
    <n v="2996.52"/>
    <n v="931.85976000000028"/>
    <n v="0.23721223937881206"/>
    <x v="0"/>
  </r>
  <r>
    <s v="ORD-2024-444710"/>
    <d v="2024-09-22T00:00:00"/>
    <s v="Q3-2024"/>
    <d v="2024-10-01T00:00:00"/>
    <n v="9"/>
    <s v="Americas"/>
    <x v="5"/>
    <s v="São Paulo"/>
    <s v="Non-Profit"/>
    <s v="Online"/>
    <s v="K. Singh"/>
    <x v="5"/>
    <s v="MON-6341"/>
    <n v="1378.8"/>
    <n v="1952.04"/>
    <s v="High"/>
    <n v="0.159"/>
    <n v="19"/>
    <n v="31191.64716"/>
    <n v="26197.200000000001"/>
    <n v="4994.4471599999997"/>
    <n v="0.16012130216723058"/>
    <x v="0"/>
  </r>
  <r>
    <s v="ORD-2024-668926"/>
    <d v="2024-10-23T00:00:00"/>
    <s v="Q4-2024"/>
    <d v="2024-11-14T00:00:00"/>
    <n v="22"/>
    <s v="Asia"/>
    <x v="2"/>
    <s v="Osaka"/>
    <s v="Non-Profit"/>
    <s v="Direct"/>
    <s v="B. Chen"/>
    <x v="3"/>
    <s v="PHN-9789"/>
    <n v="1406.4"/>
    <n v="1564.76"/>
    <s v="High"/>
    <n v="0.185"/>
    <n v="17"/>
    <n v="21679.749799999998"/>
    <n v="23908.800000000003"/>
    <n v="-2229.0502000000051"/>
    <n v="-0.10281715520536151"/>
    <x v="0"/>
  </r>
  <r>
    <s v="ORD-2024-968374"/>
    <d v="2024-02-11T00:00:00"/>
    <s v="Q1-2024"/>
    <d v="2024-03-03T00:00:00"/>
    <n v="21"/>
    <s v="Africa"/>
    <x v="0"/>
    <s v="Kisumu"/>
    <s v="Enterprise"/>
    <s v="Online"/>
    <s v="B. Chen"/>
    <x v="3"/>
    <s v="PHN-5082"/>
    <n v="516.86"/>
    <n v="852.54"/>
    <s v="High"/>
    <n v="5.0999999999999997E-2"/>
    <n v="14"/>
    <n v="11326.846439999999"/>
    <n v="7236.04"/>
    <n v="4090.8064399999994"/>
    <n v="0.36116022775355994"/>
    <x v="0"/>
  </r>
  <r>
    <s v="ORD-2023-575584"/>
    <d v="2023-01-30T00:00:00"/>
    <s v="Q1-2023"/>
    <d v="2023-02-21T00:00:00"/>
    <n v="22"/>
    <s v="Europe"/>
    <x v="6"/>
    <s v="Munich"/>
    <s v="Small Business"/>
    <s v="Marketplace"/>
    <s v="G. Dubois"/>
    <x v="2"/>
    <s v="NET-3460"/>
    <n v="1142.8800000000001"/>
    <n v="1465.29"/>
    <s v="High"/>
    <n v="0.186"/>
    <n v="7"/>
    <n v="8349.2224200000001"/>
    <n v="8000.1600000000008"/>
    <n v="349.06241999999929"/>
    <n v="4.1807775915017401E-2"/>
    <x v="0"/>
  </r>
  <r>
    <s v="ORD-2023-701153"/>
    <d v="2023-04-14T00:00:00"/>
    <s v="Q2-2023"/>
    <d v="2023-05-13T00:00:00"/>
    <n v="29"/>
    <s v="Europe"/>
    <x v="6"/>
    <s v="Frankfurt"/>
    <s v="Consumer"/>
    <s v="Direct"/>
    <s v="J. Njeri"/>
    <x v="1"/>
    <s v="PRN-7019"/>
    <n v="1320.33"/>
    <n v="2645.23"/>
    <s v="High"/>
    <n v="0.155"/>
    <n v="25"/>
    <n v="55880.483749999999"/>
    <n v="33008.25"/>
    <n v="22872.233749999999"/>
    <n v="0.40930629470436536"/>
    <x v="0"/>
  </r>
  <r>
    <s v="ORD-2023-382017"/>
    <d v="2023-01-13T00:00:00"/>
    <s v="Q1-2023"/>
    <d v="2023-01-19T00:00:00"/>
    <n v="6"/>
    <s v="Americas"/>
    <x v="10"/>
    <s v="Chicago"/>
    <s v="Corporate"/>
    <s v="Direct"/>
    <s v="H. Kim"/>
    <x v="3"/>
    <s v="PHN-3159"/>
    <n v="833.57"/>
    <n v="881.57"/>
    <s v="High"/>
    <n v="5.7000000000000002E-2"/>
    <n v="18"/>
    <n v="14963.769179999999"/>
    <n v="15004.26"/>
    <n v="-40.490820000000895"/>
    <n v="-2.7059238560107821E-3"/>
    <x v="1"/>
  </r>
  <r>
    <s v="ORD-2024-999607"/>
    <d v="2024-01-12T00:00:00"/>
    <s v="Q1-2024"/>
    <d v="2024-01-29T00:00:00"/>
    <n v="17"/>
    <s v="Americas"/>
    <x v="10"/>
    <s v="Chicago"/>
    <s v="Education"/>
    <s v="Distributor"/>
    <s v="A. Patel"/>
    <x v="1"/>
    <s v="PRN-8604"/>
    <n v="493.76"/>
    <n v="625.04"/>
    <s v="High"/>
    <n v="0.25800000000000001"/>
    <n v="10"/>
    <n v="4637.7968000000001"/>
    <n v="4937.6000000000004"/>
    <n v="-299.80320000000029"/>
    <n v="-6.464345311549663E-2"/>
    <x v="0"/>
  </r>
  <r>
    <s v="ORD-2023-133848"/>
    <d v="2023-08-15T00:00:00"/>
    <s v="Q3-2023"/>
    <d v="2023-09-07T00:00:00"/>
    <n v="23"/>
    <s v="Americas"/>
    <x v="10"/>
    <s v="New York"/>
    <s v="Enterprise"/>
    <s v="Online"/>
    <s v="K. Singh"/>
    <x v="3"/>
    <s v="PHN-2013"/>
    <n v="590.33000000000004"/>
    <n v="973.04"/>
    <s v="High"/>
    <n v="0"/>
    <n v="26"/>
    <n v="25299.040000000001"/>
    <n v="15348.580000000002"/>
    <n v="9950.4599999999991"/>
    <n v="0.39331373838691108"/>
    <x v="0"/>
  </r>
  <r>
    <s v="ORD-2023-586275"/>
    <d v="2023-01-20T00:00:00"/>
    <s v="Q1-2023"/>
    <d v="2023-02-03T00:00:00"/>
    <n v="14"/>
    <s v="Africa"/>
    <x v="0"/>
    <s v="Kisumu"/>
    <s v="Corporate"/>
    <s v="Retail"/>
    <s v="M. Rossi"/>
    <x v="2"/>
    <s v="NET-6036"/>
    <n v="884.36"/>
    <n v="1545.34"/>
    <s v="High"/>
    <n v="0.24299999999999999"/>
    <n v="41"/>
    <n v="47962.717579999997"/>
    <n v="36258.76"/>
    <n v="11703.957579999995"/>
    <n v="0.24402198562827965"/>
    <x v="0"/>
  </r>
  <r>
    <s v="ORD-2025-964661"/>
    <d v="2025-02-04T00:00:00"/>
    <s v="Q1-2025"/>
    <d v="2025-02-25T00:00:00"/>
    <n v="21"/>
    <s v="Europe"/>
    <x v="8"/>
    <s v="Birmingham"/>
    <s v="Corporate"/>
    <s v="Marketplace"/>
    <s v="D. Smith"/>
    <x v="5"/>
    <s v="MON-4959"/>
    <n v="1016.32"/>
    <n v="2253.42"/>
    <s v="High"/>
    <n v="5.5E-2"/>
    <n v="12"/>
    <n v="25553.782800000001"/>
    <n v="12195.84"/>
    <n v="13357.942800000001"/>
    <n v="0.52273837124419797"/>
    <x v="0"/>
  </r>
  <r>
    <s v="ORD-2023-390998"/>
    <d v="2023-04-19T00:00:00"/>
    <s v="Q2-2023"/>
    <d v="2023-04-28T00:00:00"/>
    <n v="9"/>
    <s v="Europe"/>
    <x v="6"/>
    <s v="Berlin"/>
    <s v="Education"/>
    <s v="Online"/>
    <s v="E. Garcia"/>
    <x v="5"/>
    <s v="MON-1663"/>
    <n v="1178.42"/>
    <n v="2446.56"/>
    <s v="High"/>
    <n v="2.9000000000000001E-2"/>
    <n v="11"/>
    <n v="26131.70736"/>
    <n v="12962.62"/>
    <n v="13169.08736"/>
    <n v="0.5039505141618883"/>
    <x v="0"/>
  </r>
  <r>
    <s v="ORD-2023-920483"/>
    <d v="2023-07-02T00:00:00"/>
    <s v="Q3-2023"/>
    <d v="2023-08-01T00:00:00"/>
    <n v="30"/>
    <s v="Europe"/>
    <x v="8"/>
    <s v="Birmingham"/>
    <s v="Small Business"/>
    <s v="Retail"/>
    <s v="B. Chen"/>
    <x v="0"/>
    <s v="CMP-7256"/>
    <n v="137.46"/>
    <n v="188.3"/>
    <s v="High"/>
    <n v="3.7999999999999999E-2"/>
    <n v="37"/>
    <n v="6702.3501999999999"/>
    <n v="5086.0200000000004"/>
    <n v="1616.3301999999994"/>
    <n v="0.24115872071262398"/>
    <x v="0"/>
  </r>
  <r>
    <s v="ORD-2025-146850"/>
    <d v="2025-01-21T00:00:00"/>
    <s v="Q1-2025"/>
    <d v="2025-02-14T00:00:00"/>
    <n v="24"/>
    <s v="Africa"/>
    <x v="0"/>
    <s v="Nairobi"/>
    <s v="Small Business"/>
    <s v="Retail"/>
    <s v="J. Njeri"/>
    <x v="6"/>
    <s v="ACC-1659"/>
    <n v="1030.44"/>
    <n v="2562.84"/>
    <s v="High"/>
    <n v="0.14799999999999999"/>
    <n v="13"/>
    <n v="28386.015839999996"/>
    <n v="13395.720000000001"/>
    <n v="14990.295839999995"/>
    <n v="0.52808734852027039"/>
    <x v="0"/>
  </r>
  <r>
    <s v="ORD-2024-687100"/>
    <d v="2024-09-10T00:00:00"/>
    <s v="Q3-2024"/>
    <d v="2024-10-07T00:00:00"/>
    <n v="27"/>
    <s v="Africa"/>
    <x v="0"/>
    <s v="Kisumu"/>
    <s v="Consumer"/>
    <s v="Retail"/>
    <s v="L. Okafor"/>
    <x v="1"/>
    <s v="PRN-6068"/>
    <n v="1248.3900000000001"/>
    <n v="1805.11"/>
    <s v="High"/>
    <n v="0.20300000000000001"/>
    <n v="11"/>
    <n v="15825.399369999997"/>
    <n v="13732.29"/>
    <n v="2093.1093699999965"/>
    <n v="0.13226265707820786"/>
    <x v="0"/>
  </r>
  <r>
    <s v="ORD-2025-629393"/>
    <d v="2025-07-21T00:00:00"/>
    <s v="Q3-2025"/>
    <d v="2025-08-07T00:00:00"/>
    <n v="17"/>
    <s v="Africa"/>
    <x v="1"/>
    <s v="Lagos"/>
    <s v="Enterprise"/>
    <s v="Direct"/>
    <s v="M. Rossi"/>
    <x v="6"/>
    <s v="ACC-8999"/>
    <n v="1204.95"/>
    <n v="2065.73"/>
    <s v="High"/>
    <n v="0.13600000000000001"/>
    <n v="10"/>
    <n v="17847.907199999998"/>
    <n v="12049.5"/>
    <n v="5798.4071999999978"/>
    <n v="0.32487882949100039"/>
    <x v="0"/>
  </r>
  <r>
    <s v="ORD-2024-686712"/>
    <d v="2024-10-02T00:00:00"/>
    <s v="Q4-2024"/>
    <d v="2024-10-23T00:00:00"/>
    <n v="21"/>
    <s v="Africa"/>
    <x v="11"/>
    <s v="Durban"/>
    <s v="Corporate"/>
    <s v="Marketplace"/>
    <s v="A. Patel"/>
    <x v="0"/>
    <s v="CMP-3978"/>
    <n v="1095.6099999999999"/>
    <n v="2366.5100000000002"/>
    <s v="High"/>
    <n v="0.152"/>
    <n v="9"/>
    <n v="18061.204320000004"/>
    <n v="9860.49"/>
    <n v="8200.7143200000046"/>
    <n v="0.4540513564158607"/>
    <x v="0"/>
  </r>
  <r>
    <s v="ORD-2025-586799"/>
    <d v="2025-07-14T00:00:00"/>
    <s v="Q3-2025"/>
    <d v="2025-08-04T00:00:00"/>
    <n v="21"/>
    <s v="Americas"/>
    <x v="3"/>
    <s v="Montreal"/>
    <s v="Consumer"/>
    <s v="Online"/>
    <s v="H. Kim"/>
    <x v="5"/>
    <s v="MON-7868"/>
    <n v="90.3"/>
    <n v="131.76"/>
    <s v="High"/>
    <n v="0.10199999999999999"/>
    <n v="15"/>
    <n v="1774.8072"/>
    <n v="1354.5"/>
    <n v="420.30719999999997"/>
    <n v="0.23681851189244668"/>
    <x v="0"/>
  </r>
  <r>
    <s v="ORD-2024-988736"/>
    <d v="2024-09-09T00:00:00"/>
    <s v="Q3-2024"/>
    <d v="2024-10-01T00:00:00"/>
    <n v="22"/>
    <s v="Asia"/>
    <x v="9"/>
    <s v="Shenzhen"/>
    <s v="Consumer"/>
    <s v="Direct"/>
    <s v="L. Okafor"/>
    <x v="1"/>
    <s v="PRN-3014"/>
    <n v="1166.18"/>
    <n v="1335.02"/>
    <s v="High"/>
    <n v="0.128"/>
    <n v="6"/>
    <n v="6984.8246399999998"/>
    <n v="6997.08"/>
    <n v="-12.25536000000011"/>
    <n v="-1.7545694604582242E-3"/>
    <x v="0"/>
  </r>
  <r>
    <s v="ORD-2025-564184"/>
    <d v="2025-01-29T00:00:00"/>
    <s v="Q1-2025"/>
    <d v="2025-02-06T00:00:00"/>
    <n v="8"/>
    <s v="Africa"/>
    <x v="0"/>
    <s v="Kisumu"/>
    <s v="Education"/>
    <s v="Retail"/>
    <s v="B. Chen"/>
    <x v="3"/>
    <s v="PHN-1671"/>
    <n v="1445.27"/>
    <n v="2691.45"/>
    <s v="High"/>
    <n v="0"/>
    <n v="9"/>
    <n v="24223.05"/>
    <n v="13007.43"/>
    <n v="11215.619999999999"/>
    <n v="0.46301436028906351"/>
    <x v="0"/>
  </r>
  <r>
    <s v="ORD-2023-653343"/>
    <d v="2023-11-10T00:00:00"/>
    <s v="Q4-2023"/>
    <d v="2023-11-28T00:00:00"/>
    <n v="18"/>
    <s v="Americas"/>
    <x v="5"/>
    <s v="Brasília"/>
    <s v="Education"/>
    <s v="Marketplace"/>
    <s v="L. Okafor"/>
    <x v="6"/>
    <s v="ACC-5260"/>
    <n v="388.51"/>
    <n v="776.46"/>
    <s v="High"/>
    <n v="0.157"/>
    <n v="12"/>
    <n v="7854.6693599999999"/>
    <n v="4662.12"/>
    <n v="3192.54936"/>
    <n v="0.40645241876864946"/>
    <x v="0"/>
  </r>
  <r>
    <s v="ORD-2024-197852"/>
    <d v="2024-02-29T00:00:00"/>
    <s v="Q1-2024"/>
    <d v="2024-03-30T00:00:00"/>
    <n v="30"/>
    <s v="Asia"/>
    <x v="2"/>
    <s v="Nagoya"/>
    <s v="Small Business"/>
    <s v="Direct"/>
    <s v="I. Johnson"/>
    <x v="2"/>
    <s v="NET-7588"/>
    <n v="231.11"/>
    <n v="318.17"/>
    <s v="High"/>
    <n v="0.20100000000000001"/>
    <n v="60"/>
    <n v="15253.069799999999"/>
    <n v="13866.6"/>
    <n v="1386.4697999999989"/>
    <n v="9.0897754889969692E-2"/>
    <x v="0"/>
  </r>
  <r>
    <s v="ORD-2023-431328"/>
    <d v="2023-12-20T00:00:00"/>
    <s v="Q4-2023"/>
    <d v="2024-01-14T00:00:00"/>
    <n v="25"/>
    <s v="Asia"/>
    <x v="4"/>
    <s v="Mumbai"/>
    <s v="Non-Profit"/>
    <s v="Marketplace"/>
    <s v="L. Okafor"/>
    <x v="5"/>
    <s v="MON-1572"/>
    <n v="1085.6099999999999"/>
    <n v="1246.4100000000001"/>
    <s v="High"/>
    <n v="0.113"/>
    <n v="7"/>
    <n v="7738.9596900000006"/>
    <n v="7599.2699999999995"/>
    <n v="139.68969000000106"/>
    <n v="1.8050189637310417E-2"/>
    <x v="0"/>
  </r>
  <r>
    <s v="ORD-2023-613317"/>
    <d v="2023-01-22T00:00:00"/>
    <s v="Q1-2023"/>
    <d v="2023-01-29T00:00:00"/>
    <n v="7"/>
    <s v="Europe"/>
    <x v="6"/>
    <s v="Munich"/>
    <s v="Corporate"/>
    <s v="Direct"/>
    <s v="F. Müller"/>
    <x v="5"/>
    <s v="MON-2537"/>
    <n v="150.86000000000001"/>
    <n v="346.96"/>
    <s v="High"/>
    <n v="0.19600000000000001"/>
    <n v="8"/>
    <n v="2231.6467200000002"/>
    <n v="1206.8800000000001"/>
    <n v="1024.7667200000001"/>
    <n v="0.45919755614365343"/>
    <x v="1"/>
  </r>
  <r>
    <s v="ORD-2024-720756"/>
    <d v="2024-10-11T00:00:00"/>
    <s v="Q4-2024"/>
    <d v="2024-11-09T00:00:00"/>
    <n v="29"/>
    <s v="Asia"/>
    <x v="9"/>
    <s v="Shanghai"/>
    <s v="Non-Profit"/>
    <s v="Online"/>
    <s v="F. Müller"/>
    <x v="1"/>
    <s v="PRN-5666"/>
    <n v="391.64"/>
    <n v="504.76"/>
    <s v="High"/>
    <n v="4.0000000000000001E-3"/>
    <n v="13"/>
    <n v="6535.6324800000002"/>
    <n v="5091.32"/>
    <n v="1444.3124800000005"/>
    <n v="0.22099046793402319"/>
    <x v="0"/>
  </r>
  <r>
    <s v="ORD-2024-777623"/>
    <d v="2024-09-19T00:00:00"/>
    <s v="Q3-2024"/>
    <d v="2024-10-14T00:00:00"/>
    <n v="25"/>
    <s v="Americas"/>
    <x v="5"/>
    <s v="Rio de Janeiro"/>
    <s v="Small Business"/>
    <s v="Retail"/>
    <s v="K. Singh"/>
    <x v="1"/>
    <s v="PRN-2749"/>
    <n v="386.96"/>
    <n v="937.46"/>
    <s v="High"/>
    <n v="0.26600000000000001"/>
    <n v="41"/>
    <n v="28211.92124"/>
    <n v="15865.359999999999"/>
    <n v="12346.561240000001"/>
    <n v="0.43763631462626335"/>
    <x v="0"/>
  </r>
  <r>
    <s v="ORD-2025-762212"/>
    <d v="2025-08-25T00:00:00"/>
    <s v="Q3-2025"/>
    <d v="2025-09-24T00:00:00"/>
    <n v="30"/>
    <s v="Africa"/>
    <x v="0"/>
    <s v="Nairobi"/>
    <s v="Consumer"/>
    <s v="Direct"/>
    <s v="B. Chen"/>
    <x v="0"/>
    <s v="CMP-4970"/>
    <n v="589.14"/>
    <n v="1300.58"/>
    <s v="High"/>
    <n v="5.5E-2"/>
    <n v="11"/>
    <n v="13519.529099999998"/>
    <n v="6480.54"/>
    <n v="7038.989099999998"/>
    <n v="0.52065342275863724"/>
    <x v="0"/>
  </r>
  <r>
    <s v="ORD-2023-271918"/>
    <d v="2023-09-25T00:00:00"/>
    <s v="Q3-2023"/>
    <d v="2023-10-02T00:00:00"/>
    <n v="7"/>
    <s v="Americas"/>
    <x v="10"/>
    <s v="New York"/>
    <s v="Education"/>
    <s v="Marketplace"/>
    <s v="I. Johnson"/>
    <x v="6"/>
    <s v="ACC-3551"/>
    <n v="145.58000000000001"/>
    <n v="228.15"/>
    <s v="High"/>
    <n v="0.20399999999999999"/>
    <n v="5"/>
    <n v="908.03700000000003"/>
    <n v="727.90000000000009"/>
    <n v="180.13699999999994"/>
    <n v="0.19838068272548359"/>
    <x v="1"/>
  </r>
  <r>
    <s v="ORD-2023-713375"/>
    <d v="2023-08-26T00:00:00"/>
    <s v="Q3-2023"/>
    <d v="2023-09-10T00:00:00"/>
    <n v="15"/>
    <s v="Africa"/>
    <x v="11"/>
    <s v="Cape Town"/>
    <s v="Non-Profit"/>
    <s v="Direct"/>
    <s v="N. Brown"/>
    <x v="0"/>
    <s v="CMP-7063"/>
    <n v="241.14"/>
    <n v="496.52"/>
    <s v="High"/>
    <n v="9.2999999999999999E-2"/>
    <n v="10"/>
    <n v="4503.4363999999996"/>
    <n v="2411.3999999999996"/>
    <n v="2092.0364"/>
    <n v="0.46454223268257994"/>
    <x v="0"/>
  </r>
  <r>
    <s v="ORD-2025-678688"/>
    <d v="2025-07-16T00:00:00"/>
    <s v="Q3-2025"/>
    <d v="2025-07-17T00:00:00"/>
    <n v="1"/>
    <s v="Africa"/>
    <x v="11"/>
    <s v="Durban"/>
    <s v="Small Business"/>
    <s v="Distributor"/>
    <s v="B. Chen"/>
    <x v="2"/>
    <s v="NET-1612"/>
    <n v="1198.9000000000001"/>
    <n v="2941.2"/>
    <s v="High"/>
    <n v="5.0999999999999997E-2"/>
    <n v="24"/>
    <n v="66988.771199999988"/>
    <n v="28773.600000000002"/>
    <n v="38215.171199999982"/>
    <n v="0.57047129713583977"/>
    <x v="1"/>
  </r>
  <r>
    <s v="ORD-2023-501220"/>
    <d v="2023-04-19T00:00:00"/>
    <s v="Q2-2023"/>
    <d v="2023-05-07T00:00:00"/>
    <n v="18"/>
    <s v="Europe"/>
    <x v="8"/>
    <s v="Birmingham"/>
    <s v="Enterprise"/>
    <s v="Retail"/>
    <s v="N. Brown"/>
    <x v="4"/>
    <s v="LAP-9766"/>
    <n v="1089.1500000000001"/>
    <n v="1088.2"/>
    <s v="High"/>
    <n v="5.0999999999999997E-2"/>
    <n v="15"/>
    <n v="15490.527"/>
    <n v="16337.250000000002"/>
    <n v="-846.72300000000178"/>
    <n v="-5.4660696824582002E-2"/>
    <x v="0"/>
  </r>
  <r>
    <s v="ORD-2023-195665"/>
    <d v="2023-12-19T00:00:00"/>
    <s v="Q4-2023"/>
    <d v="2023-12-20T00:00:00"/>
    <n v="1"/>
    <s v="Americas"/>
    <x v="5"/>
    <s v="Rio de Janeiro"/>
    <s v="Consumer"/>
    <s v="Distributor"/>
    <s v="J. Njeri"/>
    <x v="3"/>
    <s v="PHN-7274"/>
    <n v="1080.43"/>
    <n v="2529.15"/>
    <s v="High"/>
    <n v="0.14699999999999999"/>
    <n v="10"/>
    <n v="21573.6495"/>
    <n v="10804.300000000001"/>
    <n v="10769.349499999998"/>
    <n v="0.49918997247081437"/>
    <x v="1"/>
  </r>
  <r>
    <s v="ORD-2023-290237"/>
    <d v="2023-07-30T00:00:00"/>
    <s v="Q3-2023"/>
    <d v="2023-08-07T00:00:00"/>
    <n v="8"/>
    <s v="Asia"/>
    <x v="2"/>
    <s v="Nagoya"/>
    <s v="Education"/>
    <s v="Marketplace"/>
    <s v="A. Patel"/>
    <x v="2"/>
    <s v="NET-1645"/>
    <n v="1352.44"/>
    <n v="2698.01"/>
    <s v="High"/>
    <n v="0.13100000000000001"/>
    <n v="13"/>
    <n v="30479.418970000002"/>
    <n v="17581.72"/>
    <n v="12897.698970000001"/>
    <n v="0.42316091992090887"/>
    <x v="0"/>
  </r>
  <r>
    <s v="ORD-2023-302041"/>
    <d v="2023-10-04T00:00:00"/>
    <s v="Q4-2023"/>
    <d v="2023-10-29T00:00:00"/>
    <n v="25"/>
    <s v="Americas"/>
    <x v="10"/>
    <s v="San Francisco"/>
    <s v="Small Business"/>
    <s v="Distributor"/>
    <s v="O. Wang"/>
    <x v="6"/>
    <s v="ACC-5079"/>
    <n v="1239.8399999999999"/>
    <n v="1482.75"/>
    <s v="High"/>
    <n v="6.7000000000000004E-2"/>
    <n v="4"/>
    <n v="5533.6230000000005"/>
    <n v="4959.3599999999997"/>
    <n v="574.26300000000083"/>
    <n v="0.10377703721413634"/>
    <x v="0"/>
  </r>
  <r>
    <s v="ORD-2025-289139"/>
    <d v="2025-08-10T00:00:00"/>
    <s v="Q3-2025"/>
    <d v="2025-08-30T00:00:00"/>
    <n v="20"/>
    <s v="Americas"/>
    <x v="10"/>
    <s v="San Francisco"/>
    <s v="Corporate"/>
    <s v="Marketplace"/>
    <s v="K. Singh"/>
    <x v="1"/>
    <s v="PRN-2098"/>
    <n v="933.29"/>
    <n v="1456.81"/>
    <s v="High"/>
    <n v="0.123"/>
    <n v="13"/>
    <n v="16609.090809999998"/>
    <n v="12132.77"/>
    <n v="4476.3208099999974"/>
    <n v="0.26951028573489977"/>
    <x v="0"/>
  </r>
  <r>
    <s v="ORD-2023-949710"/>
    <d v="2023-03-07T00:00:00"/>
    <s v="Q1-2023"/>
    <d v="2023-04-01T00:00:00"/>
    <n v="25"/>
    <s v="Africa"/>
    <x v="0"/>
    <s v="Nairobi"/>
    <s v="Consumer"/>
    <s v="Marketplace"/>
    <s v="D. Smith"/>
    <x v="1"/>
    <s v="PRN-7049"/>
    <n v="1024.0999999999999"/>
    <n v="918.19"/>
    <s v="High"/>
    <n v="0.189"/>
    <n v="10"/>
    <n v="7446.5209000000004"/>
    <n v="10241"/>
    <n v="-2794.4790999999996"/>
    <n v="-0.37527311579827827"/>
    <x v="0"/>
  </r>
  <r>
    <s v="ORD-2023-603650"/>
    <d v="2023-05-23T00:00:00"/>
    <s v="Q2-2023"/>
    <d v="2023-06-10T00:00:00"/>
    <n v="18"/>
    <s v="Asia"/>
    <x v="9"/>
    <s v="Shanghai"/>
    <s v="Corporate"/>
    <s v="Distributor"/>
    <s v="E. Garcia"/>
    <x v="0"/>
    <s v="CMP-6925"/>
    <n v="54.62"/>
    <n v="48.94"/>
    <s v="High"/>
    <n v="0.14799999999999999"/>
    <n v="16"/>
    <n v="667.15008"/>
    <n v="873.92"/>
    <n v="-206.76991999999996"/>
    <n v="-0.3099301434543783"/>
    <x v="0"/>
  </r>
  <r>
    <s v="ORD-2025-757957"/>
    <d v="2025-04-24T00:00:00"/>
    <s v="Q2-2025"/>
    <d v="2025-05-06T00:00:00"/>
    <n v="12"/>
    <s v="Americas"/>
    <x v="5"/>
    <s v="Brasília"/>
    <s v="Consumer"/>
    <s v="Online"/>
    <s v="C. Otieno"/>
    <x v="3"/>
    <s v="PHN-2787"/>
    <n v="394.13"/>
    <n v="932.29"/>
    <s v="High"/>
    <n v="0.109"/>
    <n v="7"/>
    <n v="5814.6927299999998"/>
    <n v="2758.91"/>
    <n v="3055.7827299999999"/>
    <n v="0.5255278089303268"/>
    <x v="0"/>
  </r>
  <r>
    <s v="ORD-2024-423853"/>
    <d v="2024-09-03T00:00:00"/>
    <s v="Q3-2024"/>
    <d v="2024-09-08T00:00:00"/>
    <n v="5"/>
    <s v="Africa"/>
    <x v="1"/>
    <s v="Lagos"/>
    <s v="Small Business"/>
    <s v="Direct"/>
    <s v="K. Singh"/>
    <x v="1"/>
    <s v="PRN-1141"/>
    <n v="197.63"/>
    <n v="325.79000000000002"/>
    <s v="High"/>
    <n v="0.11600000000000001"/>
    <n v="10"/>
    <n v="2879.9836"/>
    <n v="1976.3"/>
    <n v="903.68360000000007"/>
    <n v="0.31378081458519419"/>
    <x v="1"/>
  </r>
  <r>
    <s v="ORD-2024-569164"/>
    <d v="2024-09-05T00:00:00"/>
    <s v="Q3-2024"/>
    <d v="2024-09-25T00:00:00"/>
    <n v="20"/>
    <s v="Asia"/>
    <x v="2"/>
    <s v="Osaka"/>
    <s v="Enterprise"/>
    <s v="Distributor"/>
    <s v="D. Smith"/>
    <x v="5"/>
    <s v="MON-5249"/>
    <n v="195.54"/>
    <n v="405.97"/>
    <s v="High"/>
    <n v="0.187"/>
    <n v="16"/>
    <n v="5280.8577599999999"/>
    <n v="3128.64"/>
    <n v="2152.21776"/>
    <n v="0.40755079152141377"/>
    <x v="0"/>
  </r>
  <r>
    <s v="ORD-2023-946143"/>
    <d v="2023-03-14T00:00:00"/>
    <s v="Q1-2023"/>
    <d v="2023-03-30T00:00:00"/>
    <n v="16"/>
    <s v="Africa"/>
    <x v="11"/>
    <s v="Cape Town"/>
    <s v="Consumer"/>
    <s v="Distributor"/>
    <s v="K. Singh"/>
    <x v="0"/>
    <s v="CMP-8230"/>
    <n v="1309.77"/>
    <n v="1589.07"/>
    <s v="High"/>
    <n v="0.10199999999999999"/>
    <n v="10"/>
    <n v="14269.848599999999"/>
    <n v="13097.7"/>
    <n v="1172.1485999999986"/>
    <n v="8.2141628328137886E-2"/>
    <x v="0"/>
  </r>
  <r>
    <s v="ORD-2024-281211"/>
    <d v="2024-01-11T00:00:00"/>
    <s v="Q1-2024"/>
    <d v="2024-02-02T00:00:00"/>
    <n v="22"/>
    <s v="Asia"/>
    <x v="2"/>
    <s v="Nagoya"/>
    <s v="Small Business"/>
    <s v="Online"/>
    <s v="Unknown"/>
    <x v="1"/>
    <s v="PRN-7816"/>
    <n v="1237.68"/>
    <n v="1432.8"/>
    <s v="High"/>
    <n v="6.8000000000000005E-2"/>
    <n v="13"/>
    <n v="17359.804799999998"/>
    <n v="16089.84"/>
    <n v="1269.9647999999979"/>
    <n v="7.315547695559331E-2"/>
    <x v="0"/>
  </r>
  <r>
    <s v="ORD-2024-805860"/>
    <d v="2024-09-13T00:00:00"/>
    <s v="Q3-2024"/>
    <d v="2024-10-02T00:00:00"/>
    <n v="19"/>
    <s v="Africa"/>
    <x v="0"/>
    <s v="Mombasa"/>
    <s v="Small Business"/>
    <s v="Retail"/>
    <s v="M. Rossi"/>
    <x v="3"/>
    <s v="PHN-8804"/>
    <n v="1338.99"/>
    <n v="1765.76"/>
    <s v="High"/>
    <n v="0.126"/>
    <n v="24"/>
    <n v="37038.581760000001"/>
    <n v="32135.760000000002"/>
    <n v="4902.8217599999989"/>
    <n v="0.1323706666677725"/>
    <x v="0"/>
  </r>
  <r>
    <s v="ORD-2025-132174"/>
    <d v="2025-07-17T00:00:00"/>
    <s v="Q3-2025"/>
    <d v="2025-07-23T00:00:00"/>
    <n v="6"/>
    <s v="Americas"/>
    <x v="3"/>
    <s v="Vancouver"/>
    <s v="Consumer"/>
    <s v="Online"/>
    <s v="H. Kim"/>
    <x v="0"/>
    <s v="CMP-8851"/>
    <n v="1364.89"/>
    <n v="2757.54"/>
    <s v="High"/>
    <n v="0.17199999999999999"/>
    <n v="61"/>
    <n v="139277.83032000001"/>
    <n v="83258.290000000008"/>
    <n v="56019.54032"/>
    <n v="0.4022143379983118"/>
    <x v="1"/>
  </r>
  <r>
    <s v="ORD-2023-964434"/>
    <d v="2023-11-28T00:00:00"/>
    <s v="Q4-2023"/>
    <d v="2023-12-07T00:00:00"/>
    <n v="9"/>
    <s v="Asia"/>
    <x v="4"/>
    <s v="Delhi"/>
    <s v="Enterprise"/>
    <s v="Marketplace"/>
    <s v="L. Okafor"/>
    <x v="3"/>
    <s v="PHN-2447"/>
    <n v="699.33"/>
    <n v="873.75"/>
    <s v="High"/>
    <n v="0.23499999999999999"/>
    <n v="10"/>
    <n v="6684.1875"/>
    <n v="6993.3"/>
    <n v="-309.11250000000018"/>
    <n v="-4.6245336475076469E-2"/>
    <x v="0"/>
  </r>
  <r>
    <s v="ORD-2024-897622"/>
    <d v="2024-03-30T00:00:00"/>
    <s v="Q1-2024"/>
    <d v="2024-04-24T00:00:00"/>
    <n v="25"/>
    <s v="Americas"/>
    <x v="10"/>
    <s v="Austin"/>
    <s v="Non-Profit"/>
    <s v="Online"/>
    <s v="G. Dubois"/>
    <x v="4"/>
    <s v="LAP-2846"/>
    <n v="160.82"/>
    <n v="258.52"/>
    <s v="High"/>
    <n v="0.13"/>
    <n v="17"/>
    <n v="3823.5108"/>
    <n v="2733.94"/>
    <n v="1089.5708"/>
    <n v="0.28496605789631874"/>
    <x v="0"/>
  </r>
  <r>
    <s v="ORD-2023-517216"/>
    <d v="2023-09-19T00:00:00"/>
    <s v="Q3-2023"/>
    <d v="2023-10-08T00:00:00"/>
    <n v="19"/>
    <s v="Asia"/>
    <x v="4"/>
    <s v="Bengaluru"/>
    <s v="Education"/>
    <s v="Direct"/>
    <s v="J. Njeri"/>
    <x v="1"/>
    <s v="PRN-5005"/>
    <n v="385.32"/>
    <n v="606.76"/>
    <s v="High"/>
    <n v="8.5999999999999993E-2"/>
    <n v="8"/>
    <n v="4436.6291200000005"/>
    <n v="3082.56"/>
    <n v="1354.0691200000006"/>
    <n v="0.30520223425842735"/>
    <x v="0"/>
  </r>
  <r>
    <s v="ORD-2025-509940"/>
    <d v="2025-05-16T00:00:00"/>
    <s v="Q2-2025"/>
    <d v="2025-05-27T00:00:00"/>
    <n v="11"/>
    <s v="Asia"/>
    <x v="9"/>
    <s v="Beijing"/>
    <s v="Enterprise"/>
    <s v="Online"/>
    <s v="F. Müller"/>
    <x v="3"/>
    <s v="PHN-3800"/>
    <n v="918.12"/>
    <n v="1337.69"/>
    <s v="High"/>
    <n v="9.5000000000000001E-2"/>
    <n v="8"/>
    <n v="9684.8756000000012"/>
    <n v="7344.96"/>
    <n v="2339.9156000000012"/>
    <n v="0.24160512707050164"/>
    <x v="0"/>
  </r>
  <r>
    <s v="ORD-2025-646342"/>
    <d v="2025-08-02T00:00:00"/>
    <s v="Q3-2025"/>
    <d v="2025-08-08T00:00:00"/>
    <n v="6"/>
    <s v="Asia"/>
    <x v="2"/>
    <s v="Osaka"/>
    <s v="Consumer"/>
    <s v="Direct"/>
    <s v="N. Brown"/>
    <x v="4"/>
    <s v="LAP-4828"/>
    <n v="1225.94"/>
    <n v="1793.08"/>
    <s v="High"/>
    <n v="0.13600000000000001"/>
    <n v="22"/>
    <n v="34082.864639999993"/>
    <n v="26970.68"/>
    <n v="7112.1846399999922"/>
    <n v="0.20867332353434462"/>
    <x v="1"/>
  </r>
  <r>
    <s v="ORD-2024-866535"/>
    <d v="2024-12-04T00:00:00"/>
    <s v="Q4-2024"/>
    <d v="2024-12-12T00:00:00"/>
    <n v="8"/>
    <s v="Europe"/>
    <x v="6"/>
    <s v="Frankfurt"/>
    <s v="Enterprise"/>
    <s v="Marketplace"/>
    <s v="B. Chen"/>
    <x v="1"/>
    <s v="PRN-5492"/>
    <n v="72.06"/>
    <n v="122.74"/>
    <s v="High"/>
    <n v="0.23799999999999999"/>
    <n v="8"/>
    <n v="748.22303999999997"/>
    <n v="576.48"/>
    <n v="171.74303999999995"/>
    <n v="0.22953455162246802"/>
    <x v="0"/>
  </r>
  <r>
    <s v="ORD-2023-747341"/>
    <d v="2023-04-19T00:00:00"/>
    <s v="Q2-2023"/>
    <d v="2023-04-28T00:00:00"/>
    <n v="9"/>
    <s v="Americas"/>
    <x v="5"/>
    <s v="Rio de Janeiro"/>
    <s v="Corporate"/>
    <s v="Distributor"/>
    <s v="M. Rossi"/>
    <x v="3"/>
    <s v="PHN-7132"/>
    <n v="1013.54"/>
    <n v="927.93"/>
    <s v="High"/>
    <n v="0.17499999999999999"/>
    <n v="16"/>
    <n v="12248.675999999999"/>
    <n v="16216.64"/>
    <n v="-3967.9639999999999"/>
    <n v="-0.32395044166406234"/>
    <x v="0"/>
  </r>
  <r>
    <s v="ORD-2024-853298"/>
    <d v="2024-03-06T00:00:00"/>
    <s v="Q1-2024"/>
    <d v="2024-03-26T00:00:00"/>
    <n v="20"/>
    <s v="Africa"/>
    <x v="1"/>
    <s v="Port Harcourt"/>
    <s v="Consumer"/>
    <s v="Marketplace"/>
    <s v="I. Johnson"/>
    <x v="3"/>
    <s v="PHN-4741"/>
    <n v="65.64"/>
    <n v="151.88"/>
    <s v="High"/>
    <n v="0.16700000000000001"/>
    <n v="23"/>
    <n v="2909.8689199999999"/>
    <n v="1509.72"/>
    <n v="1400.1489199999999"/>
    <n v="0.48117250587356353"/>
    <x v="0"/>
  </r>
  <r>
    <s v="ORD-2024-544865"/>
    <d v="2024-02-16T00:00:00"/>
    <s v="Q1-2024"/>
    <d v="2024-03-04T00:00:00"/>
    <n v="17"/>
    <s v="Americas"/>
    <x v="3"/>
    <s v="Montreal"/>
    <s v="Non-Profit"/>
    <s v="Retail"/>
    <s v="D. Smith"/>
    <x v="4"/>
    <s v="LAP-2774"/>
    <n v="1350.98"/>
    <n v="2210.4"/>
    <s v="High"/>
    <n v="0.26300000000000001"/>
    <n v="6"/>
    <n v="9774.3888000000006"/>
    <n v="8105.88"/>
    <n v="1668.5088000000005"/>
    <n v="0.17070211080615091"/>
    <x v="0"/>
  </r>
  <r>
    <s v="ORD-2025-946490"/>
    <d v="2025-04-22T00:00:00"/>
    <s v="Q2-2025"/>
    <d v="2025-05-02T00:00:00"/>
    <n v="10"/>
    <s v="Europe"/>
    <x v="6"/>
    <s v="Berlin"/>
    <s v="Corporate"/>
    <s v="Marketplace"/>
    <s v="C. Otieno"/>
    <x v="5"/>
    <s v="MON-2842"/>
    <n v="20.149999999999999"/>
    <n v="39.74"/>
    <s v="High"/>
    <n v="0.151"/>
    <n v="18"/>
    <n v="607.30668000000003"/>
    <n v="362.7"/>
    <n v="244.60668000000004"/>
    <n v="0.4027729120318585"/>
    <x v="0"/>
  </r>
  <r>
    <s v="ORD-2024-320972"/>
    <d v="2024-11-08T00:00:00"/>
    <s v="Q4-2024"/>
    <d v="2024-11-08T00:00:00"/>
    <n v="0"/>
    <s v="Africa"/>
    <x v="0"/>
    <s v="Nakuru"/>
    <s v="Enterprise"/>
    <s v="Marketplace"/>
    <s v="M. Rossi"/>
    <x v="2"/>
    <s v="NET-2628"/>
    <n v="803.28"/>
    <n v="1009"/>
    <s v="High"/>
    <n v="0.11"/>
    <n v="4"/>
    <n v="3592.04"/>
    <n v="3213.12"/>
    <n v="378.92000000000007"/>
    <n v="0.10548880302001093"/>
    <x v="1"/>
  </r>
  <r>
    <s v="ORD-2025-248586"/>
    <d v="2025-09-12T00:00:00"/>
    <s v="Q3-2025"/>
    <d v="2025-09-30T00:00:00"/>
    <n v="18"/>
    <s v="Asia"/>
    <x v="2"/>
    <s v="Nagoya"/>
    <s v="Non-Profit"/>
    <s v="Marketplace"/>
    <s v="F. Müller"/>
    <x v="5"/>
    <s v="MON-2998"/>
    <n v="1212.99"/>
    <n v="1653.64"/>
    <s v="High"/>
    <n v="0.107"/>
    <n v="8"/>
    <n v="11813.604160000001"/>
    <n v="9703.92"/>
    <n v="2109.6841600000007"/>
    <n v="0.17858090819931455"/>
    <x v="0"/>
  </r>
  <r>
    <s v="ORD-2024-664046"/>
    <d v="2024-09-02T00:00:00"/>
    <s v="Q3-2024"/>
    <d v="2024-09-08T00:00:00"/>
    <n v="6"/>
    <s v="Americas"/>
    <x v="10"/>
    <s v="Austin"/>
    <s v="Consumer"/>
    <s v="Direct"/>
    <s v="H. Kim"/>
    <x v="0"/>
    <s v="CMP-7563"/>
    <n v="462.94"/>
    <n v="1015.7"/>
    <s v="High"/>
    <n v="0.14299999999999999"/>
    <n v="14"/>
    <n v="12186.368600000002"/>
    <n v="6481.16"/>
    <n v="5705.2086000000018"/>
    <n v="0.46816314090483041"/>
    <x v="1"/>
  </r>
  <r>
    <s v="ORD-2023-276806"/>
    <d v="2023-03-04T00:00:00"/>
    <s v="Q1-2023"/>
    <d v="2023-03-24T00:00:00"/>
    <n v="20"/>
    <s v="Americas"/>
    <x v="3"/>
    <s v="Montreal"/>
    <s v="Consumer"/>
    <s v="Distributor"/>
    <s v="I. Johnson"/>
    <x v="4"/>
    <s v="LAP-6160"/>
    <n v="481.71"/>
    <n v="912.45"/>
    <s v="High"/>
    <n v="0.20300000000000001"/>
    <n v="24"/>
    <n v="17453.3436"/>
    <n v="11561.039999999999"/>
    <n v="5892.3036000000011"/>
    <n v="0.33760313983619739"/>
    <x v="0"/>
  </r>
  <r>
    <s v="ORD-2024-220234"/>
    <d v="2024-03-15T00:00:00"/>
    <s v="Q1-2024"/>
    <d v="2024-04-09T00:00:00"/>
    <n v="25"/>
    <s v="Americas"/>
    <x v="3"/>
    <s v="Vancouver"/>
    <s v="Consumer"/>
    <s v="Online"/>
    <s v="F. Müller"/>
    <x v="5"/>
    <s v="MON-4361"/>
    <n v="648.64"/>
    <n v="815.19"/>
    <s v="High"/>
    <n v="0.22500000000000001"/>
    <n v="28"/>
    <n v="17689.623"/>
    <n v="18161.919999999998"/>
    <n v="-472.29699999999866"/>
    <n v="-2.6699099240272032E-2"/>
    <x v="0"/>
  </r>
  <r>
    <s v="ORD-2024-301260"/>
    <d v="2024-07-29T00:00:00"/>
    <s v="Q3-2024"/>
    <d v="2024-07-31T00:00:00"/>
    <n v="2"/>
    <s v="Americas"/>
    <x v="10"/>
    <s v="New York"/>
    <s v="Education"/>
    <s v="Marketplace"/>
    <s v="I. Johnson"/>
    <x v="1"/>
    <s v="PRN-2829"/>
    <n v="798.97"/>
    <n v="1814.06"/>
    <s v="High"/>
    <n v="0.122"/>
    <n v="16"/>
    <n v="25483.91488"/>
    <n v="12783.52"/>
    <n v="12700.39488"/>
    <n v="0.49836906691159061"/>
    <x v="1"/>
  </r>
  <r>
    <s v="ORD-2024-350100"/>
    <d v="2024-10-27T00:00:00"/>
    <s v="Q4-2024"/>
    <d v="2024-11-20T00:00:00"/>
    <n v="24"/>
    <s v="Asia"/>
    <x v="2"/>
    <s v="Nagoya"/>
    <s v="Non-Profit"/>
    <s v="Online"/>
    <s v="H. Kim"/>
    <x v="5"/>
    <s v="MON-8939"/>
    <n v="317.25"/>
    <n v="758.92"/>
    <s v="High"/>
    <n v="5.2999999999999999E-2"/>
    <n v="9"/>
    <n v="6468.2751599999992"/>
    <n v="2855.25"/>
    <n v="3613.0251599999992"/>
    <n v="0.5585762928489888"/>
    <x v="0"/>
  </r>
  <r>
    <s v="ORD-2024-855600"/>
    <d v="2024-04-29T00:00:00"/>
    <s v="Q2-2024"/>
    <d v="2024-05-19T00:00:00"/>
    <n v="20"/>
    <s v="Europe"/>
    <x v="6"/>
    <s v="Frankfurt"/>
    <s v="Enterprise"/>
    <s v="Marketplace"/>
    <s v="C. Otieno"/>
    <x v="4"/>
    <s v="LAP-5009"/>
    <n v="668.97"/>
    <n v="1667.44"/>
    <s v="High"/>
    <n v="3.4000000000000002E-2"/>
    <n v="15"/>
    <n v="24161.205600000001"/>
    <n v="10034.550000000001"/>
    <n v="14126.6556"/>
    <n v="0.58468339013679016"/>
    <x v="0"/>
  </r>
  <r>
    <s v="ORD-2023-474313"/>
    <d v="2023-10-05T00:00:00"/>
    <s v="Q4-2023"/>
    <d v="2023-10-06T00:00:00"/>
    <n v="1"/>
    <s v="Asia"/>
    <x v="4"/>
    <s v="Bengaluru"/>
    <s v="Non-Profit"/>
    <s v="Online"/>
    <s v="I. Johnson"/>
    <x v="0"/>
    <s v="CMP-4807"/>
    <n v="1470.26"/>
    <n v="2562.5500000000002"/>
    <s v="High"/>
    <n v="0.17299999999999999"/>
    <n v="9"/>
    <n v="19073.059649999999"/>
    <n v="13232.34"/>
    <n v="5840.7196499999991"/>
    <n v="0.30622877279157462"/>
    <x v="1"/>
  </r>
  <r>
    <s v="ORD-2023-256951"/>
    <d v="2023-04-19T00:00:00"/>
    <s v="Q2-2023"/>
    <d v="2023-05-07T00:00:00"/>
    <n v="18"/>
    <s v="Europe"/>
    <x v="8"/>
    <s v="London"/>
    <s v="Non-Profit"/>
    <s v="Direct"/>
    <s v="H. Kim"/>
    <x v="2"/>
    <s v="NET-2439"/>
    <n v="516.96"/>
    <n v="745.38"/>
    <s v="High"/>
    <n v="0.19700000000000001"/>
    <n v="4"/>
    <n v="2394.1605599999998"/>
    <n v="2067.84"/>
    <n v="326.32055999999966"/>
    <n v="0.13629852794835101"/>
    <x v="0"/>
  </r>
  <r>
    <s v="ORD-2025-184754"/>
    <d v="2025-06-27T00:00:00"/>
    <s v="Q2-2025"/>
    <d v="2025-07-05T00:00:00"/>
    <n v="8"/>
    <s v="Europe"/>
    <x v="6"/>
    <s v="Munich"/>
    <s v="Small Business"/>
    <s v="Direct"/>
    <s v="G. Dubois"/>
    <x v="5"/>
    <s v="MON-7626"/>
    <n v="314.93"/>
    <n v="687.95"/>
    <s v="High"/>
    <n v="0.20499999999999999"/>
    <n v="8"/>
    <n v="4375.3620000000001"/>
    <n v="2519.44"/>
    <n v="1855.922"/>
    <n v="0.424175645352316"/>
    <x v="0"/>
  </r>
  <r>
    <s v="ORD-2023-888140"/>
    <d v="2023-10-11T00:00:00"/>
    <s v="Q4-2023"/>
    <d v="2023-10-13T00:00:00"/>
    <n v="2"/>
    <s v="Americas"/>
    <x v="5"/>
    <s v="Brasília"/>
    <s v="Consumer"/>
    <s v="Distributor"/>
    <s v="Unknown"/>
    <x v="6"/>
    <s v="ACC-3567"/>
    <n v="715.94"/>
    <n v="550.07000000000005"/>
    <s v="High"/>
    <n v="0.14000000000000001"/>
    <n v="16"/>
    <n v="7568.9632000000001"/>
    <n v="11455.04"/>
    <n v="-3886.0768000000007"/>
    <n v="-0.51342260456491595"/>
    <x v="1"/>
  </r>
  <r>
    <s v="ORD-2023-638181"/>
    <d v="2023-05-20T00:00:00"/>
    <s v="Q2-2023"/>
    <d v="2023-06-07T00:00:00"/>
    <n v="18"/>
    <s v="Africa"/>
    <x v="1"/>
    <s v="Port Harcourt"/>
    <s v="Enterprise"/>
    <s v="Distributor"/>
    <s v="E. Garcia"/>
    <x v="0"/>
    <s v="CMP-4630"/>
    <n v="1120.06"/>
    <n v="2068.21"/>
    <s v="High"/>
    <n v="7.8E-2"/>
    <n v="12"/>
    <n v="22882.675440000003"/>
    <n v="13440.72"/>
    <n v="9441.9554400000034"/>
    <n v="0.41262462795303284"/>
    <x v="0"/>
  </r>
  <r>
    <s v="ORD-2023-521280"/>
    <d v="2023-05-27T00:00:00"/>
    <s v="Q2-2023"/>
    <d v="2023-06-19T00:00:00"/>
    <n v="23"/>
    <s v="Europe"/>
    <x v="6"/>
    <s v="Berlin"/>
    <s v="Education"/>
    <s v="Retail"/>
    <s v="O. Wang"/>
    <x v="6"/>
    <s v="ACC-1882"/>
    <n v="1471.58"/>
    <n v="2576.65"/>
    <s v="High"/>
    <n v="4.0000000000000001E-3"/>
    <n v="7"/>
    <n v="17964.4038"/>
    <n v="10301.06"/>
    <n v="7663.3438000000006"/>
    <n v="0.4265849223451546"/>
    <x v="0"/>
  </r>
  <r>
    <s v="ORD-2023-630430"/>
    <d v="2023-08-04T00:00:00"/>
    <s v="Q3-2023"/>
    <d v="2023-08-24T00:00:00"/>
    <n v="20"/>
    <s v="Americas"/>
    <x v="5"/>
    <s v="Brasília"/>
    <s v="Non-Profit"/>
    <s v="Direct"/>
    <s v="Unknown"/>
    <x v="2"/>
    <s v="NET-9125"/>
    <n v="582.88"/>
    <n v="1044.1400000000001"/>
    <s v="High"/>
    <n v="0.216"/>
    <n v="10"/>
    <n v="8186.057600000001"/>
    <n v="5828.8"/>
    <n v="2357.2576000000008"/>
    <n v="0.28796005539956138"/>
    <x v="0"/>
  </r>
  <r>
    <s v="ORD-2025-908258"/>
    <d v="2025-06-21T00:00:00"/>
    <s v="Q2-2025"/>
    <d v="2025-06-27T00:00:00"/>
    <n v="6"/>
    <s v="Africa"/>
    <x v="11"/>
    <s v="Durban"/>
    <s v="Enterprise"/>
    <s v="Distributor"/>
    <s v="N. Brown"/>
    <x v="3"/>
    <s v="PHN-3819"/>
    <n v="93.91"/>
    <n v="99.04"/>
    <s v="High"/>
    <n v="5.7000000000000002E-2"/>
    <n v="6"/>
    <n v="560.36831999999993"/>
    <n v="563.46"/>
    <n v="-3.0916800000001103"/>
    <n v="-5.5172283829323376E-3"/>
    <x v="1"/>
  </r>
  <r>
    <s v="ORD-2025-440093"/>
    <d v="2025-04-16T00:00:00"/>
    <s v="Q2-2025"/>
    <d v="2025-04-26T00:00:00"/>
    <n v="10"/>
    <s v="Africa"/>
    <x v="1"/>
    <s v="Port Harcourt"/>
    <s v="Enterprise"/>
    <s v="Marketplace"/>
    <s v="F. Müller"/>
    <x v="4"/>
    <s v="LAP-3490"/>
    <n v="1457.44"/>
    <n v="1996.81"/>
    <s v="High"/>
    <n v="0.126"/>
    <n v="23"/>
    <n v="40139.874619999995"/>
    <n v="33521.120000000003"/>
    <n v="6618.7546199999924"/>
    <n v="0.16489225944672353"/>
    <x v="0"/>
  </r>
  <r>
    <s v="ORD-2025-898022"/>
    <d v="2025-09-02T00:00:00"/>
    <s v="Q3-2025"/>
    <d v="2025-09-11T00:00:00"/>
    <n v="9"/>
    <s v="Americas"/>
    <x v="3"/>
    <s v="Toronto"/>
    <s v="Corporate"/>
    <s v="Distributor"/>
    <s v="M. Rossi"/>
    <x v="1"/>
    <s v="PRN-1276"/>
    <n v="1207.6300000000001"/>
    <n v="921.68"/>
    <s v="High"/>
    <n v="0.19600000000000001"/>
    <n v="17"/>
    <n v="12597.52224"/>
    <n v="20529.710000000003"/>
    <n v="-7932.1877600000025"/>
    <n v="-0.62966253274897988"/>
    <x v="0"/>
  </r>
  <r>
    <s v="ORD-2024-500511"/>
    <d v="2024-10-08T00:00:00"/>
    <s v="Q4-2024"/>
    <d v="2024-10-08T00:00:00"/>
    <n v="0"/>
    <s v="Europe"/>
    <x v="8"/>
    <s v="London"/>
    <s v="Corporate"/>
    <s v="Online"/>
    <s v="E. Garcia"/>
    <x v="5"/>
    <s v="MON-9733"/>
    <n v="1108.1099999999999"/>
    <n v="2503.79"/>
    <s v="High"/>
    <n v="0.184"/>
    <n v="19"/>
    <n v="38818.760160000005"/>
    <n v="21054.089999999997"/>
    <n v="17764.670160000009"/>
    <n v="0.45763105485025896"/>
    <x v="1"/>
  </r>
  <r>
    <s v="ORD-2023-632893"/>
    <d v="2023-05-07T00:00:00"/>
    <s v="Q2-2023"/>
    <d v="2023-05-14T00:00:00"/>
    <n v="7"/>
    <s v="Africa"/>
    <x v="1"/>
    <s v="Port Harcourt"/>
    <s v="Non-Profit"/>
    <s v="Marketplace"/>
    <s v="A. Patel"/>
    <x v="0"/>
    <s v="CMP-9392"/>
    <n v="1269.6500000000001"/>
    <n v="2462.77"/>
    <s v="High"/>
    <n v="0.107"/>
    <n v="8"/>
    <n v="17594.028880000002"/>
    <n v="10157.200000000001"/>
    <n v="7436.8288800000009"/>
    <n v="0.42269050089225502"/>
    <x v="1"/>
  </r>
  <r>
    <s v="ORD-2023-967239"/>
    <d v="2023-12-24T00:00:00"/>
    <s v="Q4-2023"/>
    <d v="2024-01-01T00:00:00"/>
    <n v="8"/>
    <s v="Americas"/>
    <x v="5"/>
    <s v="São Paulo"/>
    <s v="Education"/>
    <s v="Direct"/>
    <s v="C. Otieno"/>
    <x v="3"/>
    <s v="PHN-3014"/>
    <n v="526.49"/>
    <n v="496.2"/>
    <s v="High"/>
    <n v="0"/>
    <n v="14"/>
    <n v="6946.8"/>
    <n v="7370.8600000000006"/>
    <n v="-424.0600000000004"/>
    <n v="-6.1043933897621985E-2"/>
    <x v="0"/>
  </r>
  <r>
    <s v="ORD-2024-885858"/>
    <d v="2024-01-10T00:00:00"/>
    <s v="Q1-2024"/>
    <d v="2024-01-23T00:00:00"/>
    <n v="13"/>
    <s v="Europe"/>
    <x v="7"/>
    <s v="Marseille"/>
    <s v="Corporate"/>
    <s v="Direct"/>
    <s v="A. Patel"/>
    <x v="1"/>
    <s v="PRN-6776"/>
    <n v="720"/>
    <n v="907.59"/>
    <s v="High"/>
    <n v="0.154"/>
    <n v="10"/>
    <n v="7678.2113999999992"/>
    <n v="7200"/>
    <n v="478.21139999999923"/>
    <n v="6.2281614179052078E-2"/>
    <x v="0"/>
  </r>
  <r>
    <s v="ORD-2023-253245"/>
    <d v="2023-08-03T00:00:00"/>
    <s v="Q3-2023"/>
    <d v="2023-08-14T00:00:00"/>
    <n v="11"/>
    <s v="Americas"/>
    <x v="5"/>
    <s v="Brasília"/>
    <s v="Corporate"/>
    <s v="Direct"/>
    <s v="J. Njeri"/>
    <x v="6"/>
    <s v="ACC-3951"/>
    <n v="232.73"/>
    <n v="334.19"/>
    <s v="High"/>
    <n v="0.13400000000000001"/>
    <n v="25"/>
    <n v="7235.2134999999998"/>
    <n v="5818.25"/>
    <n v="1416.9634999999998"/>
    <n v="0.1958426658729559"/>
    <x v="0"/>
  </r>
  <r>
    <s v="ORD-2025-484073"/>
    <d v="2025-02-19T00:00:00"/>
    <s v="Q1-2025"/>
    <d v="2025-03-09T00:00:00"/>
    <n v="18"/>
    <s v="Asia"/>
    <x v="4"/>
    <s v="Delhi"/>
    <s v="Small Business"/>
    <s v="Direct"/>
    <s v="O. Wang"/>
    <x v="5"/>
    <s v="MON-1436"/>
    <n v="325.87"/>
    <n v="538.79"/>
    <s v="High"/>
    <n v="0.17399999999999999"/>
    <n v="16"/>
    <n v="7120.6486400000003"/>
    <n v="5213.92"/>
    <n v="1906.7286400000003"/>
    <n v="0.26777457172778013"/>
    <x v="0"/>
  </r>
  <r>
    <s v="ORD-2024-745822"/>
    <d v="2024-03-31T00:00:00"/>
    <s v="Q1-2024"/>
    <d v="2024-04-17T00:00:00"/>
    <n v="17"/>
    <s v="Europe"/>
    <x v="6"/>
    <s v="Frankfurt"/>
    <s v="Education"/>
    <s v="Direct"/>
    <s v="H. Kim"/>
    <x v="5"/>
    <s v="MON-8651"/>
    <n v="1025.51"/>
    <n v="1436.54"/>
    <s v="High"/>
    <n v="0.13900000000000001"/>
    <n v="28"/>
    <n v="34632.106319999999"/>
    <n v="28714.28"/>
    <n v="5917.8263200000001"/>
    <n v="0.17087688127656453"/>
    <x v="0"/>
  </r>
  <r>
    <s v="ORD-2023-369160"/>
    <d v="2023-07-24T00:00:00"/>
    <s v="Q3-2023"/>
    <d v="2023-08-13T00:00:00"/>
    <n v="20"/>
    <s v="Americas"/>
    <x v="3"/>
    <s v="Montreal"/>
    <s v="Education"/>
    <s v="Direct"/>
    <s v="C. Otieno"/>
    <x v="5"/>
    <s v="MON-3307"/>
    <n v="1082.3800000000001"/>
    <n v="1766.55"/>
    <s v="High"/>
    <n v="0.16400000000000001"/>
    <n v="20"/>
    <n v="29536.716"/>
    <n v="21647.600000000002"/>
    <n v="7889.1159999999982"/>
    <n v="0.26709523157550752"/>
    <x v="0"/>
  </r>
  <r>
    <s v="ORD-2024-834983"/>
    <d v="2024-03-16T00:00:00"/>
    <s v="Q1-2024"/>
    <d v="2024-04-13T00:00:00"/>
    <n v="28"/>
    <s v="Europe"/>
    <x v="7"/>
    <s v="Paris"/>
    <s v="Small Business"/>
    <s v="Online"/>
    <s v="K. Singh"/>
    <x v="1"/>
    <s v="PRN-8758"/>
    <n v="287.61"/>
    <n v="628.54"/>
    <s v="High"/>
    <n v="0.13500000000000001"/>
    <n v="21"/>
    <n v="11417.429099999999"/>
    <n v="6039.81"/>
    <n v="5377.619099999999"/>
    <n v="0.47100087531964613"/>
    <x v="0"/>
  </r>
  <r>
    <s v="ORD-2024-499009"/>
    <d v="2024-01-25T00:00:00"/>
    <s v="Q1-2024"/>
    <d v="2024-01-27T00:00:00"/>
    <n v="2"/>
    <s v="Americas"/>
    <x v="5"/>
    <s v="São Paulo"/>
    <s v="Non-Profit"/>
    <s v="Marketplace"/>
    <s v="N. Brown"/>
    <x v="4"/>
    <s v="LAP-7056"/>
    <n v="1410.97"/>
    <n v="1650.75"/>
    <s v="High"/>
    <n v="0.13500000000000001"/>
    <n v="6"/>
    <n v="8567.3924999999999"/>
    <n v="8465.82"/>
    <n v="101.57250000000022"/>
    <n v="1.1855707556295596E-2"/>
    <x v="1"/>
  </r>
  <r>
    <s v="ORD-2024-948800"/>
    <d v="2024-03-27T00:00:00"/>
    <s v="Q1-2024"/>
    <d v="2024-04-11T00:00:00"/>
    <n v="15"/>
    <s v="Americas"/>
    <x v="10"/>
    <s v="San Francisco"/>
    <s v="Small Business"/>
    <s v="Direct"/>
    <s v="O. Wang"/>
    <x v="2"/>
    <s v="NET-5523"/>
    <n v="1338.35"/>
    <n v="2247.14"/>
    <s v="High"/>
    <n v="0.115"/>
    <n v="40"/>
    <n v="79548.755999999994"/>
    <n v="53534"/>
    <n v="26014.755999999994"/>
    <n v="0.32702907384246205"/>
    <x v="0"/>
  </r>
  <r>
    <s v="ORD-2025-678328"/>
    <d v="2025-06-24T00:00:00"/>
    <s v="Q2-2025"/>
    <d v="2025-07-14T00:00:00"/>
    <n v="20"/>
    <s v="Europe"/>
    <x v="6"/>
    <s v="Berlin"/>
    <s v="Corporate"/>
    <s v="Direct"/>
    <s v="O. Wang"/>
    <x v="6"/>
    <s v="ACC-8094"/>
    <n v="385.08"/>
    <n v="893.19"/>
    <s v="High"/>
    <n v="0.151"/>
    <n v="8"/>
    <n v="6066.54648"/>
    <n v="3080.64"/>
    <n v="2985.9064800000001"/>
    <n v="0.49219213762621666"/>
    <x v="0"/>
  </r>
  <r>
    <s v="ORD-2024-580808"/>
    <d v="2024-06-16T00:00:00"/>
    <s v="Q2-2024"/>
    <d v="2024-07-03T00:00:00"/>
    <n v="17"/>
    <s v="Africa"/>
    <x v="11"/>
    <s v="Johannesburg"/>
    <s v="Enterprise"/>
    <s v="Marketplace"/>
    <s v="F. Müller"/>
    <x v="3"/>
    <s v="PHN-6832"/>
    <n v="1173.83"/>
    <n v="2328.9"/>
    <s v="High"/>
    <n v="0.12"/>
    <n v="17"/>
    <n v="34840.344000000005"/>
    <n v="19955.11"/>
    <n v="14885.234000000004"/>
    <n v="0.42724130393201637"/>
    <x v="0"/>
  </r>
  <r>
    <s v="ORD-2023-211715"/>
    <d v="2023-10-30T00:00:00"/>
    <s v="Q4-2023"/>
    <d v="2023-11-14T00:00:00"/>
    <n v="15"/>
    <s v="Asia"/>
    <x v="4"/>
    <s v="Bengaluru"/>
    <s v="Corporate"/>
    <s v="Online"/>
    <s v="F. Müller"/>
    <x v="4"/>
    <s v="LAP-2378"/>
    <n v="953.46"/>
    <n v="2066.75"/>
    <s v="High"/>
    <n v="0.13800000000000001"/>
    <n v="5"/>
    <n v="8907.6924999999992"/>
    <n v="4767.3"/>
    <n v="4140.392499999999"/>
    <n v="0.46481089238318446"/>
    <x v="0"/>
  </r>
  <r>
    <s v="ORD-2023-715175"/>
    <d v="2023-06-15T00:00:00"/>
    <s v="Q2-2023"/>
    <d v="2023-06-23T00:00:00"/>
    <n v="8"/>
    <s v="Americas"/>
    <x v="10"/>
    <s v="San Francisco"/>
    <s v="Consumer"/>
    <s v="Distributor"/>
    <s v="O. Wang"/>
    <x v="5"/>
    <s v="MON-5424"/>
    <n v="1097.0899999999999"/>
    <n v="2182.31"/>
    <s v="High"/>
    <n v="0.112"/>
    <n v="9"/>
    <n v="17441.021520000002"/>
    <n v="9873.81"/>
    <n v="7567.2115200000026"/>
    <n v="0.43387432962699546"/>
    <x v="0"/>
  </r>
  <r>
    <s v="ORD-2025-685236"/>
    <d v="2025-03-14T00:00:00"/>
    <s v="Q1-2025"/>
    <d v="2025-03-29T00:00:00"/>
    <n v="15"/>
    <s v="Asia"/>
    <x v="2"/>
    <s v="Tokyo"/>
    <s v="Non-Profit"/>
    <s v="Direct"/>
    <s v="H. Kim"/>
    <x v="2"/>
    <s v="NET-8430"/>
    <n v="1106.96"/>
    <n v="2726.62"/>
    <s v="High"/>
    <n v="0.3"/>
    <n v="7"/>
    <n v="13360.438"/>
    <n v="7748.72"/>
    <n v="5611.7179999999998"/>
    <n v="0.42002500217432992"/>
    <x v="0"/>
  </r>
  <r>
    <s v="ORD-2023-274037"/>
    <d v="2023-08-15T00:00:00"/>
    <s v="Q3-2023"/>
    <d v="2023-08-25T00:00:00"/>
    <n v="10"/>
    <s v="Africa"/>
    <x v="0"/>
    <s v="Nairobi"/>
    <s v="Small Business"/>
    <s v="Retail"/>
    <s v="N. Brown"/>
    <x v="3"/>
    <s v="PHN-1234"/>
    <n v="91.85"/>
    <n v="111.29"/>
    <s v="High"/>
    <n v="0"/>
    <n v="6"/>
    <n v="667.74"/>
    <n v="551.09999999999991"/>
    <n v="116.6400000000001"/>
    <n v="0.17467876718483258"/>
    <x v="0"/>
  </r>
  <r>
    <s v="ORD-2025-983096"/>
    <d v="2025-05-17T00:00:00"/>
    <s v="Q2-2025"/>
    <d v="2025-05-28T00:00:00"/>
    <n v="11"/>
    <s v="Asia"/>
    <x v="4"/>
    <s v="Bengaluru"/>
    <s v="Corporate"/>
    <s v="Distributor"/>
    <s v="B. Chen"/>
    <x v="4"/>
    <s v="LAP-9016"/>
    <n v="623.4"/>
    <n v="1100.0899999999999"/>
    <s v="High"/>
    <n v="0.114"/>
    <n v="12"/>
    <n v="11696.156879999999"/>
    <n v="7480.7999999999993"/>
    <n v="4215.3568799999994"/>
    <n v="0.36040529579490388"/>
    <x v="0"/>
  </r>
  <r>
    <s v="ORD-2024-366010"/>
    <d v="2024-01-13T00:00:00"/>
    <s v="Q1-2024"/>
    <d v="2024-02-05T00:00:00"/>
    <n v="23"/>
    <s v="Europe"/>
    <x v="6"/>
    <s v="Frankfurt"/>
    <s v="Education"/>
    <s v="Direct"/>
    <s v="B. Chen"/>
    <x v="4"/>
    <s v="LAP-9931"/>
    <n v="1017.93"/>
    <n v="1529.14"/>
    <s v="High"/>
    <n v="0.155"/>
    <n v="12"/>
    <n v="15505.479600000001"/>
    <n v="12215.16"/>
    <n v="3290.3196000000007"/>
    <n v="0.21220366508366503"/>
    <x v="0"/>
  </r>
  <r>
    <s v="ORD-2023-610470"/>
    <d v="2023-06-24T00:00:00"/>
    <s v="Q2-2023"/>
    <d v="2023-07-21T00:00:00"/>
    <n v="27"/>
    <s v="Asia"/>
    <x v="2"/>
    <s v="Nagoya"/>
    <s v="Consumer"/>
    <s v="Marketplace"/>
    <s v="J. Njeri"/>
    <x v="3"/>
    <s v="PHN-6818"/>
    <n v="554.76"/>
    <n v="728.69"/>
    <s v="High"/>
    <n v="0.22"/>
    <n v="7"/>
    <n v="3978.6474000000003"/>
    <n v="3883.3199999999997"/>
    <n v="95.32740000000058"/>
    <n v="2.395975074343119E-2"/>
    <x v="0"/>
  </r>
  <r>
    <s v="ORD-2025-541048"/>
    <d v="2025-04-04T00:00:00"/>
    <s v="Q2-2025"/>
    <d v="2025-04-13T00:00:00"/>
    <n v="9"/>
    <s v="Europe"/>
    <x v="6"/>
    <s v="Munich"/>
    <s v="Consumer"/>
    <s v="Marketplace"/>
    <s v="F. Müller"/>
    <x v="3"/>
    <s v="PHN-3803"/>
    <n v="7.02"/>
    <n v="6.28"/>
    <s v="High"/>
    <n v="0.13400000000000001"/>
    <n v="14"/>
    <n v="76.138720000000006"/>
    <n v="98.28"/>
    <n v="-22.141279999999995"/>
    <n v="-0.29080184169106066"/>
    <x v="0"/>
  </r>
  <r>
    <s v="ORD-2024-862371"/>
    <d v="2024-09-07T00:00:00"/>
    <s v="Q3-2024"/>
    <d v="2024-09-07T00:00:00"/>
    <n v="0"/>
    <s v="Asia"/>
    <x v="4"/>
    <s v="Mumbai"/>
    <s v="Education"/>
    <s v="Distributor"/>
    <s v="B. Chen"/>
    <x v="2"/>
    <s v="NET-9835"/>
    <n v="1066.6500000000001"/>
    <n v="2569.77"/>
    <s v="High"/>
    <n v="0.13400000000000001"/>
    <n v="9"/>
    <n v="20028.787380000002"/>
    <n v="9599.85"/>
    <n v="10428.937380000001"/>
    <n v="0.52069739331368348"/>
    <x v="1"/>
  </r>
  <r>
    <s v="ORD-2024-277241"/>
    <d v="2024-01-28T00:00:00"/>
    <s v="Q1-2024"/>
    <d v="2024-01-30T00:00:00"/>
    <n v="2"/>
    <s v="Africa"/>
    <x v="11"/>
    <s v="Cape Town"/>
    <s v="Consumer"/>
    <s v="Direct"/>
    <s v="F. Müller"/>
    <x v="6"/>
    <s v="ACC-6223"/>
    <n v="798.45"/>
    <n v="1592.02"/>
    <s v="High"/>
    <n v="6.6000000000000003E-2"/>
    <n v="18"/>
    <n v="26765.040239999998"/>
    <n v="14372.1"/>
    <n v="12392.940239999998"/>
    <n v="0.46302714768494585"/>
    <x v="1"/>
  </r>
  <r>
    <s v="ORD-2023-369150"/>
    <d v="2023-07-18T00:00:00"/>
    <s v="Q3-2023"/>
    <d v="2023-08-10T00:00:00"/>
    <n v="23"/>
    <s v="Africa"/>
    <x v="11"/>
    <s v="Johannesburg"/>
    <s v="Small Business"/>
    <s v="Retail"/>
    <s v="L. Okafor"/>
    <x v="0"/>
    <s v="CMP-8659"/>
    <n v="1271.56"/>
    <n v="995.47"/>
    <s v="High"/>
    <n v="0.192"/>
    <n v="13"/>
    <n v="10456.416880000001"/>
    <n v="16530.28"/>
    <n v="-6073.8631199999982"/>
    <n v="-0.58087423155607754"/>
    <x v="0"/>
  </r>
  <r>
    <s v="ORD-2025-922513"/>
    <d v="2025-08-28T00:00:00"/>
    <s v="Q3-2025"/>
    <d v="2025-09-04T00:00:00"/>
    <n v="7"/>
    <s v="Africa"/>
    <x v="1"/>
    <s v="Port Harcourt"/>
    <s v="Small Business"/>
    <s v="Retail"/>
    <s v="A. Patel"/>
    <x v="6"/>
    <s v="ACC-4483"/>
    <n v="521.05999999999995"/>
    <n v="1240.31"/>
    <s v="High"/>
    <n v="0.14599999999999999"/>
    <n v="18"/>
    <n v="19066.045319999997"/>
    <n v="9379.0799999999981"/>
    <n v="9686.9653199999993"/>
    <n v="0.50807417885650974"/>
    <x v="1"/>
  </r>
  <r>
    <s v="ORD-2025-752845"/>
    <d v="2025-03-30T00:00:00"/>
    <s v="Q1-2025"/>
    <d v="2025-04-07T00:00:00"/>
    <n v="8"/>
    <s v="Americas"/>
    <x v="5"/>
    <s v="São Paulo"/>
    <s v="Non-Profit"/>
    <s v="Direct"/>
    <s v="L. Okafor"/>
    <x v="1"/>
    <s v="PRN-8763"/>
    <n v="71.62"/>
    <n v="118.37"/>
    <s v="High"/>
    <n v="0.156"/>
    <n v="11"/>
    <n v="1098.9470800000001"/>
    <n v="787.82"/>
    <n v="311.12708000000009"/>
    <n v="0.28311379652603474"/>
    <x v="0"/>
  </r>
  <r>
    <s v="ORD-2023-667815"/>
    <d v="2023-10-21T00:00:00"/>
    <s v="Q4-2023"/>
    <d v="2023-11-09T00:00:00"/>
    <n v="19"/>
    <s v="Europe"/>
    <x v="8"/>
    <s v="London"/>
    <s v="Non-Profit"/>
    <s v="Direct"/>
    <s v="A. Patel"/>
    <x v="6"/>
    <s v="ACC-8557"/>
    <n v="1142.48"/>
    <n v="2105.5300000000002"/>
    <s v="High"/>
    <n v="0.20699999999999999"/>
    <n v="14"/>
    <n v="23375.594060000003"/>
    <n v="15994.720000000001"/>
    <n v="7380.8740600000019"/>
    <n v="0.31575129346680658"/>
    <x v="0"/>
  </r>
  <r>
    <s v="ORD-2023-375011"/>
    <d v="2023-08-23T00:00:00"/>
    <s v="Q3-2023"/>
    <d v="2023-09-22T00:00:00"/>
    <n v="30"/>
    <s v="Europe"/>
    <x v="8"/>
    <s v="London"/>
    <s v="Consumer"/>
    <s v="Distributor"/>
    <s v="O. Wang"/>
    <x v="6"/>
    <s v="ACC-1492"/>
    <n v="209.81"/>
    <n v="523"/>
    <s v="High"/>
    <n v="5.8999999999999997E-2"/>
    <n v="15"/>
    <n v="7382.1450000000004"/>
    <n v="3147.15"/>
    <n v="4234.9950000000008"/>
    <n v="0.57368082041195356"/>
    <x v="0"/>
  </r>
  <r>
    <s v="ORD-2025-487025"/>
    <d v="2025-04-11T00:00:00"/>
    <s v="Q2-2025"/>
    <d v="2025-05-04T00:00:00"/>
    <n v="23"/>
    <s v="Asia"/>
    <x v="2"/>
    <s v="Osaka"/>
    <s v="Small Business"/>
    <s v="Online"/>
    <s v="M. Rossi"/>
    <x v="0"/>
    <s v="CMP-3743"/>
    <n v="786.2"/>
    <n v="1075.3"/>
    <s v="High"/>
    <n v="0.08"/>
    <n v="9"/>
    <n v="8903.4839999999986"/>
    <n v="7075.8"/>
    <n v="1827.6839999999984"/>
    <n v="0.20527739478163815"/>
    <x v="0"/>
  </r>
  <r>
    <s v="ORD-2025-398335"/>
    <d v="2025-06-01T00:00:00"/>
    <s v="Q2-2025"/>
    <d v="2025-06-27T00:00:00"/>
    <n v="26"/>
    <s v="Europe"/>
    <x v="6"/>
    <s v="Munich"/>
    <s v="Consumer"/>
    <s v="Distributor"/>
    <s v="E. Garcia"/>
    <x v="4"/>
    <s v="LAP-1619"/>
    <n v="1362.31"/>
    <n v="3294.57"/>
    <s v="High"/>
    <n v="0.113"/>
    <n v="7"/>
    <n v="20455.985130000001"/>
    <n v="9536.17"/>
    <n v="10919.815130000001"/>
    <n v="0.5338200561157721"/>
    <x v="0"/>
  </r>
  <r>
    <s v="ORD-2024-792137"/>
    <d v="2024-03-02T00:00:00"/>
    <s v="Q1-2024"/>
    <d v="2024-03-16T00:00:00"/>
    <n v="14"/>
    <s v="Americas"/>
    <x v="3"/>
    <s v="Vancouver"/>
    <s v="Non-Profit"/>
    <s v="Direct"/>
    <s v="O. Wang"/>
    <x v="1"/>
    <s v="PRN-7976"/>
    <n v="248.24"/>
    <n v="464.05"/>
    <s v="High"/>
    <n v="0.16900000000000001"/>
    <n v="11"/>
    <n v="4241.88105"/>
    <n v="2730.6400000000003"/>
    <n v="1511.2410499999996"/>
    <n v="0.3562667203975462"/>
    <x v="0"/>
  </r>
  <r>
    <s v="ORD-2023-602648"/>
    <d v="2023-06-20T00:00:00"/>
    <s v="Q2-2023"/>
    <d v="2023-07-08T00:00:00"/>
    <n v="18"/>
    <s v="Americas"/>
    <x v="10"/>
    <s v="Austin"/>
    <s v="Non-Profit"/>
    <s v="Direct"/>
    <s v="F. Müller"/>
    <x v="5"/>
    <s v="MON-4326"/>
    <n v="337"/>
    <n v="511.03"/>
    <s v="High"/>
    <n v="0.108"/>
    <n v="7"/>
    <n v="3190.8713200000002"/>
    <n v="2359"/>
    <n v="831.8713200000002"/>
    <n v="0.26070349963219458"/>
    <x v="0"/>
  </r>
  <r>
    <s v="ORD-2024-207096"/>
    <d v="2024-03-26T00:00:00"/>
    <s v="Q1-2024"/>
    <d v="2024-04-05T00:00:00"/>
    <n v="10"/>
    <s v="Americas"/>
    <x v="10"/>
    <s v="Austin"/>
    <s v="Consumer"/>
    <s v="Direct"/>
    <s v="J. Njeri"/>
    <x v="5"/>
    <s v="MON-5444"/>
    <n v="5.66"/>
    <n v="4.22"/>
    <s v="High"/>
    <n v="0.11899999999999999"/>
    <n v="18"/>
    <n v="66.920760000000001"/>
    <n v="101.88"/>
    <n v="-34.959239999999994"/>
    <n v="-0.52239753403876454"/>
    <x v="0"/>
  </r>
  <r>
    <s v="ORD-2025-939953"/>
    <d v="2025-01-22T00:00:00"/>
    <s v="Q1-2025"/>
    <d v="2025-01-22T00:00:00"/>
    <n v="0"/>
    <s v="Europe"/>
    <x v="7"/>
    <s v="Lyon"/>
    <s v="Small Business"/>
    <s v="Online"/>
    <s v="B. Chen"/>
    <x v="6"/>
    <s v="ACC-5422"/>
    <n v="591.72"/>
    <n v="577.24"/>
    <s v="High"/>
    <n v="0"/>
    <n v="22"/>
    <n v="12699.28"/>
    <n v="13017.84"/>
    <n v="-318.55999999999949"/>
    <n v="-2.5084886702238195E-2"/>
    <x v="1"/>
  </r>
  <r>
    <s v="ORD-2025-191328"/>
    <d v="2025-05-10T00:00:00"/>
    <s v="Q2-2025"/>
    <d v="2025-05-27T00:00:00"/>
    <n v="17"/>
    <s v="Americas"/>
    <x v="3"/>
    <s v="Vancouver"/>
    <s v="Education"/>
    <s v="Direct"/>
    <s v="C. Otieno"/>
    <x v="0"/>
    <s v="CMP-9307"/>
    <n v="862.89"/>
    <n v="1426.03"/>
    <s v="High"/>
    <n v="5.6000000000000001E-2"/>
    <n v="19"/>
    <n v="25577.274079999999"/>
    <n v="16394.91"/>
    <n v="9182.3640799999994"/>
    <n v="0.35900479665188778"/>
    <x v="0"/>
  </r>
  <r>
    <s v="ORD-2023-166668"/>
    <d v="2023-10-05T00:00:00"/>
    <s v="Q4-2023"/>
    <d v="2023-10-31T00:00:00"/>
    <n v="26"/>
    <s v="Asia"/>
    <x v="9"/>
    <s v="Shanghai"/>
    <s v="Consumer"/>
    <s v="Unknown"/>
    <s v="J. Njeri"/>
    <x v="1"/>
    <s v="PRN-6520"/>
    <n v="649.91"/>
    <n v="1360.12"/>
    <s v="High"/>
    <n v="0.19400000000000001"/>
    <n v="9"/>
    <n v="9866.3104799999983"/>
    <n v="5849.19"/>
    <n v="4017.1204799999987"/>
    <n v="0.40715528749506769"/>
    <x v="0"/>
  </r>
  <r>
    <s v="ORD-2023-594700"/>
    <d v="2023-07-18T00:00:00"/>
    <s v="Q3-2023"/>
    <d v="2023-07-22T00:00:00"/>
    <n v="4"/>
    <s v="Americas"/>
    <x v="5"/>
    <s v="São Paulo"/>
    <s v="Consumer"/>
    <s v="Direct"/>
    <s v="F. Müller"/>
    <x v="2"/>
    <s v="NET-1699"/>
    <n v="1269.55"/>
    <n v="2071.1"/>
    <s v="High"/>
    <n v="0.129"/>
    <n v="22"/>
    <n v="39686.4182"/>
    <n v="27930.1"/>
    <n v="11756.318200000002"/>
    <n v="0.29623026549672354"/>
    <x v="1"/>
  </r>
  <r>
    <s v="ORD-2025-278048"/>
    <d v="2025-06-22T00:00:00"/>
    <s v="Q2-2025"/>
    <d v="2025-07-08T00:00:00"/>
    <n v="16"/>
    <s v="Europe"/>
    <x v="8"/>
    <s v="London"/>
    <s v="Education"/>
    <s v="Direct"/>
    <s v="A. Patel"/>
    <x v="3"/>
    <s v="PHN-5316"/>
    <n v="892.73"/>
    <n v="979.84"/>
    <s v="High"/>
    <n v="0.17399999999999999"/>
    <n v="10"/>
    <n v="8093.4784"/>
    <n v="8927.2999999999993"/>
    <n v="-833.82159999999931"/>
    <n v="-0.10302388649112838"/>
    <x v="0"/>
  </r>
  <r>
    <s v="ORD-2024-878493"/>
    <d v="2024-06-19T00:00:00"/>
    <s v="Q2-2024"/>
    <d v="2024-06-20T00:00:00"/>
    <n v="1"/>
    <s v="Africa"/>
    <x v="0"/>
    <s v="Kisumu"/>
    <s v="Small Business"/>
    <s v="Direct"/>
    <s v="J. Njeri"/>
    <x v="4"/>
    <s v="LAP-4607"/>
    <n v="231.63"/>
    <n v="537.39"/>
    <s v="High"/>
    <n v="0.08"/>
    <n v="12"/>
    <n v="5932.7856000000002"/>
    <n v="2779.56"/>
    <n v="3153.2256000000002"/>
    <n v="0.53149158129024587"/>
    <x v="1"/>
  </r>
  <r>
    <s v="ORD-2025-138578"/>
    <d v="2025-04-09T00:00:00"/>
    <s v="Q2-2025"/>
    <d v="2025-04-12T00:00:00"/>
    <n v="3"/>
    <s v="Europe"/>
    <x v="7"/>
    <s v="Lyon"/>
    <s v="Small Business"/>
    <s v="Distributor"/>
    <s v="H. Kim"/>
    <x v="5"/>
    <s v="MON-5276"/>
    <n v="86.68"/>
    <n v="213.32"/>
    <s v="High"/>
    <n v="3.7999999999999999E-2"/>
    <n v="8"/>
    <n v="1641.7107199999998"/>
    <n v="693.44"/>
    <n v="948.27071999999976"/>
    <n v="0.57761133459614611"/>
    <x v="1"/>
  </r>
  <r>
    <s v="ORD-2025-944081"/>
    <d v="2025-03-25T00:00:00"/>
    <s v="Q1-2025"/>
    <d v="2025-03-26T00:00:00"/>
    <n v="1"/>
    <s v="Africa"/>
    <x v="1"/>
    <s v="Lagos"/>
    <s v="Education"/>
    <s v="Distributor"/>
    <s v="G. Dubois"/>
    <x v="6"/>
    <s v="ACC-9533"/>
    <n v="1450.43"/>
    <n v="1994.67"/>
    <s v="High"/>
    <n v="0.1"/>
    <n v="24"/>
    <n v="43084.872000000003"/>
    <n v="34810.32"/>
    <n v="8274.5520000000033"/>
    <n v="0.19205237513529116"/>
    <x v="1"/>
  </r>
  <r>
    <s v="ORD-2025-364852"/>
    <d v="2025-05-18T00:00:00"/>
    <s v="Q2-2025"/>
    <d v="2025-06-09T00:00:00"/>
    <n v="22"/>
    <s v="Americas"/>
    <x v="10"/>
    <s v="New York"/>
    <s v="Consumer"/>
    <s v="Retail"/>
    <s v="H. Kim"/>
    <x v="2"/>
    <s v="NET-3749"/>
    <n v="382.96"/>
    <n v="552.84"/>
    <s v="High"/>
    <n v="0.17599999999999999"/>
    <n v="8"/>
    <n v="3644.3212800000006"/>
    <n v="3063.68"/>
    <n v="580.64128000000073"/>
    <n v="0.15932768693763483"/>
    <x v="0"/>
  </r>
  <r>
    <s v="ORD-2025-415018"/>
    <d v="2025-01-22T00:00:00"/>
    <s v="Q1-2025"/>
    <d v="2025-02-04T00:00:00"/>
    <n v="13"/>
    <s v="Asia"/>
    <x v="2"/>
    <s v="Tokyo"/>
    <s v="Small Business"/>
    <s v="Distributor"/>
    <s v="L. Okafor"/>
    <x v="1"/>
    <s v="PRN-2991"/>
    <n v="122.29"/>
    <n v="224.95"/>
    <s v="High"/>
    <n v="0.153"/>
    <n v="28"/>
    <n v="5334.9141999999993"/>
    <n v="3424.1200000000003"/>
    <n v="1910.7941999999989"/>
    <n v="0.3581677471026618"/>
    <x v="0"/>
  </r>
  <r>
    <s v="ORD-2023-884192"/>
    <d v="2023-01-10T00:00:00"/>
    <s v="Q1-2023"/>
    <d v="2023-01-29T00:00:00"/>
    <n v="19"/>
    <s v="Europe"/>
    <x v="7"/>
    <s v="Lyon"/>
    <s v="Non-Profit"/>
    <s v="Direct"/>
    <s v="D. Smith"/>
    <x v="4"/>
    <s v="LAP-4551"/>
    <n v="401.66"/>
    <n v="772.09"/>
    <s v="High"/>
    <n v="8.8999999999999996E-2"/>
    <n v="14"/>
    <n v="9847.2358600000007"/>
    <n v="5623.2400000000007"/>
    <n v="4223.99586"/>
    <n v="0.42895244107619046"/>
    <x v="0"/>
  </r>
  <r>
    <s v="ORD-2024-165942"/>
    <d v="2024-12-29T00:00:00"/>
    <s v="Q4-2024"/>
    <d v="2025-01-12T00:00:00"/>
    <n v="14"/>
    <s v="Europe"/>
    <x v="8"/>
    <s v="Manchester"/>
    <s v="Corporate"/>
    <s v="Direct"/>
    <s v="B. Chen"/>
    <x v="5"/>
    <s v="MON-6310"/>
    <n v="1399.72"/>
    <n v="3149.21"/>
    <s v="High"/>
    <n v="0.185"/>
    <n v="12"/>
    <n v="30799.273800000003"/>
    <n v="16796.64"/>
    <n v="14002.633800000003"/>
    <n v="0.45464168703873797"/>
    <x v="0"/>
  </r>
  <r>
    <s v="ORD-2024-403664"/>
    <d v="2024-05-23T00:00:00"/>
    <s v="Q2-2024"/>
    <d v="2024-06-06T00:00:00"/>
    <n v="14"/>
    <s v="Americas"/>
    <x v="5"/>
    <s v="Rio de Janeiro"/>
    <s v="Non-Profit"/>
    <s v="Online"/>
    <s v="I. Johnson"/>
    <x v="2"/>
    <s v="NET-1166"/>
    <n v="51.13"/>
    <n v="57.53"/>
    <s v="High"/>
    <n v="4.4999999999999998E-2"/>
    <n v="16"/>
    <n v="879.05840000000001"/>
    <n v="818.08"/>
    <n v="60.978399999999965"/>
    <n v="6.9367859973808302E-2"/>
    <x v="0"/>
  </r>
  <r>
    <s v="ORD-2023-890605"/>
    <d v="2023-06-24T00:00:00"/>
    <s v="Q2-2023"/>
    <d v="2023-07-01T00:00:00"/>
    <n v="7"/>
    <s v="Americas"/>
    <x v="3"/>
    <s v="Toronto"/>
    <s v="Non-Profit"/>
    <s v="Retail"/>
    <s v="M. Rossi"/>
    <x v="6"/>
    <s v="ACC-2903"/>
    <n v="471.42"/>
    <n v="824.81"/>
    <s v="High"/>
    <n v="8.7999999999999995E-2"/>
    <n v="15"/>
    <n v="11283.400799999999"/>
    <n v="7071.3"/>
    <n v="4212.1007999999993"/>
    <n v="0.37330064531608231"/>
    <x v="1"/>
  </r>
  <r>
    <s v="ORD-2024-925626"/>
    <d v="2024-11-04T00:00:00"/>
    <s v="Q4-2024"/>
    <d v="2024-11-05T00:00:00"/>
    <n v="1"/>
    <s v="Europe"/>
    <x v="8"/>
    <s v="London"/>
    <s v="Corporate"/>
    <s v="Retail"/>
    <s v="M. Rossi"/>
    <x v="1"/>
    <s v="PRN-2293"/>
    <n v="840.68"/>
    <n v="1493.53"/>
    <s v="High"/>
    <n v="0"/>
    <n v="27"/>
    <n v="40325.31"/>
    <n v="22698.359999999997"/>
    <n v="17626.95"/>
    <n v="0.43711877230454027"/>
    <x v="1"/>
  </r>
  <r>
    <s v="ORD-2024-427031"/>
    <d v="2024-06-08T00:00:00"/>
    <s v="Q2-2024"/>
    <d v="2024-06-24T00:00:00"/>
    <n v="16"/>
    <s v="Africa"/>
    <x v="11"/>
    <s v="Durban"/>
    <s v="Education"/>
    <s v="Distributor"/>
    <s v="H. Kim"/>
    <x v="5"/>
    <s v="MON-1389"/>
    <n v="597.85"/>
    <n v="741.92"/>
    <s v="High"/>
    <n v="3.1E-2"/>
    <n v="7"/>
    <n v="5032.4433599999993"/>
    <n v="4184.95"/>
    <n v="847.49335999999948"/>
    <n v="0.16840594108544515"/>
    <x v="0"/>
  </r>
  <r>
    <s v="ORD-2025-231184"/>
    <d v="2025-06-01T00:00:00"/>
    <s v="Q2-2025"/>
    <d v="2025-06-06T00:00:00"/>
    <n v="5"/>
    <s v="Europe"/>
    <x v="7"/>
    <s v="Paris"/>
    <s v="Consumer"/>
    <s v="Distributor"/>
    <s v="G. Dubois"/>
    <x v="0"/>
    <s v="CMP-4093"/>
    <n v="379.45"/>
    <n v="742.23"/>
    <s v="High"/>
    <n v="0.09"/>
    <n v="13"/>
    <n v="8780.5809000000008"/>
    <n v="4932.8499999999995"/>
    <n v="3847.7309000000014"/>
    <n v="0.43820915083192286"/>
    <x v="1"/>
  </r>
  <r>
    <s v="ORD-2023-363031"/>
    <d v="2023-05-06T00:00:00"/>
    <s v="Q2-2023"/>
    <d v="2023-05-14T00:00:00"/>
    <n v="8"/>
    <s v="Asia"/>
    <x v="2"/>
    <s v="Osaka"/>
    <s v="Enterprise"/>
    <s v="Marketplace"/>
    <s v="B. Chen"/>
    <x v="3"/>
    <s v="PHN-6131"/>
    <n v="291.18"/>
    <n v="479.54"/>
    <s v="High"/>
    <n v="0.14099999999999999"/>
    <n v="22"/>
    <n v="9062.34692"/>
    <n v="6405.96"/>
    <n v="2656.3869199999999"/>
    <n v="0.29312350801066001"/>
    <x v="0"/>
  </r>
  <r>
    <s v="ORD-2023-619570"/>
    <d v="2023-11-14T00:00:00"/>
    <s v="Q4-2023"/>
    <d v="2023-11-30T00:00:00"/>
    <n v="16"/>
    <s v="Americas"/>
    <x v="5"/>
    <s v="São Paulo"/>
    <s v="Enterprise"/>
    <s v="Direct"/>
    <s v="K. Singh"/>
    <x v="2"/>
    <s v="NET-4104"/>
    <n v="1017.92"/>
    <n v="1175.25"/>
    <s v="High"/>
    <n v="7.4999999999999997E-2"/>
    <n v="15"/>
    <n v="16306.59375"/>
    <n v="15268.8"/>
    <n v="1037.7937500000007"/>
    <n v="6.3642583234159542E-2"/>
    <x v="0"/>
  </r>
  <r>
    <s v="ORD-2025-861401"/>
    <d v="2025-04-01T00:00:00"/>
    <s v="Q2-2025"/>
    <d v="2025-04-27T00:00:00"/>
    <n v="26"/>
    <s v="Americas"/>
    <x v="10"/>
    <s v="San Francisco"/>
    <s v="Corporate"/>
    <s v="Direct"/>
    <s v="I. Johnson"/>
    <x v="5"/>
    <s v="MON-9319"/>
    <n v="156.55000000000001"/>
    <n v="227.45"/>
    <s v="High"/>
    <n v="1.4E-2"/>
    <n v="13"/>
    <n v="2915.4540999999999"/>
    <n v="2035.15"/>
    <n v="880.30409999999983"/>
    <n v="0.3019440779396938"/>
    <x v="0"/>
  </r>
  <r>
    <s v="ORD-2023-835010"/>
    <d v="2023-03-23T00:00:00"/>
    <s v="Q1-2023"/>
    <d v="2023-04-15T00:00:00"/>
    <n v="23"/>
    <s v="Africa"/>
    <x v="0"/>
    <s v="Mombasa"/>
    <s v="Small Business"/>
    <s v="Retail"/>
    <s v="C. Otieno"/>
    <x v="6"/>
    <s v="ACC-2988"/>
    <n v="875.36"/>
    <n v="1178.6199999999999"/>
    <s v="High"/>
    <n v="0.151"/>
    <n v="53"/>
    <n v="53034.364139999991"/>
    <n v="46394.080000000002"/>
    <n v="6640.2841399999888"/>
    <n v="0.12520719815685888"/>
    <x v="0"/>
  </r>
  <r>
    <s v="ORD-2024-819979"/>
    <d v="2024-05-28T00:00:00"/>
    <s v="Q2-2024"/>
    <d v="2024-06-18T00:00:00"/>
    <n v="21"/>
    <s v="Europe"/>
    <x v="6"/>
    <s v="Frankfurt"/>
    <s v="Small Business"/>
    <s v="Online"/>
    <s v="E. Garcia"/>
    <x v="3"/>
    <s v="PHN-9399"/>
    <n v="986.85"/>
    <n v="2422.1"/>
    <s v="High"/>
    <n v="7.5999999999999998E-2"/>
    <n v="10"/>
    <n v="22380.204000000002"/>
    <n v="9868.5"/>
    <n v="12511.704000000002"/>
    <n v="0.55905227673527913"/>
    <x v="0"/>
  </r>
  <r>
    <s v="ORD-2024-719055"/>
    <d v="2024-01-02T00:00:00"/>
    <s v="Q1-2024"/>
    <d v="2024-01-09T00:00:00"/>
    <n v="7"/>
    <s v="Americas"/>
    <x v="10"/>
    <s v="Chicago"/>
    <s v="Education"/>
    <s v="Marketplace"/>
    <s v="B. Chen"/>
    <x v="2"/>
    <s v="NET-4554"/>
    <n v="404.77"/>
    <n v="433.88"/>
    <s v="High"/>
    <n v="0.215"/>
    <n v="22"/>
    <n v="7493.1076000000012"/>
    <n v="8904.9399999999987"/>
    <n v="-1411.8323999999975"/>
    <n v="-0.18841747314558746"/>
    <x v="1"/>
  </r>
  <r>
    <s v="ORD-2023-888245"/>
    <d v="2023-02-28T00:00:00"/>
    <s v="Q1-2023"/>
    <d v="2023-03-07T00:00:00"/>
    <n v="7"/>
    <s v="Europe"/>
    <x v="7"/>
    <s v="Marseille"/>
    <s v="Corporate"/>
    <s v="Retail"/>
    <s v="K. Singh"/>
    <x v="2"/>
    <s v="NET-5195"/>
    <n v="1299.81"/>
    <n v="3149.13"/>
    <s v="High"/>
    <n v="0.10299999999999999"/>
    <n v="14"/>
    <n v="39546.774539999999"/>
    <n v="18197.34"/>
    <n v="21349.434539999998"/>
    <n v="0.53985273864511729"/>
    <x v="1"/>
  </r>
  <r>
    <s v="ORD-2024-206121"/>
    <d v="2024-02-18T00:00:00"/>
    <s v="Q1-2024"/>
    <d v="2024-03-11T00:00:00"/>
    <n v="22"/>
    <s v="Americas"/>
    <x v="5"/>
    <s v="São Paulo"/>
    <s v="Consumer"/>
    <s v="Online"/>
    <s v="A. Patel"/>
    <x v="0"/>
    <s v="CMP-9801"/>
    <n v="80.48"/>
    <n v="65.650000000000006"/>
    <s v="High"/>
    <n v="0.17599999999999999"/>
    <n v="13"/>
    <n v="703.2428000000001"/>
    <n v="1046.24"/>
    <n v="-342.99719999999991"/>
    <n v="-0.48773652570634191"/>
    <x v="0"/>
  </r>
  <r>
    <s v="ORD-2024-500890"/>
    <d v="2024-09-09T00:00:00"/>
    <s v="Q3-2024"/>
    <d v="2024-10-08T00:00:00"/>
    <n v="29"/>
    <s v="Americas"/>
    <x v="5"/>
    <s v="São Paulo"/>
    <s v="Education"/>
    <s v="Direct"/>
    <s v="J. Njeri"/>
    <x v="0"/>
    <s v="CMP-3093"/>
    <n v="1010.33"/>
    <n v="2492.14"/>
    <s v="High"/>
    <n v="5.0999999999999997E-2"/>
    <n v="11"/>
    <n v="26015.449459999996"/>
    <n v="11113.630000000001"/>
    <n v="14901.819459999995"/>
    <n v="0.57280653493656752"/>
    <x v="0"/>
  </r>
  <r>
    <s v="ORD-2023-144816"/>
    <d v="2023-05-07T00:00:00"/>
    <s v="Q2-2023"/>
    <d v="2023-05-29T00:00:00"/>
    <n v="22"/>
    <s v="Africa"/>
    <x v="11"/>
    <s v="Durban"/>
    <s v="Education"/>
    <s v="Distributor"/>
    <s v="K. Singh"/>
    <x v="6"/>
    <s v="ACC-2364"/>
    <n v="653.86"/>
    <n v="931.84"/>
    <s v="High"/>
    <n v="0.121"/>
    <n v="12"/>
    <n v="9829.0483199999999"/>
    <n v="7846.32"/>
    <n v="1982.7283200000002"/>
    <n v="0.20172129136506273"/>
    <x v="0"/>
  </r>
  <r>
    <s v="ORD-2024-153053"/>
    <d v="2024-01-12T00:00:00"/>
    <s v="Q1-2024"/>
    <d v="2024-01-29T00:00:00"/>
    <n v="17"/>
    <s v="Asia"/>
    <x v="4"/>
    <s v="Hyderabad"/>
    <s v="Small Business"/>
    <s v="Direct"/>
    <s v="B. Chen"/>
    <x v="0"/>
    <s v="CMP-5138"/>
    <n v="310.02"/>
    <n v="619.51"/>
    <s v="High"/>
    <n v="4.2000000000000003E-2"/>
    <n v="4"/>
    <n v="2373.9623200000001"/>
    <n v="1240.08"/>
    <n v="1133.8823200000002"/>
    <n v="0.47763282106347843"/>
    <x v="0"/>
  </r>
  <r>
    <s v="ORD-2023-536542"/>
    <d v="2023-06-10T00:00:00"/>
    <s v="Q2-2023"/>
    <d v="2023-06-18T00:00:00"/>
    <n v="8"/>
    <s v="Africa"/>
    <x v="0"/>
    <s v="Nakuru"/>
    <s v="Enterprise"/>
    <s v="Direct"/>
    <s v="H. Kim"/>
    <x v="3"/>
    <s v="PHN-2337"/>
    <n v="894.23"/>
    <n v="1421.55"/>
    <s v="High"/>
    <n v="0.109"/>
    <n v="3"/>
    <n v="3799.8031499999997"/>
    <n v="2682.69"/>
    <n v="1117.1131499999997"/>
    <n v="0.29399237431549574"/>
    <x v="0"/>
  </r>
  <r>
    <s v="ORD-2025-779530"/>
    <d v="2025-05-19T00:00:00"/>
    <s v="Q2-2025"/>
    <d v="2025-05-26T00:00:00"/>
    <n v="7"/>
    <s v="Americas"/>
    <x v="5"/>
    <s v="São Paulo"/>
    <s v="Small Business"/>
    <s v="Distributor"/>
    <s v="L. Okafor"/>
    <x v="5"/>
    <s v="MON-2993"/>
    <n v="383.77"/>
    <n v="952.56"/>
    <s v="High"/>
    <n v="0.3"/>
    <n v="10"/>
    <n v="6667.9199999999983"/>
    <n v="3837.7"/>
    <n v="2830.2199999999984"/>
    <n v="0.42445320279787385"/>
    <x v="1"/>
  </r>
  <r>
    <s v="ORD-2023-163610"/>
    <d v="2023-10-22T00:00:00"/>
    <s v="Q4-2023"/>
    <d v="2023-11-16T00:00:00"/>
    <n v="25"/>
    <s v="Americas"/>
    <x v="3"/>
    <s v="Toronto"/>
    <s v="Small Business"/>
    <s v="Marketplace"/>
    <s v="I. Johnson"/>
    <x v="4"/>
    <s v="LAP-9024"/>
    <n v="1373.31"/>
    <n v="3154.14"/>
    <s v="High"/>
    <n v="0.2"/>
    <n v="11"/>
    <n v="27756.432000000001"/>
    <n v="15106.41"/>
    <n v="12650.022000000001"/>
    <n v="0.45575101295440279"/>
    <x v="0"/>
  </r>
  <r>
    <s v="ORD-2025-653781"/>
    <d v="2025-01-11T00:00:00"/>
    <s v="Q1-2025"/>
    <d v="2025-01-23T00:00:00"/>
    <n v="12"/>
    <s v="Americas"/>
    <x v="10"/>
    <s v="Austin"/>
    <s v="Consumer"/>
    <s v="Distributor"/>
    <s v="H. Kim"/>
    <x v="3"/>
    <s v="PHN-6307"/>
    <n v="100.69"/>
    <n v="226.14"/>
    <s v="High"/>
    <n v="6.5000000000000002E-2"/>
    <n v="12"/>
    <n v="2537.2908000000002"/>
    <n v="1208.28"/>
    <n v="1329.0108000000002"/>
    <n v="0.52379128162999689"/>
    <x v="0"/>
  </r>
  <r>
    <s v="ORD-2025-737787"/>
    <d v="2025-09-14T00:00:00"/>
    <s v="Q3-2025"/>
    <d v="2025-09-26T00:00:00"/>
    <n v="12"/>
    <s v="Europe"/>
    <x v="8"/>
    <s v="London"/>
    <s v="Small Business"/>
    <s v="Direct"/>
    <s v="N. Brown"/>
    <x v="2"/>
    <s v="NET-9003"/>
    <n v="425.15"/>
    <n v="885.92"/>
    <s v="High"/>
    <n v="0.23899999999999999"/>
    <n v="13"/>
    <n v="8764.4065599999994"/>
    <n v="5526.95"/>
    <n v="3237.4565599999996"/>
    <n v="0.3693868532725848"/>
    <x v="0"/>
  </r>
  <r>
    <s v="ORD-2023-944052"/>
    <d v="2023-08-30T00:00:00"/>
    <s v="Q3-2023"/>
    <d v="2023-09-03T00:00:00"/>
    <n v="4"/>
    <s v="Asia"/>
    <x v="4"/>
    <s v="Delhi"/>
    <s v="Small Business"/>
    <s v="Marketplace"/>
    <s v="L. Okafor"/>
    <x v="6"/>
    <s v="ACC-3068"/>
    <n v="1082.25"/>
    <n v="2433.34"/>
    <s v="High"/>
    <n v="0.27"/>
    <n v="4"/>
    <n v="7105.3528000000006"/>
    <n v="4329"/>
    <n v="2776.3528000000006"/>
    <n v="0.3907410199251472"/>
    <x v="1"/>
  </r>
  <r>
    <s v="ORD-2023-181257"/>
    <d v="2023-11-15T00:00:00"/>
    <s v="Q4-2023"/>
    <d v="2023-12-06T00:00:00"/>
    <n v="21"/>
    <s v="Europe"/>
    <x v="8"/>
    <s v="Manchester"/>
    <s v="Education"/>
    <s v="Direct"/>
    <s v="H. Kim"/>
    <x v="6"/>
    <s v="ACC-1060"/>
    <n v="1184.99"/>
    <n v="1154.3399999999999"/>
    <s v="High"/>
    <n v="2.8000000000000001E-2"/>
    <n v="5"/>
    <n v="5610.0923999999995"/>
    <n v="5924.95"/>
    <n v="-314.85760000000028"/>
    <n v="-5.6123424990290764E-2"/>
    <x v="0"/>
  </r>
  <r>
    <s v="ORD-2025-323492"/>
    <d v="2025-04-27T00:00:00"/>
    <s v="Q2-2025"/>
    <d v="2025-05-27T00:00:00"/>
    <n v="30"/>
    <s v="Asia"/>
    <x v="4"/>
    <s v="Unknown"/>
    <s v="Enterprise"/>
    <s v="Marketplace"/>
    <s v="H. Kim"/>
    <x v="3"/>
    <s v="PHN-3854"/>
    <n v="481.32"/>
    <n v="1135.99"/>
    <s v="High"/>
    <n v="0.14499999999999999"/>
    <n v="5"/>
    <n v="4856.35725"/>
    <n v="2406.6"/>
    <n v="2449.7572500000001"/>
    <n v="0.50444337677175621"/>
    <x v="0"/>
  </r>
  <r>
    <s v="ORD-2024-332076"/>
    <d v="2024-04-09T00:00:00"/>
    <s v="Q2-2024"/>
    <d v="2024-04-18T00:00:00"/>
    <n v="9"/>
    <s v="Europe"/>
    <x v="7"/>
    <s v="Lyon"/>
    <s v="Consumer"/>
    <s v="Online"/>
    <s v="E. Garcia"/>
    <x v="1"/>
    <s v="PRN-1086"/>
    <n v="1288.8499999999999"/>
    <n v="2751.84"/>
    <s v="High"/>
    <n v="0.158"/>
    <n v="7"/>
    <n v="16219.34496"/>
    <n v="9021.9499999999989"/>
    <n v="7197.3949600000014"/>
    <n v="0.44375373837538756"/>
    <x v="0"/>
  </r>
  <r>
    <s v="ORD-2024-571797"/>
    <d v="2024-07-11T00:00:00"/>
    <s v="Q3-2024"/>
    <d v="2024-07-31T00:00:00"/>
    <n v="20"/>
    <s v="Asia"/>
    <x v="9"/>
    <s v="Shenzhen"/>
    <s v="Consumer"/>
    <s v="Online"/>
    <s v="G. Dubois"/>
    <x v="3"/>
    <s v="PHN-7815"/>
    <n v="647.26"/>
    <n v="1374.72"/>
    <s v="High"/>
    <n v="6.6000000000000003E-2"/>
    <n v="22"/>
    <n v="28247.74656"/>
    <n v="14239.72"/>
    <n v="14008.02656"/>
    <n v="0.49589890401508901"/>
    <x v="0"/>
  </r>
  <r>
    <s v="ORD-2024-129345"/>
    <d v="2024-02-18T00:00:00"/>
    <s v="Q1-2024"/>
    <d v="2024-03-03T00:00:00"/>
    <n v="14"/>
    <s v="Americas"/>
    <x v="5"/>
    <s v="Unknown"/>
    <s v="Enterprise"/>
    <s v="Distributor"/>
    <s v="A. Patel"/>
    <x v="1"/>
    <s v="PRN-5384"/>
    <n v="624.23"/>
    <n v="1318.37"/>
    <s v="High"/>
    <n v="0.21"/>
    <n v="37"/>
    <n v="38535.955099999999"/>
    <n v="23096.510000000002"/>
    <n v="15439.445099999997"/>
    <n v="0.40065038118128793"/>
    <x v="0"/>
  </r>
  <r>
    <s v="ORD-2023-660608"/>
    <d v="2023-07-25T00:00:00"/>
    <s v="Q3-2023"/>
    <d v="2023-08-10T00:00:00"/>
    <n v="16"/>
    <s v="Africa"/>
    <x v="1"/>
    <s v="Port Harcourt"/>
    <s v="Corporate"/>
    <s v="Distributor"/>
    <s v="I. Johnson"/>
    <x v="6"/>
    <s v="ACC-8178"/>
    <n v="506.83"/>
    <n v="441.74"/>
    <s v="High"/>
    <n v="0.24"/>
    <n v="9"/>
    <n v="3021.5016000000001"/>
    <n v="4561.47"/>
    <n v="-1539.9684000000002"/>
    <n v="-0.50966989393618067"/>
    <x v="0"/>
  </r>
  <r>
    <s v="ORD-2023-825084"/>
    <d v="2023-07-14T00:00:00"/>
    <s v="Q3-2023"/>
    <d v="2023-07-21T00:00:00"/>
    <n v="7"/>
    <s v="Africa"/>
    <x v="11"/>
    <s v="Durban"/>
    <s v="Enterprise"/>
    <s v="Marketplace"/>
    <s v="Unknown"/>
    <x v="5"/>
    <s v="MON-1018"/>
    <n v="620.74"/>
    <n v="1330.07"/>
    <s v="High"/>
    <n v="0.29899999999999999"/>
    <n v="28"/>
    <n v="26106.613960000002"/>
    <n v="17380.72"/>
    <n v="8725.8939600000012"/>
    <n v="0.33424073965967516"/>
    <x v="1"/>
  </r>
  <r>
    <s v="ORD-2023-261081"/>
    <d v="2023-07-24T00:00:00"/>
    <s v="Q3-2023"/>
    <d v="2023-08-19T00:00:00"/>
    <n v="26"/>
    <s v="Africa"/>
    <x v="0"/>
    <s v="Nairobi"/>
    <s v="Enterprise"/>
    <s v="Distributor"/>
    <s v="M. Rossi"/>
    <x v="6"/>
    <s v="ACC-1238"/>
    <n v="661.45"/>
    <n v="1634.86"/>
    <s v="High"/>
    <n v="0.3"/>
    <n v="24"/>
    <n v="27465.647999999997"/>
    <n v="15874.800000000001"/>
    <n v="11590.847999999996"/>
    <n v="0.42201254454291404"/>
    <x v="0"/>
  </r>
  <r>
    <s v="ORD-2023-766015"/>
    <d v="2023-04-13T00:00:00"/>
    <s v="Q2-2023"/>
    <d v="2023-04-20T00:00:00"/>
    <n v="7"/>
    <s v="Americas"/>
    <x v="10"/>
    <s v="San Francisco"/>
    <s v="Education"/>
    <s v="Marketplace"/>
    <s v="G. Dubois"/>
    <x v="2"/>
    <s v="NET-1816"/>
    <n v="32.1"/>
    <n v="70.599999999999994"/>
    <s v="High"/>
    <n v="0.28199999999999997"/>
    <n v="22"/>
    <n v="1115.1975999999997"/>
    <n v="706.2"/>
    <n v="408.99759999999969"/>
    <n v="0.36674899587301818"/>
    <x v="1"/>
  </r>
  <r>
    <s v="ORD-2024-333192"/>
    <d v="2024-10-29T00:00:00"/>
    <s v="Q4-2024"/>
    <d v="2024-11-04T00:00:00"/>
    <n v="6"/>
    <s v="Africa"/>
    <x v="0"/>
    <s v="Nairobi"/>
    <s v="Corporate"/>
    <s v="Distributor"/>
    <s v="M. Rossi"/>
    <x v="1"/>
    <s v="PRN-4893"/>
    <n v="805.81"/>
    <n v="1823.04"/>
    <s v="High"/>
    <n v="0"/>
    <n v="11"/>
    <n v="20053.439999999999"/>
    <n v="8863.91"/>
    <n v="11189.529999999999"/>
    <n v="0.55798556257679477"/>
    <x v="1"/>
  </r>
  <r>
    <s v="ORD-2024-647473"/>
    <d v="2024-02-17T00:00:00"/>
    <s v="Q1-2024"/>
    <d v="2024-03-04T00:00:00"/>
    <n v="16"/>
    <s v="Asia"/>
    <x v="4"/>
    <s v="Delhi"/>
    <s v="Small Business"/>
    <s v="Marketplace"/>
    <s v="F. Müller"/>
    <x v="3"/>
    <s v="PHN-1717"/>
    <n v="1231.8"/>
    <n v="2015.99"/>
    <s v="High"/>
    <n v="0.26100000000000001"/>
    <n v="6"/>
    <n v="8938.8996600000009"/>
    <n v="7390.7999999999993"/>
    <n v="1548.0996600000017"/>
    <n v="0.17318682599464391"/>
    <x v="0"/>
  </r>
  <r>
    <s v="ORD-2024-892908"/>
    <d v="2024-07-13T00:00:00"/>
    <s v="Q3-2024"/>
    <d v="2024-07-20T00:00:00"/>
    <n v="7"/>
    <s v="Asia"/>
    <x v="2"/>
    <s v="Nagoya"/>
    <s v="Small Business"/>
    <s v="Marketplace"/>
    <s v="F. Müller"/>
    <x v="2"/>
    <s v="NET-9575"/>
    <n v="105.13"/>
    <n v="244.13"/>
    <s v="High"/>
    <n v="7.0999999999999994E-2"/>
    <n v="14"/>
    <n v="3175.1547799999998"/>
    <n v="1471.82"/>
    <n v="1703.3347799999999"/>
    <n v="0.53645724319618837"/>
    <x v="1"/>
  </r>
  <r>
    <s v="ORD-2023-573146"/>
    <d v="2023-12-01T00:00:00"/>
    <s v="Q4-2023"/>
    <d v="2023-12-18T00:00:00"/>
    <n v="17"/>
    <s v="Asia"/>
    <x v="2"/>
    <s v="Nagoya"/>
    <s v="Small Business"/>
    <s v="Direct"/>
    <s v="N. Brown"/>
    <x v="4"/>
    <s v="LAP-3604"/>
    <n v="1495.79"/>
    <n v="2783.12"/>
    <s v="High"/>
    <n v="0.02"/>
    <n v="5"/>
    <n v="13637.287999999999"/>
    <n v="7478.95"/>
    <n v="6158.3379999999988"/>
    <n v="0.45158084217331185"/>
    <x v="0"/>
  </r>
  <r>
    <s v="ORD-2024-901115"/>
    <d v="2024-07-25T00:00:00"/>
    <s v="Q3-2024"/>
    <d v="2024-08-02T00:00:00"/>
    <n v="8"/>
    <s v="Americas"/>
    <x v="3"/>
    <s v="Montreal"/>
    <s v="Consumer"/>
    <s v="Direct"/>
    <s v="J. Njeri"/>
    <x v="6"/>
    <s v="ACC-6626"/>
    <n v="986.81"/>
    <n v="2050.31"/>
    <s v="High"/>
    <n v="0.10299999999999999"/>
    <n v="43"/>
    <n v="79082.507010000001"/>
    <n v="42432.829999999994"/>
    <n v="36649.677010000007"/>
    <n v="0.46343595310358138"/>
    <x v="0"/>
  </r>
  <r>
    <s v="ORD-2023-898009"/>
    <d v="2023-05-04T00:00:00"/>
    <s v="Q2-2023"/>
    <d v="2023-05-16T00:00:00"/>
    <n v="12"/>
    <s v="Africa"/>
    <x v="1"/>
    <s v="Abuja"/>
    <s v="Small Business"/>
    <s v="Marketplace"/>
    <s v="J. Njeri"/>
    <x v="3"/>
    <s v="PHN-1670"/>
    <n v="77.739999999999995"/>
    <n v="147.12"/>
    <s v="High"/>
    <n v="0"/>
    <n v="15"/>
    <n v="2206.8000000000002"/>
    <n v="1166.0999999999999"/>
    <n v="1040.7000000000003"/>
    <n v="0.47158781946710177"/>
    <x v="0"/>
  </r>
  <r>
    <s v="ORD-2023-208944"/>
    <d v="2023-12-21T00:00:00"/>
    <s v="Q4-2023"/>
    <d v="2024-01-06T00:00:00"/>
    <n v="16"/>
    <s v="Africa"/>
    <x v="1"/>
    <s v="Unknown"/>
    <s v="Corporate"/>
    <s v="Marketplace"/>
    <s v="K. Singh"/>
    <x v="0"/>
    <s v="CMP-4792"/>
    <n v="932.61"/>
    <n v="1982.98"/>
    <s v="High"/>
    <n v="0.14399999999999999"/>
    <n v="16"/>
    <n v="27158.894079999998"/>
    <n v="14921.76"/>
    <n v="12237.134079999998"/>
    <n v="0.45057556629345635"/>
    <x v="0"/>
  </r>
  <r>
    <s v="ORD-2025-480172"/>
    <d v="2025-06-17T00:00:00"/>
    <s v="Q2-2025"/>
    <d v="2025-07-05T00:00:00"/>
    <n v="18"/>
    <s v="Asia"/>
    <x v="4"/>
    <s v="Delhi"/>
    <s v="Consumer"/>
    <s v="Marketplace"/>
    <s v="L. Okafor"/>
    <x v="4"/>
    <s v="LAP-1990"/>
    <n v="982.93"/>
    <n v="2299.3000000000002"/>
    <s v="High"/>
    <n v="0.113"/>
    <n v="6"/>
    <n v="12236.874600000001"/>
    <n v="5897.58"/>
    <n v="6339.2946000000011"/>
    <n v="0.51804850562087157"/>
    <x v="0"/>
  </r>
  <r>
    <s v="ORD-2023-735274"/>
    <d v="2023-02-23T00:00:00"/>
    <s v="Q1-2023"/>
    <d v="2023-03-08T00:00:00"/>
    <n v="13"/>
    <s v="Europe"/>
    <x v="8"/>
    <s v="Manchester"/>
    <s v="Small Business"/>
    <s v="Direct"/>
    <s v="C. Otieno"/>
    <x v="1"/>
    <s v="PRN-7410"/>
    <n v="307.37"/>
    <n v="462.61"/>
    <s v="High"/>
    <n v="0.188"/>
    <n v="11"/>
    <n v="4132.0325200000007"/>
    <n v="3381.07"/>
    <n v="750.9625200000005"/>
    <n v="0.18174167709599739"/>
    <x v="0"/>
  </r>
  <r>
    <s v="ORD-2023-212701"/>
    <d v="2023-12-02T00:00:00"/>
    <s v="Q4-2023"/>
    <d v="2023-12-16T00:00:00"/>
    <n v="14"/>
    <s v="Europe"/>
    <x v="6"/>
    <s v="Frankfurt"/>
    <s v="Education"/>
    <s v="Direct"/>
    <s v="N. Brown"/>
    <x v="5"/>
    <s v="MON-4278"/>
    <n v="879.08"/>
    <n v="1093.3900000000001"/>
    <s v="High"/>
    <n v="0.113"/>
    <n v="17"/>
    <n v="16487.22781"/>
    <n v="14944.36"/>
    <n v="1542.8678099999997"/>
    <n v="9.3579577341935186E-2"/>
    <x v="0"/>
  </r>
  <r>
    <s v="ORD-2023-479747"/>
    <d v="2023-07-14T00:00:00"/>
    <s v="Q3-2023"/>
    <d v="2023-07-14T00:00:00"/>
    <n v="0"/>
    <s v="Africa"/>
    <x v="1"/>
    <s v="Lagos"/>
    <s v="Education"/>
    <s v="Retail"/>
    <s v="I. Johnson"/>
    <x v="6"/>
    <s v="ACC-5334"/>
    <n v="956.38"/>
    <n v="1454.22"/>
    <s v="High"/>
    <n v="3.9E-2"/>
    <n v="19"/>
    <n v="26552.60298"/>
    <n v="18171.22"/>
    <n v="8381.3829799999985"/>
    <n v="0.31565202802576603"/>
    <x v="1"/>
  </r>
  <r>
    <s v="ORD-2024-915495"/>
    <d v="2024-08-08T00:00:00"/>
    <s v="Q3-2024"/>
    <d v="2024-08-20T00:00:00"/>
    <n v="12"/>
    <s v="Asia"/>
    <x v="2"/>
    <s v="Osaka"/>
    <s v="Small Business"/>
    <s v="Retail"/>
    <s v="H. Kim"/>
    <x v="2"/>
    <s v="NET-8957"/>
    <n v="1233.3599999999999"/>
    <n v="2120.4"/>
    <s v="High"/>
    <n v="0.17899999999999999"/>
    <n v="20"/>
    <n v="34816.968000000001"/>
    <n v="24667.199999999997"/>
    <n v="10149.768000000004"/>
    <n v="0.29151785991244278"/>
    <x v="0"/>
  </r>
  <r>
    <s v="ORD-2024-225829"/>
    <d v="2024-11-07T00:00:00"/>
    <s v="Q4-2024"/>
    <d v="2024-11-26T00:00:00"/>
    <n v="19"/>
    <s v="Americas"/>
    <x v="5"/>
    <s v="Rio de Janeiro"/>
    <s v="Non-Profit"/>
    <s v="Distributor"/>
    <s v="J. Njeri"/>
    <x v="1"/>
    <s v="PRN-9960"/>
    <n v="55.35"/>
    <n v="128.68"/>
    <s v="High"/>
    <n v="0.128"/>
    <n v="10"/>
    <n v="1122.0896000000002"/>
    <n v="553.5"/>
    <n v="568.58960000000025"/>
    <n v="0.50672388372550647"/>
    <x v="0"/>
  </r>
  <r>
    <s v="ORD-2024-921935"/>
    <d v="2024-01-01T00:00:00"/>
    <s v="Q1-2024"/>
    <d v="2024-01-27T00:00:00"/>
    <n v="26"/>
    <s v="Europe"/>
    <x v="8"/>
    <s v="Manchester"/>
    <s v="Education"/>
    <s v="Distributor"/>
    <s v="D. Smith"/>
    <x v="6"/>
    <s v="ACC-3103"/>
    <n v="657.45"/>
    <n v="1325.96"/>
    <s v="High"/>
    <n v="0.16700000000000001"/>
    <n v="21"/>
    <n v="23195.01828"/>
    <n v="13806.45"/>
    <n v="9388.5682799999995"/>
    <n v="0.40476658249048808"/>
    <x v="0"/>
  </r>
  <r>
    <s v="ORD-2025-949776"/>
    <d v="2025-08-14T00:00:00"/>
    <s v="Q3-2025"/>
    <d v="2025-09-11T00:00:00"/>
    <n v="28"/>
    <s v="Americas"/>
    <x v="5"/>
    <s v="São Paulo"/>
    <s v="Non-Profit"/>
    <s v="Direct"/>
    <s v="F. Müller"/>
    <x v="1"/>
    <s v="PRN-9490"/>
    <n v="1203.02"/>
    <n v="2439.33"/>
    <s v="High"/>
    <n v="0"/>
    <n v="18"/>
    <n v="43907.94"/>
    <n v="21654.36"/>
    <n v="22253.58"/>
    <n v="0.50682359500354612"/>
    <x v="0"/>
  </r>
  <r>
    <s v="ORD-2024-510591"/>
    <d v="2024-04-03T00:00:00"/>
    <s v="Q2-2024"/>
    <d v="2024-04-21T00:00:00"/>
    <n v="18"/>
    <s v="Americas"/>
    <x v="5"/>
    <s v="Brasília"/>
    <s v="Small Business"/>
    <s v="Distributor"/>
    <s v="B. Chen"/>
    <x v="2"/>
    <s v="NET-3850"/>
    <n v="1176.69"/>
    <n v="2201.54"/>
    <s v="High"/>
    <n v="0.17"/>
    <n v="27"/>
    <n v="49336.511399999996"/>
    <n v="31770.63"/>
    <n v="17565.881399999995"/>
    <n v="0.35604222717701106"/>
    <x v="0"/>
  </r>
  <r>
    <s v="ORD-2024-961756"/>
    <d v="2024-11-25T00:00:00"/>
    <s v="Q4-2024"/>
    <d v="2024-12-07T00:00:00"/>
    <n v="12"/>
    <s v="Asia"/>
    <x v="9"/>
    <s v="Shanghai"/>
    <s v="Corporate"/>
    <s v="Distributor"/>
    <s v="A. Patel"/>
    <x v="6"/>
    <s v="ACC-7047"/>
    <n v="769.9"/>
    <n v="814.36"/>
    <s v="High"/>
    <n v="0"/>
    <n v="5"/>
    <n v="4071.8"/>
    <n v="3849.5"/>
    <n v="222.30000000000018"/>
    <n v="5.4595019401738831E-2"/>
    <x v="0"/>
  </r>
  <r>
    <s v="ORD-2024-892173"/>
    <d v="2024-01-18T00:00:00"/>
    <s v="Q1-2024"/>
    <d v="2024-02-03T00:00:00"/>
    <n v="16"/>
    <s v="Africa"/>
    <x v="11"/>
    <s v="Cape Town"/>
    <s v="Non-Profit"/>
    <s v="Distributor"/>
    <s v="L. Okafor"/>
    <x v="1"/>
    <s v="PRN-6660"/>
    <n v="666.23"/>
    <n v="1382.91"/>
    <s v="High"/>
    <n v="0.17599999999999999"/>
    <n v="13"/>
    <n v="14813.731920000002"/>
    <n v="8660.99"/>
    <n v="6152.7419200000022"/>
    <n v="0.41534043907553048"/>
    <x v="0"/>
  </r>
  <r>
    <s v="ORD-2024-704056"/>
    <d v="2024-06-23T00:00:00"/>
    <s v="Q2-2024"/>
    <d v="2024-06-25T00:00:00"/>
    <n v="2"/>
    <s v="Europe"/>
    <x v="8"/>
    <s v="Birmingham"/>
    <s v="Small Business"/>
    <s v="Marketplace"/>
    <s v="L. Okafor"/>
    <x v="6"/>
    <s v="ACC-7838"/>
    <n v="951.44"/>
    <n v="1646.43"/>
    <s v="High"/>
    <n v="0.11"/>
    <n v="24"/>
    <n v="35167.7448"/>
    <n v="22834.560000000001"/>
    <n v="12333.184799999999"/>
    <n v="0.35069592520473475"/>
    <x v="1"/>
  </r>
  <r>
    <s v="ORD-2025-591006"/>
    <d v="2025-06-25T00:00:00"/>
    <s v="Q2-2025"/>
    <d v="2025-07-10T00:00:00"/>
    <n v="15"/>
    <s v="Europe"/>
    <x v="8"/>
    <s v="Birmingham"/>
    <s v="Non-Profit"/>
    <s v="Marketplace"/>
    <s v="D. Smith"/>
    <x v="3"/>
    <s v="PHN-5383"/>
    <n v="546.83000000000004"/>
    <n v="400.84"/>
    <s v="High"/>
    <n v="7.8E-2"/>
    <n v="13"/>
    <n v="4804.4682400000002"/>
    <n v="7108.7900000000009"/>
    <n v="-2304.3217600000007"/>
    <n v="-0.47962056254533608"/>
    <x v="0"/>
  </r>
  <r>
    <s v="ORD-2023-159821"/>
    <d v="2023-07-01T00:00:00"/>
    <s v="Q3-2023"/>
    <d v="2023-07-08T00:00:00"/>
    <n v="7"/>
    <s v="Africa"/>
    <x v="1"/>
    <s v="Port Harcourt"/>
    <s v="Corporate"/>
    <s v="Retail"/>
    <s v="A. Patel"/>
    <x v="4"/>
    <s v="LAP-3904"/>
    <n v="834.26"/>
    <n v="1780.56"/>
    <s v="High"/>
    <n v="1.4E-2"/>
    <n v="47"/>
    <n v="82514.711519999997"/>
    <n v="39210.22"/>
    <n v="43304.491519999996"/>
    <n v="0.5248093427497933"/>
    <x v="1"/>
  </r>
  <r>
    <s v="ORD-2024-343877"/>
    <d v="2024-03-09T00:00:00"/>
    <s v="Q1-2024"/>
    <d v="2024-03-26T00:00:00"/>
    <n v="17"/>
    <s v="Asia"/>
    <x v="9"/>
    <s v="Shenzhen"/>
    <s v="Enterprise"/>
    <s v="Online"/>
    <s v="K. Singh"/>
    <x v="5"/>
    <s v="MON-5749"/>
    <n v="1029.67"/>
    <n v="1118.43"/>
    <s v="High"/>
    <n v="0.27200000000000002"/>
    <n v="9"/>
    <n v="7327.9533600000004"/>
    <n v="9267.0300000000007"/>
    <n v="-1939.0766400000002"/>
    <n v="-0.26461367106736061"/>
    <x v="0"/>
  </r>
  <r>
    <s v="ORD-2023-386663"/>
    <d v="2023-06-05T00:00:00"/>
    <s v="Q2-2023"/>
    <d v="2023-06-28T00:00:00"/>
    <n v="23"/>
    <s v="Europe"/>
    <x v="8"/>
    <s v="Birmingham"/>
    <s v="Corporate"/>
    <s v="Direct"/>
    <s v="K. Singh"/>
    <x v="1"/>
    <s v="PRN-3690"/>
    <n v="605.82000000000005"/>
    <n v="771.12"/>
    <s v="High"/>
    <n v="0.13200000000000001"/>
    <n v="19"/>
    <n v="12717.311040000001"/>
    <n v="11510.580000000002"/>
    <n v="1206.7310399999988"/>
    <n v="9.4888851597986767E-2"/>
    <x v="0"/>
  </r>
  <r>
    <s v="ORD-2025-125517"/>
    <d v="2025-03-21T00:00:00"/>
    <s v="Q1-2025"/>
    <d v="2025-04-09T00:00:00"/>
    <n v="19"/>
    <s v="Asia"/>
    <x v="2"/>
    <s v="Tokyo"/>
    <s v="Small Business"/>
    <s v="Distributor"/>
    <s v="E. Garcia"/>
    <x v="0"/>
    <s v="CMP-7055"/>
    <n v="1055.45"/>
    <n v="1210.04"/>
    <s v="High"/>
    <n v="8.9999999999999993E-3"/>
    <n v="18"/>
    <n v="21584.693520000001"/>
    <n v="18998.100000000002"/>
    <n v="2586.5935199999985"/>
    <n v="0.1198346188053727"/>
    <x v="0"/>
  </r>
  <r>
    <s v="ORD-2024-819778"/>
    <d v="2024-06-02T00:00:00"/>
    <s v="Q2-2024"/>
    <d v="2024-06-15T00:00:00"/>
    <n v="13"/>
    <s v="Africa"/>
    <x v="0"/>
    <s v="Mombasa"/>
    <s v="Education"/>
    <s v="Online"/>
    <s v="O. Wang"/>
    <x v="3"/>
    <s v="PHN-6866"/>
    <n v="1295.18"/>
    <n v="3024.03"/>
    <s v="High"/>
    <n v="0.192"/>
    <n v="8"/>
    <n v="19547.329920000004"/>
    <n v="10361.44"/>
    <n v="9185.8899200000033"/>
    <n v="0.46993067378483178"/>
    <x v="0"/>
  </r>
  <r>
    <s v="ORD-2025-624006"/>
    <d v="2025-03-15T00:00:00"/>
    <s v="Q1-2025"/>
    <d v="2025-03-29T00:00:00"/>
    <n v="14"/>
    <s v="Asia"/>
    <x v="4"/>
    <s v="Mumbai"/>
    <s v="Enterprise"/>
    <s v="Direct"/>
    <s v="C. Otieno"/>
    <x v="0"/>
    <s v="CMP-3259"/>
    <n v="935.83"/>
    <n v="2303.46"/>
    <s v="High"/>
    <n v="0.105"/>
    <n v="9"/>
    <n v="18554.370299999999"/>
    <n v="8422.4700000000012"/>
    <n v="10131.900299999998"/>
    <n v="0.54606543559174292"/>
    <x v="0"/>
  </r>
  <r>
    <s v="ORD-2023-132101"/>
    <d v="2023-09-25T00:00:00"/>
    <s v="Q3-2023"/>
    <d v="2023-10-09T00:00:00"/>
    <n v="14"/>
    <s v="Americas"/>
    <x v="10"/>
    <s v="New York"/>
    <s v="Small Business"/>
    <s v="Marketplace"/>
    <s v="J. Njeri"/>
    <x v="4"/>
    <s v="LAP-6750"/>
    <n v="1279.56"/>
    <n v="3083.8"/>
    <s v="High"/>
    <n v="0.106"/>
    <n v="5"/>
    <n v="13784.586000000001"/>
    <n v="6397.7999999999993"/>
    <n v="7386.7860000000019"/>
    <n v="0.53587289455047848"/>
    <x v="0"/>
  </r>
  <r>
    <s v="ORD-2025-306903"/>
    <d v="2025-06-24T00:00:00"/>
    <s v="Q2-2025"/>
    <d v="2025-07-23T00:00:00"/>
    <n v="29"/>
    <s v="Americas"/>
    <x v="3"/>
    <s v="Vancouver"/>
    <s v="Non-Profit"/>
    <s v="Marketplace"/>
    <s v="I. Johnson"/>
    <x v="1"/>
    <s v="PRN-3775"/>
    <n v="255.4"/>
    <n v="322.70999999999998"/>
    <s v="High"/>
    <n v="0.115"/>
    <n v="16"/>
    <n v="4569.5735999999997"/>
    <n v="4086.4"/>
    <n v="483.17359999999962"/>
    <n v="0.10573713048412212"/>
    <x v="0"/>
  </r>
  <r>
    <s v="ORD-2023-813340"/>
    <d v="2023-12-26T00:00:00"/>
    <s v="Q4-2023"/>
    <d v="2024-01-03T00:00:00"/>
    <n v="8"/>
    <s v="Europe"/>
    <x v="7"/>
    <s v="Lyon"/>
    <s v="Small Business"/>
    <s v="Retail"/>
    <s v="M. Rossi"/>
    <x v="4"/>
    <s v="LAP-2942"/>
    <n v="492.75"/>
    <n v="731.29"/>
    <s v="High"/>
    <n v="5.8000000000000003E-2"/>
    <n v="6"/>
    <n v="4133.25108"/>
    <n v="2956.5"/>
    <n v="1176.75108"/>
    <n v="0.28470350753528384"/>
    <x v="0"/>
  </r>
  <r>
    <s v="ORD-2023-855675"/>
    <d v="2023-02-05T00:00:00"/>
    <s v="Q1-2023"/>
    <d v="2023-02-28T00:00:00"/>
    <n v="23"/>
    <s v="Americas"/>
    <x v="10"/>
    <s v="Austin"/>
    <s v="Non-Profit"/>
    <s v="Distributor"/>
    <s v="L. Okafor"/>
    <x v="3"/>
    <s v="PHN-2036"/>
    <n v="1214.49"/>
    <n v="1533.95"/>
    <s v="High"/>
    <n v="0"/>
    <n v="11"/>
    <n v="16873.45"/>
    <n v="13359.39"/>
    <n v="3514.0600000000013"/>
    <n v="0.20825972163369086"/>
    <x v="0"/>
  </r>
  <r>
    <s v="ORD-2023-545150"/>
    <d v="2023-04-06T00:00:00"/>
    <s v="Q2-2023"/>
    <d v="2023-04-08T00:00:00"/>
    <n v="2"/>
    <s v="Africa"/>
    <x v="1"/>
    <s v="Abuja"/>
    <s v="Small Business"/>
    <s v="Marketplace"/>
    <s v="K. Singh"/>
    <x v="5"/>
    <s v="MON-4373"/>
    <n v="720.35"/>
    <n v="1571.66"/>
    <s v="High"/>
    <n v="0.107"/>
    <n v="23"/>
    <n v="32280.32474"/>
    <n v="16568.05"/>
    <n v="15712.274740000001"/>
    <n v="0.4867446305622265"/>
    <x v="1"/>
  </r>
  <r>
    <s v="ORD-2025-269934"/>
    <d v="2025-04-04T00:00:00"/>
    <s v="Q2-2025"/>
    <d v="2025-04-10T00:00:00"/>
    <n v="6"/>
    <s v="Europe"/>
    <x v="8"/>
    <s v="Birmingham"/>
    <s v="Non-Profit"/>
    <s v="Direct"/>
    <s v="N. Brown"/>
    <x v="1"/>
    <s v="PRN-8657"/>
    <n v="290.14"/>
    <n v="250.73"/>
    <s v="High"/>
    <n v="3.4000000000000002E-2"/>
    <n v="17"/>
    <n v="4117.4880599999997"/>
    <n v="4932.38"/>
    <n v="-814.89194000000043"/>
    <n v="-0.19790997038131072"/>
    <x v="1"/>
  </r>
  <r>
    <s v="ORD-2024-690270"/>
    <d v="2024-05-17T00:00:00"/>
    <s v="Q2-2024"/>
    <d v="2024-05-27T00:00:00"/>
    <n v="10"/>
    <s v="Americas"/>
    <x v="10"/>
    <s v="Austin"/>
    <s v="Non-Profit"/>
    <s v="Online"/>
    <s v="C. Otieno"/>
    <x v="3"/>
    <s v="PHN-7974"/>
    <n v="1484.23"/>
    <n v="3472.81"/>
    <s v="High"/>
    <n v="0.25600000000000001"/>
    <n v="12"/>
    <n v="31005.24768"/>
    <n v="17810.760000000002"/>
    <n v="13194.487679999998"/>
    <n v="0.42555659661803413"/>
    <x v="0"/>
  </r>
  <r>
    <s v="ORD-2024-868223"/>
    <d v="2024-03-03T00:00:00"/>
    <s v="Q1-2024"/>
    <d v="2024-03-19T00:00:00"/>
    <n v="16"/>
    <s v="Asia"/>
    <x v="9"/>
    <s v="Beijing"/>
    <s v="Consumer"/>
    <s v="Distributor"/>
    <s v="G. Dubois"/>
    <x v="3"/>
    <s v="PHN-4915"/>
    <n v="988.83"/>
    <n v="1206.04"/>
    <s v="High"/>
    <n v="6.3E-2"/>
    <n v="34"/>
    <n v="38422.022320000004"/>
    <n v="33620.22"/>
    <n v="4801.8023200000025"/>
    <n v="0.12497526236406606"/>
    <x v="0"/>
  </r>
  <r>
    <s v="ORD-2025-188059"/>
    <d v="2025-06-27T00:00:00"/>
    <s v="Q2-2025"/>
    <d v="2025-07-11T00:00:00"/>
    <n v="14"/>
    <s v="Asia"/>
    <x v="9"/>
    <s v="Shanghai"/>
    <s v="Small Business"/>
    <s v="Marketplace"/>
    <s v="L. Okafor"/>
    <x v="2"/>
    <s v="NET-3535"/>
    <n v="1227.7"/>
    <n v="2197.23"/>
    <s v="High"/>
    <n v="9.9000000000000005E-2"/>
    <n v="22"/>
    <n v="43553.493060000001"/>
    <n v="27009.4"/>
    <n v="16544.093059999999"/>
    <n v="0.37985685871873898"/>
    <x v="0"/>
  </r>
  <r>
    <s v="ORD-2023-281890"/>
    <d v="2023-03-13T00:00:00"/>
    <s v="Q1-2023"/>
    <d v="2023-04-04T00:00:00"/>
    <n v="22"/>
    <s v="Africa"/>
    <x v="11"/>
    <s v="Durban"/>
    <s v="Small Business"/>
    <s v="Retail"/>
    <s v="A. Patel"/>
    <x v="0"/>
    <s v="CMP-2574"/>
    <n v="1113.7"/>
    <n v="1620.6"/>
    <s v="High"/>
    <n v="0.13900000000000001"/>
    <n v="11"/>
    <n v="15348.702599999999"/>
    <n v="12250.7"/>
    <n v="3098.002599999998"/>
    <n v="0.20184133348182787"/>
    <x v="0"/>
  </r>
  <r>
    <s v="ORD-2025-636162"/>
    <d v="2025-01-07T00:00:00"/>
    <s v="Q1-2025"/>
    <d v="2025-01-20T00:00:00"/>
    <n v="13"/>
    <s v="Africa"/>
    <x v="11"/>
    <s v="Cape Town"/>
    <s v="Corporate"/>
    <s v="Direct"/>
    <s v="K. Singh"/>
    <x v="2"/>
    <s v="NET-7901"/>
    <n v="432.13"/>
    <n v="1034.6600000000001"/>
    <s v="High"/>
    <n v="9.1999999999999998E-2"/>
    <n v="7"/>
    <n v="6576.298960000001"/>
    <n v="3024.91"/>
    <n v="3551.3889600000011"/>
    <n v="0.54002851476204794"/>
    <x v="0"/>
  </r>
  <r>
    <s v="ORD-2025-915869"/>
    <d v="2025-02-06T00:00:00"/>
    <s v="Q1-2025"/>
    <d v="2025-02-15T00:00:00"/>
    <n v="9"/>
    <s v="Americas"/>
    <x v="5"/>
    <s v="São Paulo"/>
    <s v="Non-Profit"/>
    <s v="Distributor"/>
    <s v="F. Müller"/>
    <x v="2"/>
    <s v="NET-5482"/>
    <n v="837.39"/>
    <n v="1905.42"/>
    <s v="High"/>
    <n v="3.2000000000000001E-2"/>
    <n v="18"/>
    <n v="33200.038079999998"/>
    <n v="15073.02"/>
    <n v="18127.018079999998"/>
    <n v="0.54599389423350919"/>
    <x v="0"/>
  </r>
  <r>
    <s v="ORD-2025-192876"/>
    <d v="2025-01-31T00:00:00"/>
    <s v="Q1-2025"/>
    <d v="2025-02-17T00:00:00"/>
    <n v="17"/>
    <s v="Europe"/>
    <x v="8"/>
    <s v="London"/>
    <s v="Enterprise"/>
    <s v="Retail"/>
    <s v="H. Kim"/>
    <x v="0"/>
    <s v="CMP-5820"/>
    <n v="378.26"/>
    <n v="541.55999999999995"/>
    <s v="High"/>
    <n v="0.16300000000000001"/>
    <n v="25"/>
    <n v="11332.142999999998"/>
    <n v="9456.5"/>
    <n v="1875.6429999999982"/>
    <n v="0.16551529573885526"/>
    <x v="0"/>
  </r>
  <r>
    <s v="ORD-2025-822030"/>
    <d v="2025-08-07T00:00:00"/>
    <s v="Q3-2025"/>
    <d v="2025-09-06T00:00:00"/>
    <n v="30"/>
    <s v="Americas"/>
    <x v="3"/>
    <s v="Montreal"/>
    <s v="Education"/>
    <s v="Direct"/>
    <s v="M. Rossi"/>
    <x v="2"/>
    <s v="NET-1336"/>
    <n v="833.73"/>
    <n v="1116.5999999999999"/>
    <s v="High"/>
    <n v="0.17599999999999999"/>
    <n v="14"/>
    <n v="12881.097599999999"/>
    <n v="11672.220000000001"/>
    <n v="1208.877599999998"/>
    <n v="9.3848958958279924E-2"/>
    <x v="0"/>
  </r>
  <r>
    <s v="ORD-2025-789245"/>
    <d v="2025-07-23T00:00:00"/>
    <s v="Q3-2025"/>
    <d v="2025-08-17T00:00:00"/>
    <n v="25"/>
    <s v="Europe"/>
    <x v="8"/>
    <s v="Birmingham"/>
    <s v="Education"/>
    <s v="Online"/>
    <s v="I. Johnson"/>
    <x v="1"/>
    <s v="PRN-5876"/>
    <n v="1142.06"/>
    <n v="1455"/>
    <s v="High"/>
    <n v="7.8E-2"/>
    <n v="28"/>
    <n v="37562.28"/>
    <n v="31977.68"/>
    <n v="5584.5999999999985"/>
    <n v="0.1486757459877302"/>
    <x v="0"/>
  </r>
  <r>
    <s v="ORD-2023-594955"/>
    <d v="2023-06-20T00:00:00"/>
    <s v="Q2-2023"/>
    <d v="2023-07-08T00:00:00"/>
    <n v="18"/>
    <s v="Americas"/>
    <x v="10"/>
    <s v="New York"/>
    <s v="Consumer"/>
    <s v="Marketplace"/>
    <s v="O. Wang"/>
    <x v="2"/>
    <s v="NET-3828"/>
    <n v="1145.53"/>
    <n v="1278.3"/>
    <s v="High"/>
    <n v="0.09"/>
    <n v="41"/>
    <n v="47693.373"/>
    <n v="46966.729999999996"/>
    <n v="726.64300000000367"/>
    <n v="1.5235722581416158E-2"/>
    <x v="0"/>
  </r>
  <r>
    <s v="ORD-2024-398783"/>
    <d v="2024-07-18T00:00:00"/>
    <s v="Q3-2024"/>
    <d v="2024-08-07T00:00:00"/>
    <n v="20"/>
    <s v="Europe"/>
    <x v="7"/>
    <s v="Marseille"/>
    <s v="Corporate"/>
    <s v="Retail"/>
    <s v="F. Müller"/>
    <x v="5"/>
    <s v="MON-7622"/>
    <n v="941.35"/>
    <n v="899.83"/>
    <s v="High"/>
    <n v="5.8000000000000003E-2"/>
    <n v="18"/>
    <n v="15257.51748"/>
    <n v="16944.3"/>
    <n v="-1686.7825199999988"/>
    <n v="-0.11055419220139073"/>
    <x v="0"/>
  </r>
  <r>
    <s v="ORD-2023-676553"/>
    <d v="2023-05-20T00:00:00"/>
    <s v="Q2-2023"/>
    <d v="2023-06-19T00:00:00"/>
    <n v="30"/>
    <s v="Asia"/>
    <x v="4"/>
    <s v="Delhi"/>
    <s v="Non-Profit"/>
    <s v="Marketplace"/>
    <s v="H. Kim"/>
    <x v="4"/>
    <s v="LAP-2806"/>
    <n v="1161.2"/>
    <n v="878.73"/>
    <s v="High"/>
    <n v="0.19"/>
    <n v="31"/>
    <n v="22064.910300000003"/>
    <n v="35997.200000000004"/>
    <n v="-13932.289700000001"/>
    <n v="-0.63142290227212028"/>
    <x v="0"/>
  </r>
  <r>
    <s v="ORD-2025-866565"/>
    <d v="2025-05-12T00:00:00"/>
    <s v="Q2-2025"/>
    <d v="2025-05-26T00:00:00"/>
    <n v="14"/>
    <s v="Asia"/>
    <x v="4"/>
    <s v="Hyderabad"/>
    <s v="Corporate"/>
    <s v="Marketplace"/>
    <s v="G. Dubois"/>
    <x v="1"/>
    <s v="PRN-8850"/>
    <n v="320.12"/>
    <n v="594.41999999999996"/>
    <s v="High"/>
    <n v="0.104"/>
    <n v="18"/>
    <n v="9586.8057599999993"/>
    <n v="5762.16"/>
    <n v="3824.6457599999994"/>
    <n v="0.39894891538931104"/>
    <x v="0"/>
  </r>
  <r>
    <s v="ORD-2024-527858"/>
    <d v="2024-05-07T00:00:00"/>
    <s v="Q2-2024"/>
    <d v="2024-05-12T00:00:00"/>
    <n v="5"/>
    <s v="Africa"/>
    <x v="1"/>
    <s v="Abuja"/>
    <s v="Non-Profit"/>
    <s v="Distributor"/>
    <s v="L. Okafor"/>
    <x v="4"/>
    <s v="LAP-9100"/>
    <n v="1163.99"/>
    <n v="1617.85"/>
    <s v="High"/>
    <n v="0.127"/>
    <n v="14"/>
    <n v="19773.362699999998"/>
    <n v="16295.86"/>
    <n v="3477.5026999999973"/>
    <n v="0.17586804797749436"/>
    <x v="1"/>
  </r>
  <r>
    <s v="ORD-2023-619385"/>
    <d v="2023-09-30T00:00:00"/>
    <s v="Q3-2023"/>
    <d v="2023-10-03T00:00:00"/>
    <n v="3"/>
    <s v="Asia"/>
    <x v="9"/>
    <s v="Beijing"/>
    <s v="Non-Profit"/>
    <s v="Retail"/>
    <s v="J. Njeri"/>
    <x v="4"/>
    <s v="LAP-5763"/>
    <n v="1019.36"/>
    <n v="972.91"/>
    <s v="High"/>
    <n v="0.14699999999999999"/>
    <n v="17"/>
    <n v="14108.16791"/>
    <n v="17329.12"/>
    <n v="-3220.9520899999989"/>
    <n v="-0.22830406545678819"/>
    <x v="1"/>
  </r>
  <r>
    <s v="ORD-2023-835226"/>
    <d v="2023-10-26T00:00:00"/>
    <s v="Q4-2023"/>
    <d v="2023-11-05T00:00:00"/>
    <n v="10"/>
    <s v="Africa"/>
    <x v="11"/>
    <s v="Cape Town"/>
    <s v="Non-Profit"/>
    <s v="Online"/>
    <s v="I. Johnson"/>
    <x v="4"/>
    <s v="LAP-7320"/>
    <n v="20.38"/>
    <n v="42.56"/>
    <s v="High"/>
    <n v="7.1999999999999995E-2"/>
    <n v="11"/>
    <n v="434.45248000000004"/>
    <n v="224.17999999999998"/>
    <n v="210.27248000000006"/>
    <n v="0.48399419885921713"/>
    <x v="0"/>
  </r>
  <r>
    <s v="ORD-2025-485946"/>
    <d v="2025-06-15T00:00:00"/>
    <s v="Q2-2025"/>
    <d v="2025-06-30T00:00:00"/>
    <n v="15"/>
    <s v="Africa"/>
    <x v="11"/>
    <s v="Johannesburg"/>
    <s v="Small Business"/>
    <s v="Direct"/>
    <s v="C. Otieno"/>
    <x v="5"/>
    <s v="MON-5891"/>
    <n v="1487.59"/>
    <n v="1480.83"/>
    <s v="High"/>
    <n v="8.9999999999999993E-3"/>
    <n v="11"/>
    <n v="16142.527829999999"/>
    <n v="16363.49"/>
    <n v="-220.9621700000007"/>
    <n v="-1.3688201273492908E-2"/>
    <x v="0"/>
  </r>
  <r>
    <s v="ORD-2024-307849"/>
    <d v="2024-08-10T00:00:00"/>
    <s v="Q3-2024"/>
    <d v="2024-09-07T00:00:00"/>
    <n v="28"/>
    <s v="Europe"/>
    <x v="7"/>
    <s v="Marseille"/>
    <s v="Non-Profit"/>
    <s v="Direct"/>
    <s v="F. Müller"/>
    <x v="1"/>
    <s v="PRN-1183"/>
    <n v="229.96"/>
    <n v="564.26"/>
    <s v="High"/>
    <n v="0.105"/>
    <n v="5"/>
    <n v="2525.0635000000002"/>
    <n v="1149.8"/>
    <n v="1375.2635000000002"/>
    <n v="0.54464511486542821"/>
    <x v="0"/>
  </r>
  <r>
    <s v="ORD-2023-368449"/>
    <d v="2023-10-09T00:00:00"/>
    <s v="Q4-2023"/>
    <d v="2023-10-26T00:00:00"/>
    <n v="17"/>
    <s v="Asia"/>
    <x v="9"/>
    <s v="Shanghai"/>
    <s v="Consumer"/>
    <s v="Marketplace"/>
    <s v="C. Otieno"/>
    <x v="0"/>
    <s v="CMP-2096"/>
    <n v="1132.03"/>
    <n v="2137.21"/>
    <s v="High"/>
    <n v="0.3"/>
    <n v="35"/>
    <n v="52361.645000000004"/>
    <n v="39621.049999999996"/>
    <n v="12740.595000000008"/>
    <n v="0.24331922727026639"/>
    <x v="0"/>
  </r>
  <r>
    <s v="ORD-2024-251426"/>
    <d v="2024-03-09T00:00:00"/>
    <s v="Q1-2024"/>
    <d v="2024-03-26T00:00:00"/>
    <n v="17"/>
    <s v="Americas"/>
    <x v="10"/>
    <s v="San Francisco"/>
    <s v="Education"/>
    <s v="Direct"/>
    <s v="I. Johnson"/>
    <x v="3"/>
    <s v="PHN-3398"/>
    <n v="1137.4100000000001"/>
    <n v="1680.93"/>
    <s v="High"/>
    <n v="0.254"/>
    <n v="9"/>
    <n v="11285.764020000001"/>
    <n v="10236.69"/>
    <n v="1049.07402"/>
    <n v="9.2955516183121464E-2"/>
    <x v="0"/>
  </r>
  <r>
    <s v="ORD-2023-927385"/>
    <d v="2023-05-29T00:00:00"/>
    <s v="Q2-2023"/>
    <d v="2023-06-20T00:00:00"/>
    <n v="22"/>
    <s v="Europe"/>
    <x v="8"/>
    <s v="London"/>
    <s v="Small Business"/>
    <s v="Direct"/>
    <s v="K. Singh"/>
    <x v="0"/>
    <s v="CMP-8545"/>
    <n v="1295.3900000000001"/>
    <n v="2905.06"/>
    <s v="High"/>
    <n v="0.14799999999999999"/>
    <n v="8"/>
    <n v="19800.88896"/>
    <n v="10363.120000000001"/>
    <n v="9437.7689599999994"/>
    <n v="0.47663359857556614"/>
    <x v="0"/>
  </r>
  <r>
    <s v="ORD-2025-486350"/>
    <d v="2025-05-27T00:00:00"/>
    <s v="Q2-2025"/>
    <d v="2025-06-08T00:00:00"/>
    <n v="12"/>
    <s v="Asia"/>
    <x v="2"/>
    <s v="Osaka"/>
    <s v="Corporate"/>
    <s v="Retail"/>
    <s v="H. Kim"/>
    <x v="6"/>
    <s v="ACC-1249"/>
    <n v="653.6"/>
    <n v="842.09"/>
    <s v="High"/>
    <n v="9.8000000000000004E-2"/>
    <n v="19"/>
    <n v="14431.738420000001"/>
    <n v="12418.4"/>
    <n v="2013.3384200000019"/>
    <n v="0.13950768517324622"/>
    <x v="0"/>
  </r>
  <r>
    <s v="ORD-2025-677880"/>
    <d v="2025-08-21T00:00:00"/>
    <s v="Q3-2025"/>
    <d v="2025-09-14T00:00:00"/>
    <n v="24"/>
    <s v="Europe"/>
    <x v="6"/>
    <s v="Berlin"/>
    <s v="Non-Profit"/>
    <s v="Online"/>
    <s v="A. Patel"/>
    <x v="5"/>
    <s v="MON-9662"/>
    <n v="1397.67"/>
    <n v="3131.37"/>
    <s v="High"/>
    <n v="0.10299999999999999"/>
    <n v="20"/>
    <n v="56176.777799999996"/>
    <n v="27953.4"/>
    <n v="28223.377799999995"/>
    <n v="0.50240293062874808"/>
    <x v="0"/>
  </r>
  <r>
    <s v="ORD-2024-102866"/>
    <d v="2024-12-12T00:00:00"/>
    <s v="Q4-2024"/>
    <d v="2024-12-20T00:00:00"/>
    <n v="8"/>
    <s v="Asia"/>
    <x v="2"/>
    <s v="Tokyo"/>
    <s v="Corporate"/>
    <s v="Retail"/>
    <s v="B. Chen"/>
    <x v="4"/>
    <s v="LAP-8347"/>
    <n v="1202.47"/>
    <n v="1444.72"/>
    <s v="High"/>
    <n v="0.24099999999999999"/>
    <n v="17"/>
    <n v="18641.222160000001"/>
    <n v="20441.990000000002"/>
    <n v="-1800.7678400000004"/>
    <n v="-9.6601382921343834E-2"/>
    <x v="0"/>
  </r>
  <r>
    <s v="ORD-2025-588029"/>
    <d v="2025-09-14T00:00:00"/>
    <s v="Q3-2025"/>
    <d v="2025-09-23T00:00:00"/>
    <n v="9"/>
    <s v="Africa"/>
    <x v="11"/>
    <s v="Durban"/>
    <s v="Non-Profit"/>
    <s v="Online"/>
    <s v="D. Smith"/>
    <x v="0"/>
    <s v="CMP-6898"/>
    <n v="1310.3"/>
    <n v="2875.8"/>
    <s v="High"/>
    <n v="8.3000000000000004E-2"/>
    <n v="5"/>
    <n v="13185.543"/>
    <n v="6551.5"/>
    <n v="6634.0429999999997"/>
    <n v="0.50313005691157353"/>
    <x v="0"/>
  </r>
  <r>
    <s v="ORD-2024-972999"/>
    <d v="2024-09-06T00:00:00"/>
    <s v="Q3-2024"/>
    <d v="2024-10-04T00:00:00"/>
    <n v="28"/>
    <s v="Africa"/>
    <x v="11"/>
    <s v="Cape Town"/>
    <s v="Corporate"/>
    <s v="Marketplace"/>
    <s v="D. Smith"/>
    <x v="5"/>
    <s v="MON-3504"/>
    <n v="1174.17"/>
    <n v="1641.61"/>
    <s v="High"/>
    <n v="0.122"/>
    <n v="9"/>
    <n v="12972.00222"/>
    <n v="10567.53"/>
    <n v="2404.4722199999997"/>
    <n v="0.18535860380079394"/>
    <x v="0"/>
  </r>
  <r>
    <s v="ORD-2025-608069"/>
    <d v="2025-04-12T00:00:00"/>
    <s v="Q2-2025"/>
    <d v="2025-04-30T00:00:00"/>
    <n v="18"/>
    <s v="Africa"/>
    <x v="0"/>
    <s v="Kisumu"/>
    <s v="Corporate"/>
    <s v="Marketplace"/>
    <s v="F. Müller"/>
    <x v="2"/>
    <s v="NET-3432"/>
    <n v="1119.04"/>
    <n v="1299.02"/>
    <s v="High"/>
    <n v="2.5000000000000001E-2"/>
    <n v="14"/>
    <n v="17731.623"/>
    <n v="15666.56"/>
    <n v="2065.0630000000001"/>
    <n v="0.11646215352085933"/>
    <x v="0"/>
  </r>
  <r>
    <s v="ORD-2024-626750"/>
    <d v="2024-08-12T00:00:00"/>
    <s v="Q3-2024"/>
    <d v="2024-08-15T00:00:00"/>
    <n v="3"/>
    <s v="Americas"/>
    <x v="10"/>
    <s v="Chicago"/>
    <s v="Corporate"/>
    <s v="Marketplace"/>
    <s v="D. Smith"/>
    <x v="1"/>
    <s v="PRN-5591"/>
    <n v="850.7"/>
    <n v="1118.56"/>
    <s v="High"/>
    <n v="0.18"/>
    <n v="19"/>
    <n v="17427.164800000002"/>
    <n v="16163.300000000001"/>
    <n v="1263.8648000000012"/>
    <n v="7.2522685962090688E-2"/>
    <x v="1"/>
  </r>
  <r>
    <s v="ORD-2024-170021"/>
    <d v="2024-11-05T00:00:00"/>
    <s v="Q4-2024"/>
    <d v="2024-11-08T00:00:00"/>
    <n v="3"/>
    <s v="Americas"/>
    <x v="3"/>
    <s v="Toronto"/>
    <s v="Education"/>
    <s v="Marketplace"/>
    <s v="O. Wang"/>
    <x v="0"/>
    <s v="CMP-2015"/>
    <n v="1020.4"/>
    <n v="1184.71"/>
    <s v="High"/>
    <n v="0.106"/>
    <n v="16"/>
    <n v="16946.091840000001"/>
    <n v="16326.4"/>
    <n v="619.69184000000132"/>
    <n v="3.6568422138328345E-2"/>
    <x v="1"/>
  </r>
  <r>
    <s v="ORD-2024-678110"/>
    <d v="2024-07-24T00:00:00"/>
    <s v="Q3-2024"/>
    <d v="2024-08-08T00:00:00"/>
    <n v="15"/>
    <s v="Europe"/>
    <x v="7"/>
    <s v="Marseille"/>
    <s v="Enterprise"/>
    <s v="Marketplace"/>
    <s v="H. Kim"/>
    <x v="4"/>
    <s v="LAP-9901"/>
    <n v="501.5"/>
    <n v="1201.47"/>
    <s v="High"/>
    <n v="0.126"/>
    <n v="5"/>
    <n v="5250.4239000000007"/>
    <n v="2507.5"/>
    <n v="2742.9239000000007"/>
    <n v="0.52241951359394057"/>
    <x v="0"/>
  </r>
  <r>
    <s v="ORD-2025-909340"/>
    <d v="2025-01-20T00:00:00"/>
    <s v="Q1-2025"/>
    <d v="2025-02-03T00:00:00"/>
    <n v="14"/>
    <s v="Americas"/>
    <x v="5"/>
    <s v="Brasília"/>
    <s v="Enterprise"/>
    <s v="Marketplace"/>
    <s v="F. Müller"/>
    <x v="0"/>
    <s v="CMP-8658"/>
    <n v="974.11"/>
    <n v="880.99"/>
    <s v="High"/>
    <n v="0.111"/>
    <n v="10"/>
    <n v="7832.0010999999995"/>
    <n v="9741.1"/>
    <n v="-1909.0989000000009"/>
    <n v="-0.2437562093805121"/>
    <x v="0"/>
  </r>
  <r>
    <s v="ORD-2023-854471"/>
    <d v="2023-03-06T00:00:00"/>
    <s v="Q1-2023"/>
    <d v="2023-04-04T00:00:00"/>
    <n v="29"/>
    <s v="Asia"/>
    <x v="9"/>
    <s v="Beijing"/>
    <s v="Small Business"/>
    <s v="Direct"/>
    <s v="C. Otieno"/>
    <x v="5"/>
    <s v="MON-2073"/>
    <n v="1126.29"/>
    <n v="2050.87"/>
    <s v="High"/>
    <n v="6.4000000000000001E-2"/>
    <n v="7"/>
    <n v="13437.300239999999"/>
    <n v="7884.03"/>
    <n v="5553.2702399999989"/>
    <n v="0.41327276616690373"/>
    <x v="0"/>
  </r>
  <r>
    <s v="ORD-2024-390951"/>
    <d v="2024-12-20T00:00:00"/>
    <s v="Q4-2024"/>
    <d v="2025-01-14T00:00:00"/>
    <n v="25"/>
    <s v="Asia"/>
    <x v="4"/>
    <s v="Delhi"/>
    <s v="Small Business"/>
    <s v="Retail"/>
    <s v="M. Rossi"/>
    <x v="1"/>
    <s v="PRN-9378"/>
    <n v="1361.34"/>
    <n v="1737.9"/>
    <s v="High"/>
    <n v="7.6999999999999999E-2"/>
    <n v="14"/>
    <n v="22457.143800000002"/>
    <n v="19058.759999999998"/>
    <n v="3398.3838000000032"/>
    <n v="0.15132751654731813"/>
    <x v="0"/>
  </r>
  <r>
    <s v="ORD-2025-881624"/>
    <d v="2025-02-21T00:00:00"/>
    <s v="Q1-2025"/>
    <d v="2025-03-21T00:00:00"/>
    <n v="28"/>
    <s v="Africa"/>
    <x v="1"/>
    <s v="Abuja"/>
    <s v="Enterprise"/>
    <s v="Marketplace"/>
    <s v="I. Johnson"/>
    <x v="3"/>
    <s v="PHN-5887"/>
    <n v="1437.39"/>
    <n v="1388.31"/>
    <s v="High"/>
    <n v="0.13800000000000001"/>
    <n v="18"/>
    <n v="21541.017959999997"/>
    <n v="25873.02"/>
    <n v="-4332.002040000003"/>
    <n v="-0.20110479681341872"/>
    <x v="0"/>
  </r>
  <r>
    <s v="ORD-2025-512310"/>
    <d v="2025-03-08T00:00:00"/>
    <s v="Q1-2025"/>
    <d v="2025-03-15T00:00:00"/>
    <n v="7"/>
    <s v="Asia"/>
    <x v="4"/>
    <s v="Bengaluru"/>
    <s v="Corporate"/>
    <s v="Distributor"/>
    <s v="K. Singh"/>
    <x v="4"/>
    <s v="LAP-8119"/>
    <n v="475.66"/>
    <n v="529.14"/>
    <s v="High"/>
    <n v="0.19600000000000001"/>
    <n v="11"/>
    <n v="4679.7141600000004"/>
    <n v="5232.26"/>
    <n v="-552.54583999999977"/>
    <n v="-0.11807256193613323"/>
    <x v="1"/>
  </r>
  <r>
    <s v="ORD-2023-674887"/>
    <d v="2023-12-16T00:00:00"/>
    <s v="Q4-2023"/>
    <d v="2023-12-19T00:00:00"/>
    <n v="3"/>
    <s v="Asia"/>
    <x v="9"/>
    <s v="Beijing"/>
    <s v="Education"/>
    <s v="Retail"/>
    <s v="A. Patel"/>
    <x v="6"/>
    <s v="ACC-9644"/>
    <n v="1415.05"/>
    <n v="1972.38"/>
    <s v="High"/>
    <n v="0"/>
    <n v="12"/>
    <n v="23668.560000000001"/>
    <n v="16980.599999999999"/>
    <n v="6687.9600000000028"/>
    <n v="0.28256725377462771"/>
    <x v="1"/>
  </r>
  <r>
    <s v="ORD-2024-542244"/>
    <d v="2024-08-30T00:00:00"/>
    <s v="Q3-2024"/>
    <d v="2024-09-05T00:00:00"/>
    <n v="6"/>
    <s v="Asia"/>
    <x v="2"/>
    <s v="Nagoya"/>
    <s v="Education"/>
    <s v="Online"/>
    <s v="N. Brown"/>
    <x v="4"/>
    <s v="LAP-7009"/>
    <n v="466.16"/>
    <n v="876.81"/>
    <s v="High"/>
    <n v="0.24099999999999999"/>
    <n v="8"/>
    <n v="5323.9903199999999"/>
    <n v="3729.28"/>
    <n v="1594.7103199999997"/>
    <n v="0.29953291124691594"/>
    <x v="1"/>
  </r>
  <r>
    <s v="ORD-2024-375848"/>
    <d v="2024-05-18T00:00:00"/>
    <s v="Q2-2024"/>
    <d v="2024-05-21T00:00:00"/>
    <n v="3"/>
    <s v="Europe"/>
    <x v="7"/>
    <s v="Marseille"/>
    <s v="Non-Profit"/>
    <s v="Marketplace"/>
    <s v="D. Smith"/>
    <x v="1"/>
    <s v="PRN-1725"/>
    <n v="663.66"/>
    <n v="824.26"/>
    <s v="High"/>
    <n v="0.23899999999999999"/>
    <n v="11"/>
    <n v="6899.8804600000003"/>
    <n v="7300.2599999999993"/>
    <n v="-400.379539999999"/>
    <n v="-5.8027025587048933E-2"/>
    <x v="1"/>
  </r>
  <r>
    <s v="ORD-2023-933238"/>
    <d v="2023-03-17T00:00:00"/>
    <s v="Q1-2023"/>
    <d v="2023-04-06T00:00:00"/>
    <n v="20"/>
    <s v="Europe"/>
    <x v="6"/>
    <s v="Munich"/>
    <s v="Consumer"/>
    <s v="Retail"/>
    <s v="O. Wang"/>
    <x v="3"/>
    <s v="PHN-8483"/>
    <n v="692.18"/>
    <n v="1159.3499999999999"/>
    <s v="High"/>
    <n v="0.112"/>
    <n v="2"/>
    <n v="2059.0056"/>
    <n v="1384.36"/>
    <n v="674.64560000000006"/>
    <n v="0.32765602968734037"/>
    <x v="0"/>
  </r>
  <r>
    <s v="ORD-2023-732585"/>
    <d v="2023-08-25T00:00:00"/>
    <s v="Q3-2023"/>
    <d v="2023-09-16T00:00:00"/>
    <n v="22"/>
    <s v="Africa"/>
    <x v="1"/>
    <s v="Abuja"/>
    <s v="Corporate"/>
    <s v="Marketplace"/>
    <s v="L. Okafor"/>
    <x v="3"/>
    <s v="PHN-3971"/>
    <n v="1196.83"/>
    <n v="2513.5100000000002"/>
    <s v="High"/>
    <n v="8.3000000000000004E-2"/>
    <n v="7"/>
    <n v="16134.22069"/>
    <n v="8377.81"/>
    <n v="7756.4106900000006"/>
    <n v="0.48074281609445374"/>
    <x v="0"/>
  </r>
  <r>
    <s v="ORD-2024-465898"/>
    <d v="2024-06-06T00:00:00"/>
    <s v="Q2-2024"/>
    <d v="2024-06-24T00:00:00"/>
    <n v="18"/>
    <s v="Asia"/>
    <x v="4"/>
    <s v="Bengaluru"/>
    <s v="Small Business"/>
    <s v="Direct"/>
    <s v="H. Kim"/>
    <x v="2"/>
    <s v="NET-6578"/>
    <n v="1253.25"/>
    <n v="3087.13"/>
    <s v="High"/>
    <n v="7.1999999999999995E-2"/>
    <n v="11"/>
    <n v="31513.423040000001"/>
    <n v="13785.75"/>
    <n v="17727.673040000001"/>
    <n v="0.562543555408064"/>
    <x v="0"/>
  </r>
  <r>
    <s v="ORD-2023-987081"/>
    <d v="2023-08-29T00:00:00"/>
    <s v="Q3-2023"/>
    <d v="2023-09-13T00:00:00"/>
    <n v="15"/>
    <s v="Americas"/>
    <x v="3"/>
    <s v="Vancouver"/>
    <s v="Small Business"/>
    <s v="Marketplace"/>
    <s v="O. Wang"/>
    <x v="1"/>
    <s v="PRN-9975"/>
    <n v="1287.6400000000001"/>
    <n v="2717.15"/>
    <s v="High"/>
    <n v="3.2000000000000001E-2"/>
    <n v="7"/>
    <n v="18411.4084"/>
    <n v="9013.4800000000014"/>
    <n v="9397.9283999999989"/>
    <n v="0.51044049405802105"/>
    <x v="0"/>
  </r>
  <r>
    <s v="ORD-2024-655710"/>
    <d v="2024-11-30T00:00:00"/>
    <s v="Q4-2024"/>
    <d v="2024-12-10T00:00:00"/>
    <n v="10"/>
    <s v="Asia"/>
    <x v="4"/>
    <s v="Hyderabad"/>
    <s v="Small Business"/>
    <s v="Retail"/>
    <s v="F. Müller"/>
    <x v="6"/>
    <s v="ACC-1075"/>
    <n v="851.49"/>
    <n v="901.79"/>
    <s v="High"/>
    <n v="0.245"/>
    <n v="16"/>
    <n v="10893.6232"/>
    <n v="13623.84"/>
    <n v="-2730.2168000000001"/>
    <n v="-0.25062522816100341"/>
    <x v="0"/>
  </r>
  <r>
    <s v="ORD-2025-411385"/>
    <d v="2025-06-05T00:00:00"/>
    <s v="Q2-2025"/>
    <d v="2025-06-14T00:00:00"/>
    <n v="9"/>
    <s v="Asia"/>
    <x v="4"/>
    <s v="Delhi"/>
    <s v="Non-Profit"/>
    <s v="Retail"/>
    <s v="A. Patel"/>
    <x v="6"/>
    <s v="ACC-2902"/>
    <n v="618.69000000000005"/>
    <n v="796.15"/>
    <s v="High"/>
    <n v="0.09"/>
    <n v="11"/>
    <n v="7969.4615000000003"/>
    <n v="6805.59"/>
    <n v="1163.8715000000002"/>
    <n v="0.14604142325049191"/>
    <x v="0"/>
  </r>
  <r>
    <s v="ORD-2025-222035"/>
    <d v="2025-03-14T00:00:00"/>
    <s v="Q1-2025"/>
    <d v="2025-04-08T00:00:00"/>
    <n v="25"/>
    <s v="Asia"/>
    <x v="9"/>
    <s v="Unknown"/>
    <s v="Corporate"/>
    <s v="Distributor"/>
    <s v="D. Smith"/>
    <x v="1"/>
    <s v="PRN-5815"/>
    <n v="80.59"/>
    <n v="157.82"/>
    <s v="High"/>
    <n v="0.217"/>
    <n v="6"/>
    <n v="741.43835999999999"/>
    <n v="483.54"/>
    <n v="257.89835999999997"/>
    <n v="0.34783519967863541"/>
    <x v="0"/>
  </r>
  <r>
    <s v="ORD-2024-749242"/>
    <d v="2024-01-16T00:00:00"/>
    <s v="Q1-2024"/>
    <d v="2024-02-11T00:00:00"/>
    <n v="26"/>
    <s v="Europe"/>
    <x v="6"/>
    <s v="Frankfurt"/>
    <s v="Non-Profit"/>
    <s v="Distributor"/>
    <s v="E. Garcia"/>
    <x v="5"/>
    <s v="MON-4195"/>
    <n v="504.93"/>
    <n v="819.06"/>
    <s v="High"/>
    <n v="0.22600000000000001"/>
    <n v="15"/>
    <n v="9509.2865999999995"/>
    <n v="7573.95"/>
    <n v="1935.3365999999996"/>
    <n v="0.20352069312959814"/>
    <x v="0"/>
  </r>
  <r>
    <s v="ORD-2023-623293"/>
    <d v="2023-10-12T00:00:00"/>
    <s v="Q4-2023"/>
    <d v="2023-10-29T00:00:00"/>
    <n v="17"/>
    <s v="Asia"/>
    <x v="2"/>
    <s v="Nagoya"/>
    <s v="Non-Profit"/>
    <s v="Direct"/>
    <s v="H. Kim"/>
    <x v="3"/>
    <s v="PHN-8478"/>
    <n v="1102.19"/>
    <n v="1711.16"/>
    <s v="High"/>
    <n v="0.151"/>
    <n v="10"/>
    <n v="14527.748400000002"/>
    <n v="11021.900000000001"/>
    <n v="3505.8484000000008"/>
    <n v="0.24132083675127525"/>
    <x v="0"/>
  </r>
  <r>
    <s v="ORD-2025-276968"/>
    <d v="2025-02-25T00:00:00"/>
    <s v="Q1-2025"/>
    <d v="2025-03-17T00:00:00"/>
    <n v="20"/>
    <s v="Americas"/>
    <x v="10"/>
    <s v="San Francisco"/>
    <s v="Non-Profit"/>
    <s v="Marketplace"/>
    <s v="H. Kim"/>
    <x v="3"/>
    <s v="PHN-1044"/>
    <n v="1205.26"/>
    <n v="1696.35"/>
    <s v="High"/>
    <n v="1.9E-2"/>
    <n v="6"/>
    <n v="9984.7160999999978"/>
    <n v="7231.5599999999995"/>
    <n v="2753.1560999999983"/>
    <n v="0.27573704374028213"/>
    <x v="0"/>
  </r>
  <r>
    <s v="ORD-2025-650841"/>
    <d v="2025-07-03T00:00:00"/>
    <s v="Q3-2025"/>
    <d v="2025-07-06T00:00:00"/>
    <n v="3"/>
    <s v="Africa"/>
    <x v="1"/>
    <s v="Lagos"/>
    <s v="Consumer"/>
    <s v="Online"/>
    <s v="Unknown"/>
    <x v="4"/>
    <s v="LAP-8910"/>
    <n v="1313.3"/>
    <n v="2884.34"/>
    <s v="High"/>
    <n v="0.157"/>
    <n v="42"/>
    <n v="102122.94203999999"/>
    <n v="55158.6"/>
    <n v="46964.342039999996"/>
    <n v="0.45988042551305253"/>
    <x v="1"/>
  </r>
  <r>
    <s v="ORD-2025-831576"/>
    <d v="2025-09-15T00:00:00"/>
    <s v="Q3-2025"/>
    <d v="2025-09-25T00:00:00"/>
    <n v="10"/>
    <s v="Asia"/>
    <x v="4"/>
    <s v="Delhi"/>
    <s v="Consumer"/>
    <s v="Retail"/>
    <s v="A. Patel"/>
    <x v="3"/>
    <s v="PHN-2859"/>
    <n v="1488.91"/>
    <n v="1483.74"/>
    <s v="High"/>
    <n v="0.16800000000000001"/>
    <n v="24"/>
    <n v="29627.320319999999"/>
    <n v="35733.840000000004"/>
    <n v="-6106.5196800000049"/>
    <n v="-0.20611110333450519"/>
    <x v="0"/>
  </r>
  <r>
    <s v="ORD-2024-468655"/>
    <d v="2024-02-19T00:00:00"/>
    <s v="Q1-2024"/>
    <d v="2024-03-06T00:00:00"/>
    <n v="16"/>
    <s v="Asia"/>
    <x v="9"/>
    <s v="Beijing"/>
    <s v="Education"/>
    <s v="Marketplace"/>
    <s v="O. Wang"/>
    <x v="1"/>
    <s v="PRN-6308"/>
    <n v="1477.84"/>
    <n v="3197.47"/>
    <s v="High"/>
    <n v="0.24299999999999999"/>
    <n v="24"/>
    <n v="58091.634960000003"/>
    <n v="35468.159999999996"/>
    <n v="22623.474960000007"/>
    <n v="0.38944462443823091"/>
    <x v="0"/>
  </r>
  <r>
    <s v="ORD-2024-515105"/>
    <d v="2024-02-27T00:00:00"/>
    <s v="Q1-2024"/>
    <d v="2024-03-26T00:00:00"/>
    <n v="28"/>
    <s v="Asia"/>
    <x v="4"/>
    <s v="Mumbai"/>
    <s v="Education"/>
    <s v="Marketplace"/>
    <s v="G. Dubois"/>
    <x v="4"/>
    <s v="LAP-8469"/>
    <n v="1035.19"/>
    <n v="2322.6999999999998"/>
    <s v="High"/>
    <n v="0.17299999999999999"/>
    <n v="8"/>
    <n v="15366.983199999999"/>
    <n v="8281.52"/>
    <n v="7085.4631999999983"/>
    <n v="0.46108355217047409"/>
    <x v="0"/>
  </r>
  <r>
    <s v="ORD-2025-803803"/>
    <d v="2025-08-28T00:00:00"/>
    <s v="Q3-2025"/>
    <d v="2025-09-05T00:00:00"/>
    <n v="8"/>
    <s v="Africa"/>
    <x v="1"/>
    <s v="Port Harcourt"/>
    <s v="Small Business"/>
    <s v="Marketplace"/>
    <s v="E. Garcia"/>
    <x v="4"/>
    <s v="LAP-7553"/>
    <n v="1271.0999999999999"/>
    <n v="1932.42"/>
    <s v="High"/>
    <n v="0.25"/>
    <n v="21"/>
    <n v="30435.614999999998"/>
    <n v="26693.1"/>
    <n v="3742.5149999999994"/>
    <n v="0.12296498690760807"/>
    <x v="0"/>
  </r>
  <r>
    <s v="ORD-2024-993481"/>
    <d v="2024-08-18T00:00:00"/>
    <s v="Q3-2024"/>
    <d v="2024-09-12T00:00:00"/>
    <n v="25"/>
    <s v="Asia"/>
    <x v="4"/>
    <s v="Mumbai"/>
    <s v="Consumer"/>
    <s v="Marketplace"/>
    <s v="C. Otieno"/>
    <x v="3"/>
    <s v="PHN-3077"/>
    <n v="1154.03"/>
    <n v="1590.36"/>
    <s v="High"/>
    <n v="0.3"/>
    <n v="18"/>
    <n v="20038.536"/>
    <n v="20772.54"/>
    <n v="-734.00400000000081"/>
    <n v="-3.6629622044245191E-2"/>
    <x v="0"/>
  </r>
  <r>
    <s v="ORD-2024-811752"/>
    <d v="2024-02-25T00:00:00"/>
    <s v="Q1-2024"/>
    <d v="2024-03-09T00:00:00"/>
    <n v="13"/>
    <s v="Europe"/>
    <x v="7"/>
    <s v="Marseille"/>
    <s v="Small Business"/>
    <s v="Distributor"/>
    <s v="E. Garcia"/>
    <x v="5"/>
    <s v="MON-3350"/>
    <n v="322.44"/>
    <n v="395.61"/>
    <s v="High"/>
    <n v="0"/>
    <n v="34"/>
    <n v="13450.74"/>
    <n v="10962.96"/>
    <n v="2487.7800000000007"/>
    <n v="0.18495487980586947"/>
    <x v="0"/>
  </r>
  <r>
    <s v="ORD-2025-673091"/>
    <d v="2025-05-07T00:00:00"/>
    <s v="Q2-2025"/>
    <d v="2025-05-13T00:00:00"/>
    <n v="6"/>
    <s v="Asia"/>
    <x v="4"/>
    <s v="Bengaluru"/>
    <s v="Enterprise"/>
    <s v="Direct"/>
    <s v="J. Njeri"/>
    <x v="3"/>
    <s v="PHN-5683"/>
    <n v="935.98"/>
    <n v="2077.69"/>
    <s v="High"/>
    <n v="0.17499999999999999"/>
    <n v="24"/>
    <n v="41138.261999999995"/>
    <n v="22463.52"/>
    <n v="18674.741999999995"/>
    <n v="0.45395067978321491"/>
    <x v="1"/>
  </r>
  <r>
    <s v="ORD-2024-381197"/>
    <d v="2024-11-01T00:00:00"/>
    <s v="Q4-2024"/>
    <d v="2024-11-12T00:00:00"/>
    <n v="11"/>
    <s v="Europe"/>
    <x v="6"/>
    <s v="Frankfurt"/>
    <s v="Consumer"/>
    <s v="Online"/>
    <s v="B. Chen"/>
    <x v="1"/>
    <s v="PRN-2409"/>
    <n v="599.84"/>
    <n v="1330.85"/>
    <s v="High"/>
    <n v="0.115"/>
    <n v="11"/>
    <n v="12955.824749999998"/>
    <n v="6598.2400000000007"/>
    <n v="6357.5847499999973"/>
    <n v="0.49071246892252063"/>
    <x v="0"/>
  </r>
  <r>
    <s v="ORD-2024-651852"/>
    <d v="2024-12-28T00:00:00"/>
    <s v="Q4-2024"/>
    <d v="2025-01-08T00:00:00"/>
    <n v="11"/>
    <s v="Asia"/>
    <x v="9"/>
    <s v="Shenzhen"/>
    <s v="Enterprise"/>
    <s v="Online"/>
    <s v="K. Singh"/>
    <x v="4"/>
    <s v="LAP-8825"/>
    <n v="1201.31"/>
    <n v="2764.65"/>
    <s v="High"/>
    <n v="0"/>
    <n v="21"/>
    <n v="58057.65"/>
    <n v="25227.51"/>
    <n v="32830.14"/>
    <n v="0.56547483406579491"/>
    <x v="0"/>
  </r>
  <r>
    <s v="ORD-2023-659070"/>
    <d v="2023-10-21T00:00:00"/>
    <s v="Q4-2023"/>
    <d v="2023-10-21T00:00:00"/>
    <n v="0"/>
    <s v="Europe"/>
    <x v="8"/>
    <s v="Manchester"/>
    <s v="Enterprise"/>
    <s v="Distributor"/>
    <s v="J. Njeri"/>
    <x v="5"/>
    <s v="MON-8697"/>
    <n v="384.19"/>
    <n v="278.35000000000002"/>
    <s v="High"/>
    <n v="5.6000000000000001E-2"/>
    <n v="10"/>
    <n v="2627.6239999999998"/>
    <n v="3841.9"/>
    <n v="-1214.2760000000003"/>
    <n v="-0.46211938998882657"/>
    <x v="1"/>
  </r>
  <r>
    <s v="ORD-2024-837651"/>
    <d v="2024-12-10T00:00:00"/>
    <s v="Q4-2024"/>
    <d v="2024-12-19T00:00:00"/>
    <n v="9"/>
    <s v="Africa"/>
    <x v="1"/>
    <s v="Lagos"/>
    <s v="Corporate"/>
    <s v="Retail"/>
    <s v="O. Wang"/>
    <x v="5"/>
    <s v="MON-4789"/>
    <n v="488.68"/>
    <n v="984.36"/>
    <s v="High"/>
    <n v="5.8999999999999997E-2"/>
    <n v="14"/>
    <n v="12967.958640000001"/>
    <n v="6841.52"/>
    <n v="6126.4386400000003"/>
    <n v="0.47242891576649876"/>
    <x v="0"/>
  </r>
  <r>
    <s v="ORD-2024-581530"/>
    <d v="2024-09-07T00:00:00"/>
    <s v="Q3-2024"/>
    <d v="2024-09-18T00:00:00"/>
    <n v="11"/>
    <s v="Asia"/>
    <x v="9"/>
    <s v="Beijing"/>
    <s v="Consumer"/>
    <s v="Distributor"/>
    <s v="O. Wang"/>
    <x v="2"/>
    <s v="NET-7998"/>
    <n v="181.74"/>
    <n v="190.84"/>
    <s v="High"/>
    <n v="0.214"/>
    <n v="13"/>
    <n v="1950.0031200000001"/>
    <n v="2362.62"/>
    <n v="-412.61687999999981"/>
    <n v="-0.21159806144310159"/>
    <x v="0"/>
  </r>
  <r>
    <s v="ORD-2023-378104"/>
    <d v="2023-10-18T00:00:00"/>
    <s v="Q4-2023"/>
    <d v="2023-10-20T00:00:00"/>
    <n v="2"/>
    <s v="Africa"/>
    <x v="0"/>
    <s v="Kisumu"/>
    <s v="Consumer"/>
    <s v="Retail"/>
    <s v="J. Njeri"/>
    <x v="3"/>
    <s v="PHN-8891"/>
    <n v="774.12"/>
    <n v="908.3"/>
    <s v="High"/>
    <n v="0"/>
    <n v="30"/>
    <n v="27249"/>
    <n v="23223.599999999999"/>
    <n v="4025.4000000000015"/>
    <n v="0.14772652207420461"/>
    <x v="1"/>
  </r>
  <r>
    <s v="ORD-2024-972318"/>
    <d v="2024-12-24T00:00:00"/>
    <s v="Q4-2024"/>
    <d v="2025-01-13T00:00:00"/>
    <n v="20"/>
    <s v="Asia"/>
    <x v="4"/>
    <s v="Bengaluru"/>
    <s v="Corporate"/>
    <s v="Marketplace"/>
    <s v="D. Smith"/>
    <x v="2"/>
    <s v="NET-9832"/>
    <n v="126.15"/>
    <n v="284.23"/>
    <s v="High"/>
    <n v="0.113"/>
    <n v="22"/>
    <n v="5546.4642200000008"/>
    <n v="2775.3"/>
    <n v="2771.1642200000006"/>
    <n v="0.49962716968541088"/>
    <x v="0"/>
  </r>
  <r>
    <s v="ORD-2023-752962"/>
    <d v="2023-04-21T00:00:00"/>
    <s v="Q2-2023"/>
    <d v="2023-04-28T00:00:00"/>
    <n v="7"/>
    <s v="Asia"/>
    <x v="2"/>
    <s v="Nagoya"/>
    <s v="Small Business"/>
    <s v="Direct"/>
    <s v="M. Rossi"/>
    <x v="0"/>
    <s v="CMP-8604"/>
    <n v="607.04"/>
    <n v="1229.3399999999999"/>
    <s v="High"/>
    <n v="0.14699999999999999"/>
    <n v="7"/>
    <n v="7340.3891399999993"/>
    <n v="4249.28"/>
    <n v="3091.1091399999996"/>
    <n v="0.42110970972310058"/>
    <x v="1"/>
  </r>
  <r>
    <s v="ORD-2023-808024"/>
    <d v="2023-12-30T00:00:00"/>
    <s v="Q4-2023"/>
    <d v="2024-01-08T00:00:00"/>
    <n v="9"/>
    <s v="Europe"/>
    <x v="7"/>
    <s v="Marseille"/>
    <s v="Consumer"/>
    <s v="Marketplace"/>
    <s v="L. Okafor"/>
    <x v="6"/>
    <s v="ACC-6594"/>
    <n v="861.1"/>
    <n v="1224.72"/>
    <s v="High"/>
    <n v="0.17399999999999999"/>
    <n v="24"/>
    <n v="24278.849280000002"/>
    <n v="20666.400000000001"/>
    <n v="3612.4492800000007"/>
    <n v="0.14878997098827909"/>
    <x v="0"/>
  </r>
  <r>
    <s v="ORD-2023-156396"/>
    <d v="2023-02-21T00:00:00"/>
    <s v="Q1-2023"/>
    <d v="2023-03-12T00:00:00"/>
    <n v="19"/>
    <s v="Africa"/>
    <x v="0"/>
    <s v="Nakuru"/>
    <s v="Corporate"/>
    <s v="Online"/>
    <s v="F. Müller"/>
    <x v="2"/>
    <s v="NET-2499"/>
    <n v="352.65"/>
    <n v="485.86"/>
    <s v="High"/>
    <n v="4.1000000000000002E-2"/>
    <n v="6"/>
    <n v="2795.6384399999997"/>
    <n v="2115.8999999999996"/>
    <n v="679.73844000000008"/>
    <n v="0.24314247159943908"/>
    <x v="0"/>
  </r>
  <r>
    <s v="ORD-2023-184577"/>
    <d v="2023-05-17T00:00:00"/>
    <s v="Q2-2023"/>
    <d v="2023-06-03T00:00:00"/>
    <n v="17"/>
    <s v="Asia"/>
    <x v="9"/>
    <s v="Beijing"/>
    <s v="Non-Profit"/>
    <s v="Distributor"/>
    <s v="M. Rossi"/>
    <x v="1"/>
    <s v="PRN-1923"/>
    <n v="979.59"/>
    <n v="2210.94"/>
    <s v="High"/>
    <n v="0.15"/>
    <n v="11"/>
    <n v="20672.289000000001"/>
    <n v="10775.49"/>
    <n v="9896.7990000000009"/>
    <n v="0.47874712858358359"/>
    <x v="0"/>
  </r>
  <r>
    <s v="ORD-2024-446030"/>
    <d v="2024-03-23T00:00:00"/>
    <s v="Q1-2024"/>
    <d v="2024-03-26T00:00:00"/>
    <n v="3"/>
    <s v="Asia"/>
    <x v="4"/>
    <s v="Bengaluru"/>
    <s v="Education"/>
    <s v="Direct"/>
    <s v="G. Dubois"/>
    <x v="3"/>
    <s v="PHN-4346"/>
    <n v="382.21"/>
    <n v="571.89"/>
    <s v="High"/>
    <n v="0.14799999999999999"/>
    <n v="26"/>
    <n v="12668.50728"/>
    <n v="9937.4599999999991"/>
    <n v="2731.0472800000007"/>
    <n v="0.2155776698578809"/>
    <x v="1"/>
  </r>
  <r>
    <s v="ORD-2023-842820"/>
    <d v="2023-09-20T00:00:00"/>
    <s v="Q3-2023"/>
    <d v="2023-09-28T00:00:00"/>
    <n v="8"/>
    <s v="Asia"/>
    <x v="4"/>
    <s v="Unknown"/>
    <s v="Corporate"/>
    <s v="Unknown"/>
    <s v="B. Chen"/>
    <x v="6"/>
    <s v="ACC-1375"/>
    <n v="1362.06"/>
    <n v="3398.37"/>
    <s v="High"/>
    <n v="0.157"/>
    <n v="11"/>
    <n v="31513.085009999999"/>
    <n v="14982.66"/>
    <n v="16530.425009999999"/>
    <n v="0.52455749745714919"/>
    <x v="0"/>
  </r>
  <r>
    <s v="ORD-2024-745424"/>
    <d v="2024-08-22T00:00:00"/>
    <s v="Q3-2024"/>
    <d v="2024-09-04T00:00:00"/>
    <n v="13"/>
    <s v="Europe"/>
    <x v="6"/>
    <s v="Frankfurt"/>
    <s v="Non-Profit"/>
    <s v="Retail"/>
    <s v="L. Okafor"/>
    <x v="1"/>
    <s v="PRN-4892"/>
    <n v="90.04"/>
    <n v="194.62"/>
    <s v="High"/>
    <n v="4.2999999999999997E-2"/>
    <n v="32"/>
    <n v="5960.04288"/>
    <n v="2881.28"/>
    <n v="3078.7628799999998"/>
    <n v="0.51656723650954672"/>
    <x v="0"/>
  </r>
  <r>
    <s v="ORD-2024-510520"/>
    <d v="2024-09-25T00:00:00"/>
    <s v="Q3-2024"/>
    <d v="2024-10-03T00:00:00"/>
    <n v="8"/>
    <s v="Americas"/>
    <x v="3"/>
    <s v="Toronto"/>
    <s v="Consumer"/>
    <s v="Online"/>
    <s v="E. Garcia"/>
    <x v="1"/>
    <s v="PRN-9557"/>
    <n v="558.19000000000005"/>
    <n v="1031.6400000000001"/>
    <s v="High"/>
    <n v="0"/>
    <n v="21"/>
    <n v="21664.440000000002"/>
    <n v="11721.990000000002"/>
    <n v="9942.4500000000007"/>
    <n v="0.45892947152107322"/>
    <x v="0"/>
  </r>
  <r>
    <s v="ORD-2023-769774"/>
    <d v="2023-06-13T00:00:00"/>
    <s v="Q2-2023"/>
    <d v="2023-06-24T00:00:00"/>
    <n v="11"/>
    <s v="Americas"/>
    <x v="3"/>
    <s v="Toronto"/>
    <s v="Corporate"/>
    <s v="Online"/>
    <s v="C. Otieno"/>
    <x v="1"/>
    <s v="PRN-8008"/>
    <n v="247.07"/>
    <n v="495.19"/>
    <s v="High"/>
    <n v="2.8000000000000001E-2"/>
    <n v="4"/>
    <n v="1925.29872"/>
    <n v="988.28"/>
    <n v="937.01872000000003"/>
    <n v="0.48668744764968214"/>
    <x v="0"/>
  </r>
  <r>
    <s v="ORD-2023-580751"/>
    <d v="2023-12-24T00:00:00"/>
    <s v="Q4-2023"/>
    <d v="2024-01-13T00:00:00"/>
    <n v="20"/>
    <s v="Asia"/>
    <x v="2"/>
    <s v="Nagoya"/>
    <s v="Education"/>
    <s v="Direct"/>
    <s v="B. Chen"/>
    <x v="4"/>
    <s v="LAP-1946"/>
    <n v="625.37"/>
    <n v="1319.04"/>
    <s v="High"/>
    <n v="7.3999999999999996E-2"/>
    <n v="8"/>
    <n v="9771.4483199999995"/>
    <n v="5002.96"/>
    <n v="4768.4883199999995"/>
    <n v="0.48800220436513547"/>
    <x v="0"/>
  </r>
  <r>
    <s v="ORD-2025-473192"/>
    <d v="2025-03-30T00:00:00"/>
    <s v="Q1-2025"/>
    <d v="2025-04-29T00:00:00"/>
    <n v="30"/>
    <s v="Africa"/>
    <x v="11"/>
    <s v="Durban"/>
    <s v="Consumer"/>
    <s v="Marketplace"/>
    <s v="J. Njeri"/>
    <x v="5"/>
    <s v="MON-7106"/>
    <n v="194.6"/>
    <n v="314.87"/>
    <s v="High"/>
    <n v="0.29299999999999998"/>
    <n v="25"/>
    <n v="5565.3272500000003"/>
    <n v="4865"/>
    <n v="700.32725000000028"/>
    <n v="0.1258375686712763"/>
    <x v="0"/>
  </r>
  <r>
    <s v="ORD-2024-886939"/>
    <d v="2024-06-03T00:00:00"/>
    <s v="Q2-2024"/>
    <d v="2024-06-24T00:00:00"/>
    <n v="21"/>
    <s v="Americas"/>
    <x v="3"/>
    <s v="Toronto"/>
    <s v="Small Business"/>
    <s v="Direct"/>
    <s v="G. Dubois"/>
    <x v="5"/>
    <s v="MON-5386"/>
    <n v="1205.5"/>
    <n v="2210.17"/>
    <s v="High"/>
    <n v="0.104"/>
    <n v="23"/>
    <n v="45547.183360000003"/>
    <n v="27726.5"/>
    <n v="17820.683360000003"/>
    <n v="0.39125763758314652"/>
    <x v="0"/>
  </r>
  <r>
    <s v="ORD-2024-566589"/>
    <d v="2024-06-11T00:00:00"/>
    <s v="Q2-2024"/>
    <d v="2024-07-09T00:00:00"/>
    <n v="28"/>
    <s v="Africa"/>
    <x v="1"/>
    <s v="Port Harcourt"/>
    <s v="Corporate"/>
    <s v="Marketplace"/>
    <s v="I. Johnson"/>
    <x v="3"/>
    <s v="PHN-2436"/>
    <n v="895.54"/>
    <n v="1045"/>
    <s v="High"/>
    <n v="0.216"/>
    <n v="15"/>
    <n v="12289.2"/>
    <n v="13433.099999999999"/>
    <n v="-1143.8999999999978"/>
    <n v="-9.3081730299775234E-2"/>
    <x v="0"/>
  </r>
  <r>
    <s v="ORD-2023-109927"/>
    <d v="2023-07-22T00:00:00"/>
    <s v="Q3-2023"/>
    <d v="2023-07-29T00:00:00"/>
    <n v="7"/>
    <s v="Asia"/>
    <x v="4"/>
    <s v="Delhi"/>
    <s v="Small Business"/>
    <s v="Distributor"/>
    <s v="E. Garcia"/>
    <x v="1"/>
    <s v="PRN-2301"/>
    <n v="946.99"/>
    <n v="2132.19"/>
    <s v="High"/>
    <n v="0.16500000000000001"/>
    <n v="7"/>
    <n v="12462.65055"/>
    <n v="6628.93"/>
    <n v="5833.72055"/>
    <n v="0.46809629513362228"/>
    <x v="1"/>
  </r>
  <r>
    <s v="ORD-2023-780206"/>
    <d v="2023-01-19T00:00:00"/>
    <s v="Q1-2023"/>
    <d v="2023-02-03T00:00:00"/>
    <n v="15"/>
    <s v="Europe"/>
    <x v="8"/>
    <s v="London"/>
    <s v="Enterprise"/>
    <s v="Distributor"/>
    <s v="G. Dubois"/>
    <x v="6"/>
    <s v="ACC-3645"/>
    <n v="873.06"/>
    <n v="2101.5500000000002"/>
    <s v="High"/>
    <n v="6.6000000000000003E-2"/>
    <n v="10"/>
    <n v="19628.476999999999"/>
    <n v="8730.5999999999985"/>
    <n v="10897.877"/>
    <n v="0.55520746719167269"/>
    <x v="0"/>
  </r>
  <r>
    <s v="ORD-2024-851993"/>
    <d v="2024-05-01T00:00:00"/>
    <s v="Q2-2024"/>
    <d v="2024-05-16T00:00:00"/>
    <n v="15"/>
    <s v="Asia"/>
    <x v="4"/>
    <s v="Bengaluru"/>
    <s v="Small Business"/>
    <s v="Retail"/>
    <s v="L. Okafor"/>
    <x v="0"/>
    <s v="CMP-6811"/>
    <n v="901.19"/>
    <n v="2125.44"/>
    <s v="High"/>
    <n v="7.0999999999999994E-2"/>
    <n v="12"/>
    <n v="23694.405119999999"/>
    <n v="10814.28"/>
    <n v="12880.125119999999"/>
    <n v="0.54359352154100415"/>
    <x v="0"/>
  </r>
  <r>
    <s v="ORD-2025-417942"/>
    <d v="2025-06-09T00:00:00"/>
    <s v="Q2-2025"/>
    <d v="2025-06-24T00:00:00"/>
    <n v="15"/>
    <s v="Asia"/>
    <x v="2"/>
    <s v="Nagoya"/>
    <s v="Corporate"/>
    <s v="Direct"/>
    <s v="B. Chen"/>
    <x v="3"/>
    <s v="PHN-5675"/>
    <n v="400.39"/>
    <n v="712.75"/>
    <s v="High"/>
    <n v="0.115"/>
    <n v="19"/>
    <n v="11984.891250000001"/>
    <n v="7607.41"/>
    <n v="4377.4812500000007"/>
    <n v="0.36524997671547504"/>
    <x v="0"/>
  </r>
  <r>
    <s v="ORD-2023-172095"/>
    <d v="2023-05-24T00:00:00"/>
    <s v="Q2-2023"/>
    <d v="2023-06-21T00:00:00"/>
    <n v="28"/>
    <s v="Americas"/>
    <x v="10"/>
    <s v="Austin"/>
    <s v="Small Business"/>
    <s v="Marketplace"/>
    <s v="G. Dubois"/>
    <x v="5"/>
    <s v="MON-6882"/>
    <n v="813.97"/>
    <n v="1568.83"/>
    <s v="High"/>
    <n v="1.7000000000000001E-2"/>
    <n v="15"/>
    <n v="23132.398349999996"/>
    <n v="12209.550000000001"/>
    <n v="10922.848349999995"/>
    <n v="0.4721883215364911"/>
    <x v="0"/>
  </r>
  <r>
    <s v="ORD-2024-257550"/>
    <d v="2024-12-27T00:00:00"/>
    <s v="Q4-2024"/>
    <d v="2024-12-29T00:00:00"/>
    <n v="2"/>
    <s v="Americas"/>
    <x v="3"/>
    <s v="Vancouver"/>
    <s v="Enterprise"/>
    <s v="Marketplace"/>
    <s v="C. Otieno"/>
    <x v="6"/>
    <s v="ACC-8620"/>
    <n v="1146.72"/>
    <n v="2074.34"/>
    <s v="High"/>
    <n v="0.111"/>
    <n v="8"/>
    <n v="14752.706080000002"/>
    <n v="9173.76"/>
    <n v="5578.9460800000015"/>
    <n v="0.37816425337472737"/>
    <x v="1"/>
  </r>
  <r>
    <s v="ORD-2023-581799"/>
    <d v="2023-12-05T00:00:00"/>
    <s v="Q4-2023"/>
    <d v="2023-12-12T00:00:00"/>
    <n v="7"/>
    <s v="Americas"/>
    <x v="5"/>
    <s v="Brasília"/>
    <s v="Corporate"/>
    <s v="Direct"/>
    <s v="F. Müller"/>
    <x v="3"/>
    <s v="PHN-6506"/>
    <n v="307.43"/>
    <n v="495.19"/>
    <s v="High"/>
    <n v="0"/>
    <n v="42"/>
    <n v="20797.98"/>
    <n v="12912.06"/>
    <n v="7885.92"/>
    <n v="0.37916759223732305"/>
    <x v="1"/>
  </r>
  <r>
    <s v="ORD-2023-880296"/>
    <d v="2023-05-02T00:00:00"/>
    <s v="Q2-2023"/>
    <d v="2023-05-19T00:00:00"/>
    <n v="17"/>
    <s v="Asia"/>
    <x v="9"/>
    <s v="Shanghai"/>
    <s v="Non-Profit"/>
    <s v="Direct"/>
    <s v="J. Njeri"/>
    <x v="5"/>
    <s v="MON-5086"/>
    <n v="714.28"/>
    <n v="757.59"/>
    <s v="High"/>
    <n v="0.13600000000000001"/>
    <n v="12"/>
    <n v="7854.6931199999999"/>
    <n v="8571.36"/>
    <n v="-716.66688000000067"/>
    <n v="-9.1240595787910383E-2"/>
    <x v="0"/>
  </r>
  <r>
    <s v="ORD-2023-191563"/>
    <d v="2023-11-30T00:00:00"/>
    <s v="Q4-2023"/>
    <d v="2023-12-10T00:00:00"/>
    <n v="10"/>
    <s v="Europe"/>
    <x v="6"/>
    <s v="Munich"/>
    <s v="Small Business"/>
    <s v="Direct"/>
    <s v="F. Müller"/>
    <x v="4"/>
    <s v="LAP-4899"/>
    <n v="174.74"/>
    <n v="415.96"/>
    <s v="High"/>
    <n v="0.125"/>
    <n v="21"/>
    <n v="7643.2649999999994"/>
    <n v="3669.54"/>
    <n v="3973.7249999999995"/>
    <n v="0.51989889137691803"/>
    <x v="0"/>
  </r>
  <r>
    <s v="ORD-2024-202166"/>
    <d v="2024-05-05T00:00:00"/>
    <s v="Q2-2024"/>
    <d v="2024-05-18T00:00:00"/>
    <n v="13"/>
    <s v="Europe"/>
    <x v="7"/>
    <s v="Marseille"/>
    <s v="Corporate"/>
    <s v="Marketplace"/>
    <s v="A. Patel"/>
    <x v="0"/>
    <s v="CMP-3313"/>
    <n v="1264.04"/>
    <n v="1870.89"/>
    <s v="High"/>
    <n v="0"/>
    <n v="13"/>
    <n v="24321.57"/>
    <n v="16432.52"/>
    <n v="7889.0499999999993"/>
    <n v="0.32436433996653996"/>
    <x v="0"/>
  </r>
  <r>
    <s v="ORD-2023-539967"/>
    <d v="2023-07-09T00:00:00"/>
    <s v="Q3-2023"/>
    <d v="2023-07-19T00:00:00"/>
    <n v="10"/>
    <s v="Asia"/>
    <x v="2"/>
    <s v="Tokyo"/>
    <s v="Enterprise"/>
    <s v="Distributor"/>
    <s v="N. Brown"/>
    <x v="0"/>
    <s v="CMP-6649"/>
    <n v="141.26"/>
    <n v="206.88"/>
    <s v="High"/>
    <n v="0.107"/>
    <n v="9"/>
    <n v="1662.6945600000001"/>
    <n v="1271.3399999999999"/>
    <n v="391.35456000000022"/>
    <n v="0.23537369365062469"/>
    <x v="0"/>
  </r>
  <r>
    <s v="ORD-2023-704111"/>
    <d v="2023-05-17T00:00:00"/>
    <s v="Q2-2023"/>
    <d v="2023-06-15T00:00:00"/>
    <n v="29"/>
    <s v="Africa"/>
    <x v="11"/>
    <s v="Durban"/>
    <s v="Enterprise"/>
    <s v="Retail"/>
    <s v="K. Singh"/>
    <x v="6"/>
    <s v="ACC-5206"/>
    <n v="40.89"/>
    <n v="62.82"/>
    <s v="High"/>
    <n v="0.129"/>
    <n v="17"/>
    <n v="930.17574000000002"/>
    <n v="695.13"/>
    <n v="235.04574000000002"/>
    <n v="0.25268960465470752"/>
    <x v="0"/>
  </r>
  <r>
    <s v="ORD-2024-356812"/>
    <d v="2024-03-07T00:00:00"/>
    <s v="Q1-2024"/>
    <d v="2024-04-03T00:00:00"/>
    <n v="27"/>
    <s v="Europe"/>
    <x v="6"/>
    <s v="Frankfurt"/>
    <s v="Corporate"/>
    <s v="Direct"/>
    <s v="M. Rossi"/>
    <x v="1"/>
    <s v="PRN-6911"/>
    <n v="738.16"/>
    <n v="956.49"/>
    <s v="High"/>
    <n v="0.152"/>
    <n v="5"/>
    <n v="4055.5175999999997"/>
    <n v="3690.7999999999997"/>
    <n v="364.71759999999995"/>
    <n v="8.9931208780847108E-2"/>
    <x v="0"/>
  </r>
  <r>
    <s v="ORD-2025-306251"/>
    <d v="2025-04-10T00:00:00"/>
    <s v="Q2-2025"/>
    <d v="2025-04-19T00:00:00"/>
    <n v="9"/>
    <s v="Africa"/>
    <x v="11"/>
    <s v="Durban"/>
    <s v="Enterprise"/>
    <s v="Unknown"/>
    <s v="G. Dubois"/>
    <x v="2"/>
    <s v="NET-5270"/>
    <n v="113.74"/>
    <n v="165.7"/>
    <s v="High"/>
    <n v="0.124"/>
    <n v="13"/>
    <n v="1886.9915999999998"/>
    <n v="1478.62"/>
    <n v="408.37159999999994"/>
    <n v="0.21641410592394794"/>
    <x v="0"/>
  </r>
  <r>
    <s v="ORD-2025-496178"/>
    <d v="2025-07-27T00:00:00"/>
    <s v="Q3-2025"/>
    <d v="2025-08-15T00:00:00"/>
    <n v="19"/>
    <s v="Asia"/>
    <x v="2"/>
    <s v="Tokyo"/>
    <s v="Small Business"/>
    <s v="Marketplace"/>
    <s v="J. Njeri"/>
    <x v="0"/>
    <s v="CMP-5658"/>
    <n v="275.43"/>
    <n v="608.36"/>
    <s v="High"/>
    <n v="0.25700000000000001"/>
    <n v="4"/>
    <n v="1808.04592"/>
    <n v="1101.72"/>
    <n v="706.32592"/>
    <n v="0.39065706915231446"/>
    <x v="0"/>
  </r>
  <r>
    <s v="ORD-2024-508213"/>
    <d v="2024-11-22T00:00:00"/>
    <s v="Q4-2024"/>
    <d v="2024-12-15T00:00:00"/>
    <n v="23"/>
    <s v="Africa"/>
    <x v="0"/>
    <s v="Mombasa"/>
    <s v="Non-Profit"/>
    <s v="Distributor"/>
    <s v="C. Otieno"/>
    <x v="0"/>
    <s v="CMP-3938"/>
    <n v="1335.76"/>
    <n v="2665.91"/>
    <s v="High"/>
    <n v="0.21099999999999999"/>
    <n v="40"/>
    <n v="84136.119600000005"/>
    <n v="53430.400000000001"/>
    <n v="30705.719600000004"/>
    <n v="0.36495288522909253"/>
    <x v="0"/>
  </r>
  <r>
    <s v="ORD-2024-787018"/>
    <d v="2024-06-23T00:00:00"/>
    <s v="Q2-2024"/>
    <d v="2024-06-28T00:00:00"/>
    <n v="5"/>
    <s v="Africa"/>
    <x v="1"/>
    <s v="Port Harcourt"/>
    <s v="Non-Profit"/>
    <s v="Direct"/>
    <s v="M. Rossi"/>
    <x v="6"/>
    <s v="ACC-7671"/>
    <n v="242.31"/>
    <n v="587.95000000000005"/>
    <s v="High"/>
    <n v="0.22900000000000001"/>
    <n v="6"/>
    <n v="2719.8567000000003"/>
    <n v="1453.8600000000001"/>
    <n v="1265.9967000000001"/>
    <n v="0.46546448568411714"/>
    <x v="1"/>
  </r>
  <r>
    <s v="ORD-2023-728177"/>
    <d v="2023-12-18T00:00:00"/>
    <s v="Q4-2023"/>
    <d v="2024-01-14T00:00:00"/>
    <n v="27"/>
    <s v="Asia"/>
    <x v="4"/>
    <s v="Mumbai"/>
    <s v="Consumer"/>
    <s v="Distributor"/>
    <s v="D. Smith"/>
    <x v="2"/>
    <s v="NET-6014"/>
    <n v="1408.3"/>
    <n v="2193.13"/>
    <s v="High"/>
    <n v="7.0999999999999994E-2"/>
    <n v="7"/>
    <n v="14261.92439"/>
    <n v="9858.1"/>
    <n v="4403.8243899999998"/>
    <n v="0.30878191957656281"/>
    <x v="0"/>
  </r>
  <r>
    <s v="ORD-2025-795385"/>
    <d v="2025-06-01T00:00:00"/>
    <s v="Q2-2025"/>
    <d v="2025-06-05T00:00:00"/>
    <n v="4"/>
    <s v="Europe"/>
    <x v="6"/>
    <s v="Munich"/>
    <s v="Enterprise"/>
    <s v="Direct"/>
    <s v="M. Rossi"/>
    <x v="0"/>
    <s v="CMP-4159"/>
    <n v="1171.42"/>
    <n v="2187.8000000000002"/>
    <s v="High"/>
    <n v="0.23"/>
    <n v="15"/>
    <n v="25269.09"/>
    <n v="17571.300000000003"/>
    <n v="7697.7899999999972"/>
    <n v="0.30463265594447592"/>
    <x v="1"/>
  </r>
  <r>
    <s v="ORD-2025-947929"/>
    <d v="2025-03-23T00:00:00"/>
    <s v="Q1-2025"/>
    <d v="2025-04-02T00:00:00"/>
    <n v="10"/>
    <s v="Europe"/>
    <x v="6"/>
    <s v="Berlin"/>
    <s v="Enterprise"/>
    <s v="Online"/>
    <s v="E. Garcia"/>
    <x v="1"/>
    <s v="PRN-3159"/>
    <n v="663.61"/>
    <n v="1002.11"/>
    <s v="High"/>
    <n v="4.5999999999999999E-2"/>
    <n v="17"/>
    <n v="16252.219979999998"/>
    <n v="11281.37"/>
    <n v="4970.8499799999972"/>
    <n v="0.30585667595670812"/>
    <x v="0"/>
  </r>
  <r>
    <s v="ORD-2023-931633"/>
    <d v="2023-05-14T00:00:00"/>
    <s v="Q2-2023"/>
    <d v="2023-05-22T00:00:00"/>
    <n v="8"/>
    <s v="Africa"/>
    <x v="0"/>
    <s v="Mombasa"/>
    <s v="Small Business"/>
    <s v="Distributor"/>
    <s v="F. Müller"/>
    <x v="1"/>
    <s v="PRN-9488"/>
    <n v="432.01"/>
    <n v="913.78"/>
    <s v="High"/>
    <n v="4.9000000000000002E-2"/>
    <n v="12"/>
    <n v="10428.057360000001"/>
    <n v="5184.12"/>
    <n v="5243.9373600000008"/>
    <n v="0.50286809699711899"/>
    <x v="0"/>
  </r>
  <r>
    <s v="ORD-2023-243704"/>
    <d v="2023-08-29T00:00:00"/>
    <s v="Q3-2023"/>
    <d v="2023-09-19T00:00:00"/>
    <n v="21"/>
    <s v="Europe"/>
    <x v="7"/>
    <s v="Lyon"/>
    <s v="Small Business"/>
    <s v="Direct"/>
    <s v="B. Chen"/>
    <x v="1"/>
    <s v="PRN-7079"/>
    <n v="784.46"/>
    <n v="1843.51"/>
    <s v="High"/>
    <n v="0.13800000000000001"/>
    <n v="23"/>
    <n v="36549.429260000004"/>
    <n v="18042.580000000002"/>
    <n v="18506.849260000003"/>
    <n v="0.50635125184441798"/>
    <x v="0"/>
  </r>
  <r>
    <s v="ORD-2025-779659"/>
    <d v="2025-07-03T00:00:00"/>
    <s v="Q3-2025"/>
    <d v="2025-07-23T00:00:00"/>
    <n v="20"/>
    <s v="Asia"/>
    <x v="9"/>
    <s v="Beijing"/>
    <s v="Small Business"/>
    <s v="Online"/>
    <s v="M. Rossi"/>
    <x v="0"/>
    <s v="CMP-1220"/>
    <n v="647.36"/>
    <n v="1383.6"/>
    <s v="High"/>
    <n v="7.3999999999999996E-2"/>
    <n v="12"/>
    <n v="15374.563199999999"/>
    <n v="7768.32"/>
    <n v="7606.243199999999"/>
    <n v="0.49472906000997802"/>
    <x v="0"/>
  </r>
  <r>
    <s v="ORD-2024-647571"/>
    <d v="2024-02-06T00:00:00"/>
    <s v="Q1-2024"/>
    <d v="2024-02-28T00:00:00"/>
    <n v="22"/>
    <s v="Africa"/>
    <x v="0"/>
    <s v="Kisumu"/>
    <s v="Non-Profit"/>
    <s v="Online"/>
    <s v="K. Singh"/>
    <x v="5"/>
    <s v="MON-2462"/>
    <n v="834.93"/>
    <n v="1588.53"/>
    <s v="High"/>
    <n v="0.126"/>
    <n v="6"/>
    <n v="8330.2513199999994"/>
    <n v="5009.58"/>
    <n v="3320.6713199999995"/>
    <n v="0.39862798761274343"/>
    <x v="0"/>
  </r>
  <r>
    <s v="ORD-2025-683043"/>
    <d v="2025-08-13T00:00:00"/>
    <s v="Q3-2025"/>
    <d v="2025-09-03T00:00:00"/>
    <n v="21"/>
    <s v="Europe"/>
    <x v="7"/>
    <s v="Paris"/>
    <s v="Education"/>
    <s v="Retail"/>
    <s v="I. Johnson"/>
    <x v="3"/>
    <s v="PHN-9465"/>
    <n v="603.47"/>
    <n v="1344.05"/>
    <s v="High"/>
    <n v="0.20499999999999999"/>
    <n v="18"/>
    <n v="19233.355499999998"/>
    <n v="10862.460000000001"/>
    <n v="8370.8954999999969"/>
    <n v="0.43522803392262976"/>
    <x v="0"/>
  </r>
  <r>
    <s v="ORD-2023-588455"/>
    <d v="2023-05-23T00:00:00"/>
    <s v="Q2-2023"/>
    <d v="2023-05-25T00:00:00"/>
    <n v="2"/>
    <s v="Americas"/>
    <x v="5"/>
    <s v="Rio de Janeiro"/>
    <s v="Enterprise"/>
    <s v="Retail"/>
    <s v="M. Rossi"/>
    <x v="1"/>
    <s v="PRN-1271"/>
    <n v="690.49"/>
    <n v="1290.29"/>
    <s v="High"/>
    <n v="4.2000000000000003E-2"/>
    <n v="22"/>
    <n v="27194.152039999997"/>
    <n v="15190.78"/>
    <n v="12003.372039999997"/>
    <n v="0.44139534199647718"/>
    <x v="1"/>
  </r>
  <r>
    <s v="ORD-2024-641220"/>
    <d v="2024-05-10T00:00:00"/>
    <s v="Q2-2024"/>
    <d v="2024-05-16T00:00:00"/>
    <n v="6"/>
    <s v="Europe"/>
    <x v="8"/>
    <s v="Birmingham"/>
    <s v="Non-Profit"/>
    <s v="Direct"/>
    <s v="G. Dubois"/>
    <x v="4"/>
    <s v="LAP-1066"/>
    <n v="210.76"/>
    <n v="221.58"/>
    <s v="High"/>
    <n v="8.8999999999999996E-2"/>
    <n v="5"/>
    <n v="1009.2969000000002"/>
    <n v="1053.8"/>
    <n v="-44.50309999999979"/>
    <n v="-4.4093170205912434E-2"/>
    <x v="1"/>
  </r>
  <r>
    <s v="ORD-2023-799597"/>
    <d v="2023-03-14T00:00:00"/>
    <s v="Q1-2023"/>
    <d v="2023-03-18T00:00:00"/>
    <n v="4"/>
    <s v="Europe"/>
    <x v="6"/>
    <s v="Frankfurt"/>
    <s v="Enterprise"/>
    <s v="Direct"/>
    <s v="A. Patel"/>
    <x v="0"/>
    <s v="CMP-8675"/>
    <n v="472.33"/>
    <n v="360.34"/>
    <s v="High"/>
    <n v="0.16500000000000001"/>
    <n v="14"/>
    <n v="4212.3745999999992"/>
    <n v="6612.62"/>
    <n v="-2400.2454000000007"/>
    <n v="-0.56980815523861561"/>
    <x v="1"/>
  </r>
  <r>
    <s v="ORD-2023-569862"/>
    <d v="2023-07-16T00:00:00"/>
    <s v="Q3-2023"/>
    <d v="2023-08-13T00:00:00"/>
    <n v="28"/>
    <s v="Europe"/>
    <x v="8"/>
    <s v="Manchester"/>
    <s v="Non-Profit"/>
    <s v="Online"/>
    <s v="J. Njeri"/>
    <x v="4"/>
    <s v="LAP-1178"/>
    <n v="1039.03"/>
    <n v="2545.81"/>
    <s v="High"/>
    <n v="0.216"/>
    <n v="21"/>
    <n v="41914.215840000004"/>
    <n v="21819.63"/>
    <n v="20094.585840000003"/>
    <n v="0.47942172929364774"/>
    <x v="0"/>
  </r>
  <r>
    <s v="ORD-2023-609394"/>
    <d v="2023-04-16T00:00:00"/>
    <s v="Q2-2023"/>
    <d v="2023-04-19T00:00:00"/>
    <n v="3"/>
    <s v="Europe"/>
    <x v="6"/>
    <s v="Munich"/>
    <s v="Corporate"/>
    <s v="Direct"/>
    <s v="B. Chen"/>
    <x v="6"/>
    <s v="ACC-1731"/>
    <n v="553.61"/>
    <n v="699.47"/>
    <s v="High"/>
    <n v="0.02"/>
    <n v="33"/>
    <n v="22620.859800000002"/>
    <n v="18269.13"/>
    <n v="4351.729800000001"/>
    <n v="0.19237685209472014"/>
    <x v="1"/>
  </r>
  <r>
    <s v="ORD-2024-105586"/>
    <d v="2024-01-02T00:00:00"/>
    <s v="Q1-2024"/>
    <d v="2024-01-15T00:00:00"/>
    <n v="13"/>
    <s v="Asia"/>
    <x v="2"/>
    <s v="Nagoya"/>
    <s v="Small Business"/>
    <s v="Marketplace"/>
    <s v="G. Dubois"/>
    <x v="2"/>
    <s v="NET-1893"/>
    <n v="1219.06"/>
    <n v="2738.69"/>
    <s v="High"/>
    <n v="7.5999999999999998E-2"/>
    <n v="16"/>
    <n v="40488.792960000006"/>
    <n v="19504.96"/>
    <n v="20983.832960000007"/>
    <n v="0.51826274447673737"/>
    <x v="0"/>
  </r>
  <r>
    <s v="ORD-2024-207792"/>
    <d v="2024-09-03T00:00:00"/>
    <s v="Q3-2024"/>
    <d v="2024-09-07T00:00:00"/>
    <n v="4"/>
    <s v="Asia"/>
    <x v="2"/>
    <s v="Tokyo"/>
    <s v="Small Business"/>
    <s v="Distributor"/>
    <s v="N. Brown"/>
    <x v="1"/>
    <s v="PRN-3917"/>
    <n v="43.23"/>
    <n v="94.78"/>
    <s v="High"/>
    <n v="9.0999999999999998E-2"/>
    <n v="55"/>
    <n v="4738.5261"/>
    <n v="2377.6499999999996"/>
    <n v="2360.8761000000004"/>
    <n v="0.49823005090127082"/>
    <x v="1"/>
  </r>
  <r>
    <s v="ORD-2025-417336"/>
    <d v="2025-08-30T00:00:00"/>
    <s v="Q3-2025"/>
    <d v="2025-09-03T00:00:00"/>
    <n v="4"/>
    <s v="Europe"/>
    <x v="7"/>
    <s v="Marseille"/>
    <s v="Small Business"/>
    <s v="Marketplace"/>
    <s v="J. Njeri"/>
    <x v="4"/>
    <s v="LAP-3220"/>
    <n v="1286.56"/>
    <n v="2777.35"/>
    <s v="High"/>
    <n v="0.13200000000000001"/>
    <n v="15"/>
    <n v="36161.097000000002"/>
    <n v="19298.399999999998"/>
    <n v="16862.697000000004"/>
    <n v="0.46632150014696744"/>
    <x v="1"/>
  </r>
  <r>
    <s v="ORD-2025-252117"/>
    <d v="2025-04-28T00:00:00"/>
    <s v="Q2-2025"/>
    <d v="2025-05-19T00:00:00"/>
    <n v="21"/>
    <s v="Europe"/>
    <x v="6"/>
    <s v="Berlin"/>
    <s v="Corporate"/>
    <s v="Distributor"/>
    <s v="B. Chen"/>
    <x v="3"/>
    <s v="PHN-2462"/>
    <n v="350.76"/>
    <n v="492.18"/>
    <s v="High"/>
    <n v="5.2999999999999999E-2"/>
    <n v="11"/>
    <n v="5127.0390600000001"/>
    <n v="3858.3599999999997"/>
    <n v="1268.6790600000004"/>
    <n v="0.24744868239798437"/>
    <x v="0"/>
  </r>
  <r>
    <s v="ORD-2023-867175"/>
    <d v="2023-08-10T00:00:00"/>
    <s v="Q3-2023"/>
    <d v="2023-08-15T00:00:00"/>
    <n v="5"/>
    <s v="Americas"/>
    <x v="5"/>
    <s v="São Paulo"/>
    <s v="Education"/>
    <s v="Direct"/>
    <s v="G. Dubois"/>
    <x v="2"/>
    <s v="NET-2894"/>
    <n v="1307.52"/>
    <n v="1921.65"/>
    <s v="High"/>
    <n v="0.123"/>
    <n v="13"/>
    <n v="21908.731650000002"/>
    <n v="16997.759999999998"/>
    <n v="4910.9716500000031"/>
    <n v="0.22415590863289445"/>
    <x v="1"/>
  </r>
  <r>
    <s v="ORD-2024-382152"/>
    <d v="2024-12-08T00:00:00"/>
    <s v="Q4-2024"/>
    <d v="2024-12-08T00:00:00"/>
    <n v="0"/>
    <s v="Europe"/>
    <x v="7"/>
    <s v="Lyon"/>
    <s v="Enterprise"/>
    <s v="Retail"/>
    <s v="H. Kim"/>
    <x v="0"/>
    <s v="CMP-2335"/>
    <n v="257.44"/>
    <n v="290.33"/>
    <s v="High"/>
    <n v="9.1999999999999998E-2"/>
    <n v="23"/>
    <n v="6063.2517199999993"/>
    <n v="5921.12"/>
    <n v="142.1317199999994"/>
    <n v="2.3441500792581216E-2"/>
    <x v="1"/>
  </r>
  <r>
    <s v="ORD-2023-597666"/>
    <d v="2023-10-25T00:00:00"/>
    <s v="Q4-2023"/>
    <d v="2023-11-24T00:00:00"/>
    <n v="30"/>
    <s v="Europe"/>
    <x v="7"/>
    <s v="Paris"/>
    <s v="Enterprise"/>
    <s v="Distributor"/>
    <s v="C. Otieno"/>
    <x v="3"/>
    <s v="PHN-5938"/>
    <n v="287.85000000000002"/>
    <n v="602.91999999999996"/>
    <s v="High"/>
    <n v="0.222"/>
    <n v="11"/>
    <n v="5159.7893599999998"/>
    <n v="3166.3500000000004"/>
    <n v="1993.4393599999994"/>
    <n v="0.38634122847216373"/>
    <x v="0"/>
  </r>
  <r>
    <s v="ORD-2024-371409"/>
    <d v="2024-11-17T00:00:00"/>
    <s v="Q4-2024"/>
    <d v="2024-11-28T00:00:00"/>
    <n v="11"/>
    <s v="Americas"/>
    <x v="3"/>
    <s v="Unknown"/>
    <s v="Consumer"/>
    <s v="Distributor"/>
    <s v="A. Patel"/>
    <x v="1"/>
    <s v="PRN-1371"/>
    <n v="1008.16"/>
    <n v="2077.5"/>
    <s v="High"/>
    <n v="7.3999999999999996E-2"/>
    <n v="15"/>
    <n v="28856.475000000002"/>
    <n v="15122.4"/>
    <n v="13734.075000000003"/>
    <n v="0.47594430712691005"/>
    <x v="0"/>
  </r>
  <r>
    <s v="ORD-2024-973420"/>
    <d v="2024-05-12T00:00:00"/>
    <s v="Q2-2024"/>
    <d v="2024-05-24T00:00:00"/>
    <n v="12"/>
    <s v="Europe"/>
    <x v="8"/>
    <s v="Manchester"/>
    <s v="Education"/>
    <s v="Marketplace"/>
    <s v="K. Singh"/>
    <x v="1"/>
    <s v="PRN-5813"/>
    <n v="111.02"/>
    <n v="172.88"/>
    <s v="High"/>
    <n v="0.19700000000000001"/>
    <n v="29"/>
    <n v="4025.8565599999993"/>
    <n v="3219.58"/>
    <n v="806.27655999999934"/>
    <n v="0.20027453735212053"/>
    <x v="0"/>
  </r>
  <r>
    <s v="ORD-2025-254721"/>
    <d v="2025-05-15T00:00:00"/>
    <s v="Q2-2025"/>
    <d v="2025-06-05T00:00:00"/>
    <n v="21"/>
    <s v="Asia"/>
    <x v="2"/>
    <s v="Osaka"/>
    <s v="Enterprise"/>
    <s v="Direct"/>
    <s v="H. Kim"/>
    <x v="3"/>
    <s v="PHN-6480"/>
    <n v="1466.5"/>
    <n v="2778.74"/>
    <s v="High"/>
    <n v="0.13500000000000001"/>
    <n v="4"/>
    <n v="9614.4403999999995"/>
    <n v="5866"/>
    <n v="3748.4403999999995"/>
    <n v="0.38987608680792279"/>
    <x v="0"/>
  </r>
  <r>
    <s v="ORD-2024-247032"/>
    <d v="2024-04-21T00:00:00"/>
    <s v="Q2-2024"/>
    <d v="2024-05-19T00:00:00"/>
    <n v="28"/>
    <s v="Africa"/>
    <x v="1"/>
    <s v="Lagos"/>
    <s v="Corporate"/>
    <s v="Distributor"/>
    <s v="A. Patel"/>
    <x v="6"/>
    <s v="ACC-2990"/>
    <n v="187.22"/>
    <n v="309.47000000000003"/>
    <s v="High"/>
    <n v="0"/>
    <n v="5"/>
    <n v="1547.3500000000001"/>
    <n v="936.1"/>
    <n v="611.25000000000011"/>
    <n v="0.39503021294471197"/>
    <x v="0"/>
  </r>
  <r>
    <s v="ORD-2024-792353"/>
    <d v="2024-08-19T00:00:00"/>
    <s v="Q3-2024"/>
    <d v="2024-09-07T00:00:00"/>
    <n v="19"/>
    <s v="Europe"/>
    <x v="7"/>
    <s v="Lyon"/>
    <s v="Corporate"/>
    <s v="Direct"/>
    <s v="J. Njeri"/>
    <x v="0"/>
    <s v="CMP-5435"/>
    <n v="297.58999999999997"/>
    <n v="666.41"/>
    <s v="High"/>
    <n v="0"/>
    <n v="10"/>
    <n v="6664.0999999999995"/>
    <n v="2975.8999999999996"/>
    <n v="3688.2"/>
    <n v="0.55344307558409989"/>
    <x v="0"/>
  </r>
  <r>
    <s v="ORD-2025-703623"/>
    <d v="2025-07-23T00:00:00"/>
    <s v="Q3-2025"/>
    <d v="2025-08-19T00:00:00"/>
    <n v="27"/>
    <s v="Asia"/>
    <x v="2"/>
    <s v="Nagoya"/>
    <s v="Consumer"/>
    <s v="Marketplace"/>
    <s v="B. Chen"/>
    <x v="6"/>
    <s v="ACC-1596"/>
    <n v="896.09"/>
    <n v="744.27"/>
    <s v="High"/>
    <n v="8.3000000000000004E-2"/>
    <n v="11"/>
    <n v="7507.4514899999995"/>
    <n v="9856.99"/>
    <n v="-2349.5385100000003"/>
    <n v="-0.31296086469950679"/>
    <x v="0"/>
  </r>
  <r>
    <s v="ORD-2024-516704"/>
    <d v="2024-03-01T00:00:00"/>
    <s v="Q1-2024"/>
    <d v="2024-03-08T00:00:00"/>
    <n v="7"/>
    <s v="Americas"/>
    <x v="5"/>
    <s v="São Paulo"/>
    <s v="Non-Profit"/>
    <s v="Direct"/>
    <s v="I. Johnson"/>
    <x v="3"/>
    <s v="PHN-7852"/>
    <n v="5.34"/>
    <n v="12.69"/>
    <s v="High"/>
    <n v="0.13200000000000001"/>
    <n v="10"/>
    <n v="110.14919999999999"/>
    <n v="53.4"/>
    <n v="56.749199999999995"/>
    <n v="0.51520301554618642"/>
    <x v="1"/>
  </r>
  <r>
    <s v="ORD-2024-578646"/>
    <d v="2024-05-27T00:00:00"/>
    <s v="Q2-2024"/>
    <d v="2024-06-17T00:00:00"/>
    <n v="21"/>
    <s v="Asia"/>
    <x v="4"/>
    <s v="Delhi"/>
    <s v="Small Business"/>
    <s v="Online"/>
    <s v="H. Kim"/>
    <x v="6"/>
    <s v="ACC-7240"/>
    <n v="465.02"/>
    <n v="651.55999999999995"/>
    <s v="High"/>
    <n v="4.2000000000000003E-2"/>
    <n v="19"/>
    <n v="11859.695119999998"/>
    <n v="8835.3799999999992"/>
    <n v="3024.3151199999993"/>
    <n v="0.25500783025187918"/>
    <x v="0"/>
  </r>
  <r>
    <s v="ORD-2024-433936"/>
    <d v="2024-08-04T00:00:00"/>
    <s v="Q3-2024"/>
    <d v="2024-08-17T00:00:00"/>
    <n v="13"/>
    <s v="Americas"/>
    <x v="10"/>
    <s v="Austin"/>
    <s v="Consumer"/>
    <s v="Retail"/>
    <s v="D. Smith"/>
    <x v="5"/>
    <s v="MON-8867"/>
    <n v="352.79"/>
    <n v="754.22"/>
    <s v="High"/>
    <n v="0.113"/>
    <n v="7"/>
    <n v="4682.9519799999998"/>
    <n v="2469.5300000000002"/>
    <n v="2213.4219799999996"/>
    <n v="0.47265528014233443"/>
    <x v="0"/>
  </r>
  <r>
    <s v="ORD-2023-434071"/>
    <d v="2023-06-20T00:00:00"/>
    <s v="Q2-2023"/>
    <d v="2023-07-04T00:00:00"/>
    <n v="14"/>
    <s v="Americas"/>
    <x v="5"/>
    <s v="Brasília"/>
    <s v="Non-Profit"/>
    <s v="Direct"/>
    <s v="C. Otieno"/>
    <x v="2"/>
    <s v="NET-1228"/>
    <n v="1292.8599999999999"/>
    <n v="2981.01"/>
    <s v="High"/>
    <n v="0.14199999999999999"/>
    <n v="12"/>
    <n v="30692.47896"/>
    <n v="15514.32"/>
    <n v="15178.158960000001"/>
    <n v="0.49452372288927687"/>
    <x v="0"/>
  </r>
  <r>
    <s v="ORD-2024-728474"/>
    <d v="2024-09-09T00:00:00"/>
    <s v="Q3-2024"/>
    <d v="2024-09-13T00:00:00"/>
    <n v="4"/>
    <s v="Europe"/>
    <x v="8"/>
    <s v="London"/>
    <s v="Consumer"/>
    <s v="Marketplace"/>
    <s v="F. Müller"/>
    <x v="2"/>
    <s v="NET-1145"/>
    <n v="1133.08"/>
    <n v="976.17"/>
    <s v="High"/>
    <n v="4.2000000000000003E-2"/>
    <n v="27"/>
    <n v="25249.613219999999"/>
    <n v="30593.159999999996"/>
    <n v="-5343.5467799999969"/>
    <n v="-0.21162885678452373"/>
    <x v="1"/>
  </r>
  <r>
    <s v="ORD-2023-406606"/>
    <d v="2023-10-25T00:00:00"/>
    <s v="Q4-2023"/>
    <d v="2023-10-28T00:00:00"/>
    <n v="3"/>
    <s v="Americas"/>
    <x v="5"/>
    <s v="Brasília"/>
    <s v="Corporate"/>
    <s v="Distributor"/>
    <s v="L. Okafor"/>
    <x v="6"/>
    <s v="ACC-2867"/>
    <n v="509.31"/>
    <n v="1145.9000000000001"/>
    <s v="High"/>
    <n v="5.7000000000000002E-2"/>
    <n v="8"/>
    <n v="8644.6696000000011"/>
    <n v="4074.48"/>
    <n v="4570.1896000000015"/>
    <n v="0.52867140231709964"/>
    <x v="1"/>
  </r>
  <r>
    <s v="ORD-2025-823055"/>
    <d v="2025-09-08T00:00:00"/>
    <s v="Q3-2025"/>
    <d v="2025-10-05T00:00:00"/>
    <n v="27"/>
    <s v="Americas"/>
    <x v="5"/>
    <s v="Rio de Janeiro"/>
    <s v="Education"/>
    <s v="Online"/>
    <s v="C. Otieno"/>
    <x v="5"/>
    <s v="MON-9274"/>
    <n v="660.78"/>
    <n v="1630.39"/>
    <s v="High"/>
    <n v="0.218"/>
    <n v="13"/>
    <n v="16574.544740000001"/>
    <n v="8590.14"/>
    <n v="7984.4047400000018"/>
    <n v="0.48172694123724097"/>
    <x v="0"/>
  </r>
  <r>
    <s v="ORD-2023-573656"/>
    <d v="2023-05-02T00:00:00"/>
    <s v="Q2-2023"/>
    <d v="2023-05-16T00:00:00"/>
    <n v="14"/>
    <s v="Asia"/>
    <x v="4"/>
    <s v="Bengaluru"/>
    <s v="Non-Profit"/>
    <s v="Retail"/>
    <s v="L. Okafor"/>
    <x v="5"/>
    <s v="MON-4830"/>
    <n v="475.37"/>
    <n v="963.73"/>
    <s v="High"/>
    <n v="4.1000000000000002E-2"/>
    <n v="22"/>
    <n v="20332.775539999999"/>
    <n v="10458.14"/>
    <n v="9874.6355399999993"/>
    <n v="0.48565113604750881"/>
    <x v="0"/>
  </r>
  <r>
    <s v="ORD-2024-567435"/>
    <d v="2024-04-26T00:00:00"/>
    <s v="Q2-2024"/>
    <d v="2024-05-03T00:00:00"/>
    <n v="7"/>
    <s v="Europe"/>
    <x v="8"/>
    <s v="London"/>
    <s v="Non-Profit"/>
    <s v="Distributor"/>
    <s v="N. Brown"/>
    <x v="3"/>
    <s v="PHN-9107"/>
    <n v="1232.77"/>
    <n v="891.73"/>
    <s v="High"/>
    <n v="0.16700000000000001"/>
    <n v="10"/>
    <n v="7428.1108999999988"/>
    <n v="12327.7"/>
    <n v="-4899.589100000002"/>
    <n v="-0.65960096260813805"/>
    <x v="1"/>
  </r>
  <r>
    <s v="ORD-2023-744942"/>
    <d v="2023-02-23T00:00:00"/>
    <s v="Q1-2023"/>
    <d v="2023-03-18T00:00:00"/>
    <n v="23"/>
    <s v="Asia"/>
    <x v="9"/>
    <s v="Beijing"/>
    <s v="Education"/>
    <s v="Distributor"/>
    <s v="K. Singh"/>
    <x v="1"/>
    <s v="PRN-1060"/>
    <n v="770.11"/>
    <n v="1667.82"/>
    <s v="High"/>
    <n v="6.9000000000000006E-2"/>
    <n v="7"/>
    <n v="10869.182940000001"/>
    <n v="5390.77"/>
    <n v="5478.4129400000002"/>
    <n v="0.50403171703355287"/>
    <x v="0"/>
  </r>
  <r>
    <s v="ORD-2025-331237"/>
    <d v="2025-03-24T00:00:00"/>
    <s v="Q1-2025"/>
    <d v="2025-03-25T00:00:00"/>
    <n v="1"/>
    <s v="Asia"/>
    <x v="9"/>
    <s v="Beijing"/>
    <s v="Non-Profit"/>
    <s v="Online"/>
    <s v="G. Dubois"/>
    <x v="2"/>
    <s v="NET-8329"/>
    <n v="1133.03"/>
    <n v="1921.51"/>
    <s v="High"/>
    <n v="0.10100000000000001"/>
    <n v="5"/>
    <n v="8637.1874499999994"/>
    <n v="5665.15"/>
    <n v="2972.0374499999998"/>
    <n v="0.3440978289755654"/>
    <x v="1"/>
  </r>
  <r>
    <s v="ORD-2025-680118"/>
    <d v="2025-03-10T00:00:00"/>
    <s v="Q1-2025"/>
    <d v="2025-03-27T00:00:00"/>
    <n v="17"/>
    <s v="Americas"/>
    <x v="5"/>
    <s v="Rio de Janeiro"/>
    <s v="Enterprise"/>
    <s v="Direct"/>
    <s v="F. Müller"/>
    <x v="2"/>
    <s v="NET-6269"/>
    <n v="996.73"/>
    <n v="1217.43"/>
    <s v="High"/>
    <n v="7.0000000000000007E-2"/>
    <n v="9"/>
    <n v="10189.8891"/>
    <n v="8970.57"/>
    <n v="1219.3191000000006"/>
    <n v="0.11965970267527255"/>
    <x v="0"/>
  </r>
  <r>
    <s v="ORD-2024-310809"/>
    <d v="2024-04-05T00:00:00"/>
    <s v="Q2-2024"/>
    <d v="2024-04-09T00:00:00"/>
    <n v="4"/>
    <s v="Africa"/>
    <x v="1"/>
    <s v="Lagos"/>
    <s v="Non-Profit"/>
    <s v="Direct"/>
    <s v="K. Singh"/>
    <x v="0"/>
    <s v="CMP-6529"/>
    <n v="395.07"/>
    <n v="970.27"/>
    <s v="High"/>
    <n v="0.123"/>
    <n v="38"/>
    <n v="32335.21802"/>
    <n v="15012.66"/>
    <n v="17322.55802"/>
    <n v="0.53571799049833657"/>
    <x v="1"/>
  </r>
  <r>
    <s v="ORD-2025-474368"/>
    <d v="2025-04-27T00:00:00"/>
    <s v="Q2-2025"/>
    <d v="2025-05-17T00:00:00"/>
    <n v="20"/>
    <s v="Americas"/>
    <x v="10"/>
    <s v="Austin"/>
    <s v="Corporate"/>
    <s v="Direct"/>
    <s v="N. Brown"/>
    <x v="3"/>
    <s v="PHN-8776"/>
    <n v="932.26"/>
    <n v="1624.67"/>
    <s v="High"/>
    <n v="0.23499999999999999"/>
    <n v="28"/>
    <n v="34800.431400000001"/>
    <n v="26103.279999999999"/>
    <n v="8697.1514000000025"/>
    <n v="0.24991504559337163"/>
    <x v="0"/>
  </r>
  <r>
    <s v="ORD-2024-732543"/>
    <d v="2024-10-24T00:00:00"/>
    <s v="Q4-2024"/>
    <d v="2024-10-28T00:00:00"/>
    <n v="4"/>
    <s v="Asia"/>
    <x v="9"/>
    <s v="Shanghai"/>
    <s v="Small Business"/>
    <s v="Distributor"/>
    <s v="I. Johnson"/>
    <x v="2"/>
    <s v="NET-3728"/>
    <n v="1331.77"/>
    <n v="2606.11"/>
    <s v="High"/>
    <n v="0.02"/>
    <n v="6"/>
    <n v="15323.926799999999"/>
    <n v="7990.62"/>
    <n v="7333.3067999999994"/>
    <n v="0.47855271665745619"/>
    <x v="1"/>
  </r>
  <r>
    <s v="ORD-2023-867166"/>
    <d v="2023-04-13T00:00:00"/>
    <s v="Q2-2023"/>
    <d v="2023-04-20T00:00:00"/>
    <n v="7"/>
    <s v="Europe"/>
    <x v="7"/>
    <s v="Lyon"/>
    <s v="Small Business"/>
    <s v="Online"/>
    <s v="A. Patel"/>
    <x v="4"/>
    <s v="LAP-3565"/>
    <n v="227.02"/>
    <n v="434.72"/>
    <s v="High"/>
    <n v="9.8000000000000004E-2"/>
    <n v="10"/>
    <n v="3921.1744000000008"/>
    <n v="2270.2000000000003"/>
    <n v="1650.9744000000005"/>
    <n v="0.42104079838938052"/>
    <x v="1"/>
  </r>
  <r>
    <s v="ORD-2024-776337"/>
    <d v="2024-11-12T00:00:00"/>
    <s v="Q4-2024"/>
    <d v="2024-11-21T00:00:00"/>
    <n v="9"/>
    <s v="Asia"/>
    <x v="4"/>
    <s v="Mumbai"/>
    <s v="Corporate"/>
    <s v="Direct"/>
    <s v="H. Kim"/>
    <x v="4"/>
    <s v="LAP-5078"/>
    <n v="903.41"/>
    <n v="1860.41"/>
    <s v="High"/>
    <n v="0.108"/>
    <n v="5"/>
    <n v="8297.4286000000011"/>
    <n v="4517.05"/>
    <n v="3780.3786000000009"/>
    <n v="0.455608451996803"/>
    <x v="0"/>
  </r>
  <r>
    <s v="ORD-2023-913592"/>
    <d v="2023-05-10T00:00:00"/>
    <s v="Q2-2023"/>
    <d v="2023-05-14T00:00:00"/>
    <n v="4"/>
    <s v="Asia"/>
    <x v="4"/>
    <s v="Delhi"/>
    <s v="Non-Profit"/>
    <s v="Distributor"/>
    <s v="C. Otieno"/>
    <x v="5"/>
    <s v="MON-2465"/>
    <n v="622.6"/>
    <n v="833.69"/>
    <s v="High"/>
    <n v="0.20899999999999999"/>
    <n v="14"/>
    <n v="9232.2830599999998"/>
    <n v="8716.4"/>
    <n v="515.88306000000011"/>
    <n v="5.5878167582959715E-2"/>
    <x v="1"/>
  </r>
  <r>
    <s v="ORD-2024-961501"/>
    <d v="2024-03-02T00:00:00"/>
    <s v="Q1-2024"/>
    <d v="2024-03-23T00:00:00"/>
    <n v="21"/>
    <s v="Americas"/>
    <x v="10"/>
    <s v="Chicago"/>
    <s v="Small Business"/>
    <s v="Online"/>
    <s v="F. Müller"/>
    <x v="0"/>
    <s v="CMP-3223"/>
    <n v="225.01"/>
    <n v="333.48"/>
    <s v="High"/>
    <n v="0.11899999999999999"/>
    <n v="12"/>
    <n v="3525.5505600000001"/>
    <n v="2700.12"/>
    <n v="825.43056000000024"/>
    <n v="0.23412813004729685"/>
    <x v="0"/>
  </r>
  <r>
    <s v="ORD-2024-964950"/>
    <d v="2024-10-10T00:00:00"/>
    <s v="Q4-2024"/>
    <d v="2024-10-11T00:00:00"/>
    <n v="1"/>
    <s v="Europe"/>
    <x v="8"/>
    <s v="Manchester"/>
    <s v="Non-Profit"/>
    <s v="Distributor"/>
    <s v="L. Okafor"/>
    <x v="0"/>
    <s v="CMP-8127"/>
    <n v="1389.46"/>
    <n v="1784.7"/>
    <s v="High"/>
    <n v="0.14599999999999999"/>
    <n v="33"/>
    <n v="50296.415399999998"/>
    <n v="45852.18"/>
    <n v="4444.2353999999978"/>
    <n v="8.8360877503011831E-2"/>
    <x v="1"/>
  </r>
  <r>
    <s v="ORD-2023-349264"/>
    <d v="2023-06-01T00:00:00"/>
    <s v="Q2-2023"/>
    <d v="2023-06-08T00:00:00"/>
    <n v="7"/>
    <s v="Europe"/>
    <x v="6"/>
    <s v="Frankfurt"/>
    <s v="Consumer"/>
    <s v="Online"/>
    <s v="A. Patel"/>
    <x v="3"/>
    <s v="PHN-1924"/>
    <n v="804.17"/>
    <n v="1072.29"/>
    <s v="High"/>
    <n v="3.2000000000000001E-2"/>
    <n v="5"/>
    <n v="5189.8836000000001"/>
    <n v="4020.85"/>
    <n v="1169.0336000000002"/>
    <n v="0.2252523736755869"/>
    <x v="1"/>
  </r>
  <r>
    <s v="ORD-2025-137394"/>
    <d v="2025-01-04T00:00:00"/>
    <s v="Q1-2025"/>
    <d v="2025-01-05T00:00:00"/>
    <n v="1"/>
    <s v="Asia"/>
    <x v="4"/>
    <s v="Delhi"/>
    <s v="Education"/>
    <s v="Retail"/>
    <s v="I. Johnson"/>
    <x v="0"/>
    <s v="CMP-1156"/>
    <n v="1428.33"/>
    <n v="3028.05"/>
    <s v="High"/>
    <n v="0"/>
    <n v="11"/>
    <n v="33308.550000000003"/>
    <n v="15711.63"/>
    <n v="17596.920000000006"/>
    <n v="0.52830039134096207"/>
    <x v="1"/>
  </r>
  <r>
    <s v="ORD-2025-635337"/>
    <d v="2025-08-05T00:00:00"/>
    <s v="Q3-2025"/>
    <d v="2025-08-28T00:00:00"/>
    <n v="23"/>
    <s v="Asia"/>
    <x v="4"/>
    <s v="Mumbai"/>
    <s v="Non-Profit"/>
    <s v="Distributor"/>
    <s v="N. Brown"/>
    <x v="4"/>
    <s v="LAP-3905"/>
    <n v="638.54"/>
    <n v="987.24"/>
    <s v="High"/>
    <n v="0"/>
    <n v="11"/>
    <n v="10859.64"/>
    <n v="7023.94"/>
    <n v="3835.7"/>
    <n v="0.35320692030306716"/>
    <x v="0"/>
  </r>
  <r>
    <s v="ORD-2023-568013"/>
    <d v="2023-09-30T00:00:00"/>
    <s v="Q3-2023"/>
    <d v="2023-10-30T00:00:00"/>
    <n v="30"/>
    <s v="Asia"/>
    <x v="2"/>
    <s v="Tokyo"/>
    <s v="Enterprise"/>
    <s v="Online"/>
    <s v="D. Smith"/>
    <x v="1"/>
    <s v="PRN-1786"/>
    <n v="649.13"/>
    <n v="975.43"/>
    <s v="High"/>
    <n v="0.157"/>
    <n v="27"/>
    <n v="22201.762229999997"/>
    <n v="17526.509999999998"/>
    <n v="4675.2522299999982"/>
    <n v="0.21058023149543473"/>
    <x v="0"/>
  </r>
  <r>
    <s v="ORD-2025-828263"/>
    <d v="2025-05-17T00:00:00"/>
    <s v="Q2-2025"/>
    <d v="2025-05-30T00:00:00"/>
    <n v="13"/>
    <s v="Africa"/>
    <x v="1"/>
    <s v="Lagos"/>
    <s v="Consumer"/>
    <s v="Distributor"/>
    <s v="F. Müller"/>
    <x v="6"/>
    <s v="ACC-3349"/>
    <n v="66.400000000000006"/>
    <n v="141.43"/>
    <s v="High"/>
    <n v="0.107"/>
    <n v="8"/>
    <n v="1010.3759200000001"/>
    <n v="531.20000000000005"/>
    <n v="479.17592000000002"/>
    <n v="0.47425508715607551"/>
    <x v="0"/>
  </r>
  <r>
    <s v="ORD-2024-402240"/>
    <d v="2024-05-01T00:00:00"/>
    <s v="Q2-2024"/>
    <d v="2024-05-26T00:00:00"/>
    <n v="25"/>
    <s v="Europe"/>
    <x v="6"/>
    <s v="Berlin"/>
    <s v="Non-Profit"/>
    <s v="Retail"/>
    <s v="B. Chen"/>
    <x v="2"/>
    <s v="NET-4228"/>
    <n v="930.71"/>
    <n v="1625.42"/>
    <s v="High"/>
    <n v="0.13800000000000001"/>
    <n v="7"/>
    <n v="9807.7842799999999"/>
    <n v="6514.97"/>
    <n v="3292.8142799999996"/>
    <n v="0.33573477821231196"/>
    <x v="0"/>
  </r>
  <r>
    <s v="ORD-2023-125739"/>
    <d v="2023-05-01T00:00:00"/>
    <s v="Q2-2023"/>
    <d v="2023-05-18T00:00:00"/>
    <n v="17"/>
    <s v="Africa"/>
    <x v="1"/>
    <s v="Port Harcourt"/>
    <s v="Corporate"/>
    <s v="Direct"/>
    <s v="F. Müller"/>
    <x v="0"/>
    <s v="CMP-5633"/>
    <n v="327.97"/>
    <n v="299.94"/>
    <s v="High"/>
    <n v="4.9000000000000002E-2"/>
    <n v="3"/>
    <n v="855.72881999999993"/>
    <n v="983.91000000000008"/>
    <n v="-128.18118000000015"/>
    <n v="-0.14979182306843442"/>
    <x v="0"/>
  </r>
  <r>
    <s v="ORD-2024-892879"/>
    <d v="2024-07-09T00:00:00"/>
    <s v="Q3-2024"/>
    <d v="2024-08-08T00:00:00"/>
    <n v="30"/>
    <s v="Europe"/>
    <x v="7"/>
    <s v="Marseille"/>
    <s v="Corporate"/>
    <s v="Direct"/>
    <s v="J. Njeri"/>
    <x v="0"/>
    <s v="CMP-5825"/>
    <n v="1062.3800000000001"/>
    <n v="1503.96"/>
    <s v="High"/>
    <n v="0.18"/>
    <n v="6"/>
    <n v="7399.4832000000006"/>
    <n v="6374.2800000000007"/>
    <n v="1025.2031999999999"/>
    <n v="0.13855064905073369"/>
    <x v="0"/>
  </r>
  <r>
    <s v="ORD-2023-472050"/>
    <d v="2023-05-10T00:00:00"/>
    <s v="Q2-2023"/>
    <d v="2023-05-27T00:00:00"/>
    <n v="17"/>
    <s v="Asia"/>
    <x v="4"/>
    <s v="Mumbai"/>
    <s v="Consumer"/>
    <s v="Retail"/>
    <s v="M. Rossi"/>
    <x v="4"/>
    <s v="LAP-6499"/>
    <n v="1286.1600000000001"/>
    <n v="3101.11"/>
    <s v="High"/>
    <n v="0.1"/>
    <n v="23"/>
    <n v="64192.976999999999"/>
    <n v="29581.68"/>
    <n v="34611.296999999999"/>
    <n v="0.53917575749758417"/>
    <x v="0"/>
  </r>
  <r>
    <s v="ORD-2024-468615"/>
    <d v="2024-07-09T00:00:00"/>
    <s v="Q3-2024"/>
    <d v="2024-07-12T00:00:00"/>
    <n v="3"/>
    <s v="Asia"/>
    <x v="9"/>
    <s v="Shanghai"/>
    <s v="Small Business"/>
    <s v="Retail"/>
    <s v="D. Smith"/>
    <x v="6"/>
    <s v="ACC-3721"/>
    <n v="748.39"/>
    <n v="979.42"/>
    <s v="High"/>
    <n v="0"/>
    <n v="23"/>
    <n v="22526.66"/>
    <n v="17212.97"/>
    <n v="5313.6899999999987"/>
    <n v="0.23588450307324738"/>
    <x v="1"/>
  </r>
  <r>
    <s v="ORD-2024-833375"/>
    <d v="2024-04-24T00:00:00"/>
    <s v="Q2-2024"/>
    <d v="2024-05-10T00:00:00"/>
    <n v="16"/>
    <s v="Africa"/>
    <x v="0"/>
    <s v="Kisumu"/>
    <s v="Non-Profit"/>
    <s v="Online"/>
    <s v="N. Brown"/>
    <x v="5"/>
    <s v="MON-6190"/>
    <n v="513.30999999999995"/>
    <n v="1186.26"/>
    <s v="High"/>
    <n v="9.4E-2"/>
    <n v="15"/>
    <n v="16121.273400000002"/>
    <n v="7699.65"/>
    <n v="8421.6234000000022"/>
    <n v="0.52239194702820446"/>
    <x v="0"/>
  </r>
  <r>
    <s v="ORD-2024-206311"/>
    <d v="2024-01-13T00:00:00"/>
    <s v="Q1-2024"/>
    <d v="2024-01-15T00:00:00"/>
    <n v="2"/>
    <s v="Americas"/>
    <x v="10"/>
    <s v="San Francisco"/>
    <s v="Non-Profit"/>
    <s v="Direct"/>
    <s v="E. Garcia"/>
    <x v="0"/>
    <s v="CMP-2410"/>
    <n v="1061.3699999999999"/>
    <n v="1938.33"/>
    <s v="High"/>
    <n v="0.17"/>
    <n v="4"/>
    <n v="6435.2555999999995"/>
    <n v="4245.4799999999996"/>
    <n v="2189.7755999999999"/>
    <n v="0.34027795259600879"/>
    <x v="1"/>
  </r>
  <r>
    <s v="ORD-2024-364080"/>
    <d v="2024-04-16T00:00:00"/>
    <s v="Q2-2024"/>
    <d v="2024-04-27T00:00:00"/>
    <n v="11"/>
    <s v="Africa"/>
    <x v="0"/>
    <s v="Nakuru"/>
    <s v="Enterprise"/>
    <s v="Online"/>
    <s v="D. Smith"/>
    <x v="1"/>
    <s v="PRN-2641"/>
    <n v="401.3"/>
    <n v="826.47"/>
    <s v="High"/>
    <n v="0.22500000000000001"/>
    <n v="13"/>
    <n v="8326.6852500000005"/>
    <n v="5216.9000000000005"/>
    <n v="3109.7852499999999"/>
    <n v="0.37347217489696755"/>
    <x v="0"/>
  </r>
  <r>
    <s v="ORD-2025-460466"/>
    <d v="2025-02-07T00:00:00"/>
    <s v="Q1-2025"/>
    <d v="2025-02-16T00:00:00"/>
    <n v="9"/>
    <s v="Africa"/>
    <x v="1"/>
    <s v="Lagos"/>
    <s v="Small Business"/>
    <s v="Distributor"/>
    <s v="C. Otieno"/>
    <x v="1"/>
    <s v="PRN-1882"/>
    <n v="90.68"/>
    <n v="118.17"/>
    <s v="High"/>
    <n v="0.13500000000000001"/>
    <n v="21"/>
    <n v="2146.5580500000001"/>
    <n v="1904.2800000000002"/>
    <n v="242.27804999999989"/>
    <n v="0.11286815653552899"/>
    <x v="0"/>
  </r>
  <r>
    <s v="ORD-2023-700699"/>
    <d v="2023-01-12T00:00:00"/>
    <s v="Q1-2023"/>
    <d v="2023-01-26T00:00:00"/>
    <n v="14"/>
    <s v="Asia"/>
    <x v="9"/>
    <s v="Shenzhen"/>
    <s v="Non-Profit"/>
    <s v="Retail"/>
    <s v="M. Rossi"/>
    <x v="1"/>
    <s v="PRN-1641"/>
    <n v="1083.0899999999999"/>
    <n v="1425.87"/>
    <s v="High"/>
    <n v="0"/>
    <n v="8"/>
    <n v="11406.96"/>
    <n v="8664.7199999999993"/>
    <n v="2742.24"/>
    <n v="0.24040059752992909"/>
    <x v="0"/>
  </r>
  <r>
    <s v="ORD-2024-713332"/>
    <d v="2024-06-05T00:00:00"/>
    <s v="Q2-2024"/>
    <d v="2024-06-23T00:00:00"/>
    <n v="18"/>
    <s v="Africa"/>
    <x v="0"/>
    <s v="Nairobi"/>
    <s v="Consumer"/>
    <s v="Distributor"/>
    <s v="D. Smith"/>
    <x v="4"/>
    <s v="LAP-1739"/>
    <n v="1208.74"/>
    <n v="1594.78"/>
    <s v="High"/>
    <n v="5.8999999999999997E-2"/>
    <n v="39"/>
    <n v="58526.83122"/>
    <n v="47140.86"/>
    <n v="11385.971219999999"/>
    <n v="0.1945427589817838"/>
    <x v="0"/>
  </r>
  <r>
    <s v="ORD-2023-640022"/>
    <d v="2023-08-24T00:00:00"/>
    <s v="Q3-2023"/>
    <d v="2023-09-20T00:00:00"/>
    <n v="27"/>
    <s v="Africa"/>
    <x v="11"/>
    <s v="Durban"/>
    <s v="Small Business"/>
    <s v="Marketplace"/>
    <s v="M. Rossi"/>
    <x v="1"/>
    <s v="PRN-4732"/>
    <n v="1399.64"/>
    <n v="3342.11"/>
    <s v="High"/>
    <n v="0"/>
    <n v="10"/>
    <n v="33421.1"/>
    <n v="13996.400000000001"/>
    <n v="19424.699999999997"/>
    <n v="0.58121067229983447"/>
    <x v="0"/>
  </r>
  <r>
    <s v="ORD-2024-532184"/>
    <d v="2024-01-25T00:00:00"/>
    <s v="Q1-2024"/>
    <d v="2024-02-08T00:00:00"/>
    <n v="14"/>
    <s v="Asia"/>
    <x v="2"/>
    <s v="Osaka"/>
    <s v="Consumer"/>
    <s v="Marketplace"/>
    <s v="I. Johnson"/>
    <x v="2"/>
    <s v="NET-9569"/>
    <n v="937.16"/>
    <n v="1069.77"/>
    <s v="High"/>
    <n v="3.7999999999999999E-2"/>
    <n v="9"/>
    <n v="9262.0686600000008"/>
    <n v="8434.44"/>
    <n v="827.62866000000031"/>
    <n v="8.9356783066645962E-2"/>
    <x v="0"/>
  </r>
  <r>
    <s v="ORD-2025-926547"/>
    <d v="2025-03-11T00:00:00"/>
    <s v="Q1-2025"/>
    <d v="2025-03-26T00:00:00"/>
    <n v="15"/>
    <s v="Europe"/>
    <x v="6"/>
    <s v="Berlin"/>
    <s v="Small Business"/>
    <s v="Online"/>
    <s v="I. Johnson"/>
    <x v="3"/>
    <s v="PHN-3007"/>
    <n v="116.97"/>
    <n v="140.82"/>
    <s v="High"/>
    <n v="0.122"/>
    <n v="5"/>
    <n v="618.19979999999987"/>
    <n v="584.85"/>
    <n v="33.349799999999846"/>
    <n v="5.3946636669891926E-2"/>
    <x v="0"/>
  </r>
  <r>
    <s v="ORD-2025-778145"/>
    <d v="2025-04-22T00:00:00"/>
    <s v="Q2-2025"/>
    <d v="2025-05-12T00:00:00"/>
    <n v="20"/>
    <s v="Europe"/>
    <x v="7"/>
    <s v="Lyon"/>
    <s v="Enterprise"/>
    <s v="Marketplace"/>
    <s v="K. Singh"/>
    <x v="5"/>
    <s v="MON-9216"/>
    <n v="59.51"/>
    <n v="67.040000000000006"/>
    <s v="High"/>
    <n v="0.114"/>
    <n v="9"/>
    <n v="534.57695999999999"/>
    <n v="535.59"/>
    <n v="-1.0130400000000463"/>
    <n v="-1.8950311663264469E-3"/>
    <x v="0"/>
  </r>
  <r>
    <s v="ORD-2023-525643"/>
    <d v="2023-08-17T00:00:00"/>
    <s v="Q3-2023"/>
    <d v="2023-09-03T00:00:00"/>
    <n v="17"/>
    <s v="Africa"/>
    <x v="11"/>
    <s v="Durban"/>
    <s v="Enterprise"/>
    <s v="Retail"/>
    <s v="A. Patel"/>
    <x v="3"/>
    <s v="PHN-8072"/>
    <n v="676.37"/>
    <n v="1276.67"/>
    <s v="High"/>
    <n v="6.6000000000000003E-2"/>
    <n v="10"/>
    <n v="11924.0978"/>
    <n v="6763.7"/>
    <n v="5160.3977999999997"/>
    <n v="0.4327705027712872"/>
    <x v="0"/>
  </r>
  <r>
    <s v="ORD-2025-312803"/>
    <d v="2025-06-24T00:00:00"/>
    <s v="Q2-2025"/>
    <d v="2025-07-14T00:00:00"/>
    <n v="20"/>
    <s v="Africa"/>
    <x v="11"/>
    <s v="Johannesburg"/>
    <s v="Enterprise"/>
    <s v="Marketplace"/>
    <s v="J. Njeri"/>
    <x v="4"/>
    <s v="LAP-1308"/>
    <n v="1151.06"/>
    <n v="2821.36"/>
    <s v="High"/>
    <n v="0.248"/>
    <n v="20"/>
    <n v="42433.254400000005"/>
    <n v="23021.199999999997"/>
    <n v="19412.054400000008"/>
    <n v="0.45747267501594235"/>
    <x v="0"/>
  </r>
  <r>
    <s v="ORD-2025-149156"/>
    <d v="2025-01-10T00:00:00"/>
    <s v="Q1-2025"/>
    <d v="2025-02-06T00:00:00"/>
    <n v="27"/>
    <s v="Americas"/>
    <x v="5"/>
    <s v="Brasília"/>
    <s v="Non-Profit"/>
    <s v="Retail"/>
    <s v="B. Chen"/>
    <x v="4"/>
    <s v="LAP-7353"/>
    <n v="725.62"/>
    <n v="1559.19"/>
    <s v="High"/>
    <n v="0.19"/>
    <n v="12"/>
    <n v="15155.326800000001"/>
    <n v="8707.44"/>
    <n v="6447.8868000000002"/>
    <n v="0.42545349797405885"/>
    <x v="0"/>
  </r>
  <r>
    <s v="ORD-2023-215819"/>
    <d v="2023-07-01T00:00:00"/>
    <s v="Q3-2023"/>
    <d v="2023-07-11T00:00:00"/>
    <n v="10"/>
    <s v="Europe"/>
    <x v="7"/>
    <s v="Paris"/>
    <s v="Corporate"/>
    <s v="Direct"/>
    <s v="F. Müller"/>
    <x v="2"/>
    <s v="NET-6533"/>
    <n v="479.5"/>
    <n v="656.66"/>
    <s v="High"/>
    <n v="0.14899999999999999"/>
    <n v="14"/>
    <n v="7823.4472399999995"/>
    <n v="6713"/>
    <n v="1110.4472399999995"/>
    <n v="0.14193835606412289"/>
    <x v="0"/>
  </r>
  <r>
    <s v="ORD-2024-353078"/>
    <d v="2024-08-16T00:00:00"/>
    <s v="Q3-2024"/>
    <d v="2024-08-26T00:00:00"/>
    <n v="10"/>
    <s v="Americas"/>
    <x v="10"/>
    <s v="Chicago"/>
    <s v="Corporate"/>
    <s v="Distributor"/>
    <s v="L. Okafor"/>
    <x v="4"/>
    <s v="LAP-5763"/>
    <n v="1291.7"/>
    <n v="2657.84"/>
    <s v="High"/>
    <n v="8.6999999999999994E-2"/>
    <n v="21"/>
    <n v="50958.766320000002"/>
    <n v="27125.7"/>
    <n v="23833.066320000002"/>
    <n v="0.46769315745083367"/>
    <x v="0"/>
  </r>
  <r>
    <s v="ORD-2023-621393"/>
    <d v="2023-07-07T00:00:00"/>
    <s v="Q3-2023"/>
    <d v="2023-07-13T00:00:00"/>
    <n v="6"/>
    <s v="Africa"/>
    <x v="11"/>
    <s v="Cape Town"/>
    <s v="Small Business"/>
    <s v="Marketplace"/>
    <s v="B. Chen"/>
    <x v="6"/>
    <s v="ACC-9445"/>
    <n v="612.59"/>
    <n v="1424.74"/>
    <s v="High"/>
    <n v="4.3999999999999997E-2"/>
    <n v="15"/>
    <n v="20430.771599999996"/>
    <n v="9188.85"/>
    <n v="11241.921599999996"/>
    <n v="0.55024459281802152"/>
    <x v="1"/>
  </r>
  <r>
    <s v="ORD-2023-974506"/>
    <d v="2023-12-28T00:00:00"/>
    <s v="Q4-2023"/>
    <d v="2024-01-01T00:00:00"/>
    <n v="4"/>
    <s v="Africa"/>
    <x v="11"/>
    <s v="Cape Town"/>
    <s v="Education"/>
    <s v="Distributor"/>
    <s v="A. Patel"/>
    <x v="1"/>
    <s v="PRN-1654"/>
    <n v="1141.8"/>
    <n v="2318.7399999999998"/>
    <s v="High"/>
    <n v="0.107"/>
    <n v="32"/>
    <n v="66260.314239999992"/>
    <n v="36537.599999999999"/>
    <n v="29722.714239999994"/>
    <n v="0.44857490612468304"/>
    <x v="1"/>
  </r>
  <r>
    <s v="ORD-2023-811823"/>
    <d v="2023-01-26T00:00:00"/>
    <s v="Q1-2023"/>
    <d v="2023-02-15T00:00:00"/>
    <n v="20"/>
    <s v="Europe"/>
    <x v="6"/>
    <s v="Berlin"/>
    <s v="Small Business"/>
    <s v="Online"/>
    <s v="O. Wang"/>
    <x v="2"/>
    <s v="NET-8787"/>
    <n v="492.62"/>
    <n v="366.7"/>
    <s v="High"/>
    <n v="8.8999999999999996E-2"/>
    <n v="10"/>
    <n v="3340.6370000000002"/>
    <n v="4926.2"/>
    <n v="-1585.5629999999996"/>
    <n v="-0.47462894052840809"/>
    <x v="0"/>
  </r>
  <r>
    <s v="ORD-2023-286720"/>
    <d v="2023-07-08T00:00:00"/>
    <s v="Q3-2023"/>
    <d v="2023-07-09T00:00:00"/>
    <n v="1"/>
    <s v="Africa"/>
    <x v="0"/>
    <s v="Nairobi"/>
    <s v="Consumer"/>
    <s v="Online"/>
    <s v="D. Smith"/>
    <x v="4"/>
    <s v="LAP-1989"/>
    <n v="1258.72"/>
    <n v="2797.41"/>
    <s v="High"/>
    <n v="0"/>
    <n v="7"/>
    <n v="19581.87"/>
    <n v="8811.0400000000009"/>
    <n v="10770.829999999998"/>
    <n v="0.55004093071805704"/>
    <x v="1"/>
  </r>
  <r>
    <s v="ORD-2024-626925"/>
    <d v="2024-06-07T00:00:00"/>
    <s v="Q2-2024"/>
    <d v="2024-06-09T00:00:00"/>
    <n v="2"/>
    <s v="Asia"/>
    <x v="9"/>
    <s v="Shanghai"/>
    <s v="Corporate"/>
    <s v="Retail"/>
    <s v="O. Wang"/>
    <x v="5"/>
    <s v="MON-8688"/>
    <n v="1370.28"/>
    <n v="2209.66"/>
    <s v="High"/>
    <n v="0.13300000000000001"/>
    <n v="16"/>
    <n v="30652.403519999996"/>
    <n v="21924.48"/>
    <n v="8727.9235199999966"/>
    <n v="0.28473863442079589"/>
    <x v="1"/>
  </r>
  <r>
    <s v="ORD-2023-960380"/>
    <d v="2023-02-11T00:00:00"/>
    <s v="Q1-2023"/>
    <d v="2023-02-12T00:00:00"/>
    <n v="1"/>
    <s v="Africa"/>
    <x v="1"/>
    <s v="Port Harcourt"/>
    <s v="Non-Profit"/>
    <s v="Direct"/>
    <s v="D. Smith"/>
    <x v="6"/>
    <s v="ACC-8242"/>
    <n v="944.61"/>
    <n v="839.04"/>
    <s v="High"/>
    <n v="5.8999999999999997E-2"/>
    <n v="6"/>
    <n v="4737.2198399999997"/>
    <n v="5667.66"/>
    <n v="-930.44016000000011"/>
    <n v="-0.19641059343363726"/>
    <x v="1"/>
  </r>
  <r>
    <s v="ORD-2023-453699"/>
    <d v="2023-07-01T00:00:00"/>
    <s v="Q3-2023"/>
    <d v="2023-07-08T00:00:00"/>
    <n v="7"/>
    <s v="Europe"/>
    <x v="6"/>
    <s v="Frankfurt"/>
    <s v="Small Business"/>
    <s v="Distributor"/>
    <s v="N. Brown"/>
    <x v="4"/>
    <s v="LAP-4666"/>
    <n v="460.21"/>
    <n v="1139.1500000000001"/>
    <s v="High"/>
    <n v="0.115"/>
    <n v="14"/>
    <n v="14114.068500000001"/>
    <n v="6442.94"/>
    <n v="7671.1285000000016"/>
    <n v="0.54350937151821255"/>
    <x v="1"/>
  </r>
  <r>
    <s v="ORD-2025-960931"/>
    <d v="2025-08-20T00:00:00"/>
    <s v="Q3-2025"/>
    <d v="2025-08-26T00:00:00"/>
    <n v="6"/>
    <s v="Americas"/>
    <x v="10"/>
    <s v="New York"/>
    <s v="Corporate"/>
    <s v="Retail"/>
    <s v="M. Rossi"/>
    <x v="2"/>
    <s v="NET-5196"/>
    <n v="1304.95"/>
    <n v="1712.03"/>
    <s v="High"/>
    <n v="0.21199999999999999"/>
    <n v="8"/>
    <n v="10792.637119999999"/>
    <n v="10439.6"/>
    <n v="353.03711999999905"/>
    <n v="3.2710922833287949E-2"/>
    <x v="1"/>
  </r>
  <r>
    <s v="ORD-2024-419248"/>
    <d v="2024-03-04T00:00:00"/>
    <s v="Q1-2024"/>
    <d v="2024-03-16T00:00:00"/>
    <n v="12"/>
    <s v="Africa"/>
    <x v="11"/>
    <s v="Johannesburg"/>
    <s v="Enterprise"/>
    <s v="Distributor"/>
    <s v="M. Rossi"/>
    <x v="5"/>
    <s v="MON-8422"/>
    <n v="441.08"/>
    <n v="1054.29"/>
    <s v="High"/>
    <n v="0.23699999999999999"/>
    <n v="6"/>
    <n v="4826.5396199999996"/>
    <n v="2646.48"/>
    <n v="2180.0596199999995"/>
    <n v="0.45168169985932899"/>
    <x v="0"/>
  </r>
  <r>
    <s v="ORD-2023-488227"/>
    <d v="2023-09-08T00:00:00"/>
    <s v="Q3-2023"/>
    <d v="2023-10-02T00:00:00"/>
    <n v="24"/>
    <s v="Americas"/>
    <x v="3"/>
    <s v="Toronto"/>
    <s v="Education"/>
    <s v="Direct"/>
    <s v="A. Patel"/>
    <x v="6"/>
    <s v="ACC-3415"/>
    <n v="1299.03"/>
    <n v="2451.2199999999998"/>
    <s v="High"/>
    <n v="0.20799999999999999"/>
    <n v="8"/>
    <n v="15530.929919999999"/>
    <n v="10392.24"/>
    <n v="5138.6899199999989"/>
    <n v="0.3308681416032041"/>
    <x v="0"/>
  </r>
  <r>
    <s v="ORD-2023-472078"/>
    <d v="2023-02-28T00:00:00"/>
    <s v="Q1-2023"/>
    <d v="2023-03-06T00:00:00"/>
    <n v="6"/>
    <s v="Europe"/>
    <x v="6"/>
    <s v="Frankfurt"/>
    <s v="Small Business"/>
    <s v="Marketplace"/>
    <s v="D. Smith"/>
    <x v="1"/>
    <s v="PRN-9624"/>
    <n v="880.02"/>
    <n v="1251.21"/>
    <s v="High"/>
    <n v="0.123"/>
    <n v="29"/>
    <n v="31822.023930000003"/>
    <n v="25520.579999999998"/>
    <n v="6301.4439300000049"/>
    <n v="0.19802146915172672"/>
    <x v="1"/>
  </r>
  <r>
    <s v="ORD-2024-202877"/>
    <d v="2024-07-13T00:00:00"/>
    <s v="Q3-2024"/>
    <d v="2024-08-03T00:00:00"/>
    <n v="21"/>
    <s v="Americas"/>
    <x v="5"/>
    <s v="Rio de Janeiro"/>
    <s v="Corporate"/>
    <s v="Marketplace"/>
    <s v="M. Rossi"/>
    <x v="5"/>
    <s v="MON-6287"/>
    <n v="702.98"/>
    <n v="1104.8"/>
    <s v="High"/>
    <n v="0.17499999999999999"/>
    <n v="12"/>
    <n v="10937.519999999999"/>
    <n v="8435.76"/>
    <n v="2501.7599999999984"/>
    <n v="0.22873192460448061"/>
    <x v="0"/>
  </r>
  <r>
    <s v="ORD-2024-140633"/>
    <d v="2024-12-07T00:00:00"/>
    <s v="Q4-2024"/>
    <d v="2024-12-26T00:00:00"/>
    <n v="19"/>
    <s v="Europe"/>
    <x v="8"/>
    <s v="London"/>
    <s v="Enterprise"/>
    <s v="Online"/>
    <s v="D. Smith"/>
    <x v="2"/>
    <s v="NET-4491"/>
    <n v="1035.24"/>
    <n v="2383.41"/>
    <s v="High"/>
    <n v="0.17"/>
    <n v="15"/>
    <n v="29673.454499999993"/>
    <n v="15528.6"/>
    <n v="14144.854499999992"/>
    <n v="0.47668378145860962"/>
    <x v="0"/>
  </r>
  <r>
    <s v="ORD-2025-419532"/>
    <d v="2025-08-06T00:00:00"/>
    <s v="Q3-2025"/>
    <d v="2025-08-23T00:00:00"/>
    <n v="17"/>
    <s v="Americas"/>
    <x v="5"/>
    <s v="Brasília"/>
    <s v="Consumer"/>
    <s v="Distributor"/>
    <s v="A. Patel"/>
    <x v="5"/>
    <s v="MON-4317"/>
    <n v="86.64"/>
    <n v="213.06"/>
    <s v="High"/>
    <n v="0.21199999999999999"/>
    <n v="11"/>
    <n v="1846.8040799999999"/>
    <n v="953.04"/>
    <n v="893.76407999999992"/>
    <n v="0.48395175735154322"/>
    <x v="0"/>
  </r>
  <r>
    <s v="ORD-2023-139236"/>
    <d v="2023-03-03T00:00:00"/>
    <s v="Q1-2023"/>
    <d v="2023-03-20T00:00:00"/>
    <n v="17"/>
    <s v="Asia"/>
    <x v="2"/>
    <s v="Nagoya"/>
    <s v="Small Business"/>
    <s v="Online"/>
    <s v="D. Smith"/>
    <x v="2"/>
    <s v="NET-7349"/>
    <n v="1171.17"/>
    <n v="2030.64"/>
    <s v="High"/>
    <n v="0.157"/>
    <n v="11"/>
    <n v="18830.12472"/>
    <n v="12882.87"/>
    <n v="5947.254719999999"/>
    <n v="0.31583724528830415"/>
    <x v="0"/>
  </r>
  <r>
    <s v="ORD-2025-337268"/>
    <d v="2025-02-16T00:00:00"/>
    <s v="Q1-2025"/>
    <d v="2025-03-17T00:00:00"/>
    <n v="29"/>
    <s v="Europe"/>
    <x v="6"/>
    <s v="Munich"/>
    <s v="Consumer"/>
    <s v="Retail"/>
    <s v="L. Okafor"/>
    <x v="6"/>
    <s v="ACC-5150"/>
    <n v="730.42"/>
    <n v="956.7"/>
    <s v="High"/>
    <n v="4.2000000000000003E-2"/>
    <n v="22"/>
    <n v="20163.409200000002"/>
    <n v="16069.24"/>
    <n v="4094.1692000000021"/>
    <n v="0.20304945256975698"/>
    <x v="0"/>
  </r>
  <r>
    <s v="ORD-2025-332931"/>
    <d v="2025-02-15T00:00:00"/>
    <s v="Q1-2025"/>
    <d v="2025-03-01T00:00:00"/>
    <n v="14"/>
    <s v="Africa"/>
    <x v="0"/>
    <s v="Mombasa"/>
    <s v="Education"/>
    <s v="Direct"/>
    <s v="L. Okafor"/>
    <x v="6"/>
    <s v="ACC-5144"/>
    <n v="1162.8599999999999"/>
    <n v="1447.68"/>
    <s v="High"/>
    <n v="8.6999999999999994E-2"/>
    <n v="12"/>
    <n v="15860.782080000001"/>
    <n v="13954.32"/>
    <n v="1906.4620800000012"/>
    <n v="0.12019975247021369"/>
    <x v="0"/>
  </r>
  <r>
    <s v="ORD-2024-536442"/>
    <d v="2024-08-31T00:00:00"/>
    <s v="Q3-2024"/>
    <d v="2024-09-26T00:00:00"/>
    <n v="26"/>
    <s v="Asia"/>
    <x v="2"/>
    <s v="Tokyo"/>
    <s v="Education"/>
    <s v="Online"/>
    <s v="I. Johnson"/>
    <x v="3"/>
    <s v="PHN-6111"/>
    <n v="1189.03"/>
    <n v="2949.62"/>
    <s v="High"/>
    <n v="0.125"/>
    <n v="13"/>
    <n v="33551.927499999998"/>
    <n v="15457.39"/>
    <n v="18094.537499999999"/>
    <n v="0.53929949330034765"/>
    <x v="0"/>
  </r>
  <r>
    <s v="ORD-2023-957692"/>
    <d v="2023-05-07T00:00:00"/>
    <s v="Q2-2023"/>
    <d v="2023-05-20T00:00:00"/>
    <n v="13"/>
    <s v="Asia"/>
    <x v="4"/>
    <s v="Mumbai"/>
    <s v="Enterprise"/>
    <s v="Retail"/>
    <s v="D. Smith"/>
    <x v="6"/>
    <s v="ACC-9283"/>
    <n v="1443.28"/>
    <n v="2580.5700000000002"/>
    <s v="High"/>
    <n v="0"/>
    <n v="18"/>
    <n v="46450.26"/>
    <n v="25979.040000000001"/>
    <n v="20471.22"/>
    <n v="0.4407127107577008"/>
    <x v="0"/>
  </r>
  <r>
    <s v="ORD-2025-874124"/>
    <d v="2025-05-14T00:00:00"/>
    <s v="Q2-2025"/>
    <d v="2025-05-21T00:00:00"/>
    <n v="7"/>
    <s v="Americas"/>
    <x v="3"/>
    <s v="Vancouver"/>
    <s v="Non-Profit"/>
    <s v="Distributor"/>
    <s v="F. Müller"/>
    <x v="1"/>
    <s v="PRN-2407"/>
    <n v="883.5"/>
    <n v="1978.91"/>
    <s v="High"/>
    <n v="5.3999999999999999E-2"/>
    <n v="27"/>
    <n v="50545.319219999998"/>
    <n v="23854.5"/>
    <n v="26690.819219999998"/>
    <n v="0.52805718970390547"/>
    <x v="1"/>
  </r>
  <r>
    <s v="ORD-2024-687073"/>
    <d v="2024-03-11T00:00:00"/>
    <s v="Q1-2024"/>
    <d v="2024-03-29T00:00:00"/>
    <n v="18"/>
    <s v="Americas"/>
    <x v="10"/>
    <s v="New York"/>
    <s v="Corporate"/>
    <s v="Retail"/>
    <s v="M. Rossi"/>
    <x v="5"/>
    <s v="MON-7099"/>
    <n v="710.98"/>
    <n v="1481.45"/>
    <s v="High"/>
    <n v="0.21099999999999999"/>
    <n v="9"/>
    <n v="10519.776450000001"/>
    <n v="6398.82"/>
    <n v="4120.9564500000015"/>
    <n v="0.39173422264120461"/>
    <x v="0"/>
  </r>
  <r>
    <s v="ORD-2024-555229"/>
    <d v="2024-05-18T00:00:00"/>
    <s v="Q2-2024"/>
    <d v="2024-05-22T00:00:00"/>
    <n v="4"/>
    <s v="Africa"/>
    <x v="0"/>
    <s v="Nairobi"/>
    <s v="Corporate"/>
    <s v="Direct"/>
    <s v="H. Kim"/>
    <x v="6"/>
    <s v="ACC-7354"/>
    <n v="857.42"/>
    <n v="1658.92"/>
    <s v="High"/>
    <n v="0.122"/>
    <n v="9"/>
    <n v="13108.78584"/>
    <n v="7716.78"/>
    <n v="5392.0058400000007"/>
    <n v="0.41132763215544305"/>
    <x v="1"/>
  </r>
  <r>
    <s v="ORD-2024-872291"/>
    <d v="2024-01-08T00:00:00"/>
    <s v="Q1-2024"/>
    <d v="2024-01-12T00:00:00"/>
    <n v="4"/>
    <s v="Asia"/>
    <x v="4"/>
    <s v="Bengaluru"/>
    <s v="Corporate"/>
    <s v="Direct"/>
    <s v="E. Garcia"/>
    <x v="1"/>
    <s v="PRN-6585"/>
    <n v="802.32"/>
    <n v="602.34"/>
    <s v="High"/>
    <n v="0.12"/>
    <n v="25"/>
    <n v="13251.48"/>
    <n v="20058"/>
    <n v="-6806.52"/>
    <n v="-0.51364224977134632"/>
    <x v="1"/>
  </r>
  <r>
    <s v="ORD-2024-250862"/>
    <d v="2024-10-25T00:00:00"/>
    <s v="Q4-2024"/>
    <d v="2024-11-05T00:00:00"/>
    <n v="11"/>
    <s v="Americas"/>
    <x v="10"/>
    <s v="New York"/>
    <s v="Corporate"/>
    <s v="Distributor"/>
    <s v="N. Brown"/>
    <x v="0"/>
    <s v="CMP-9498"/>
    <n v="446.66"/>
    <n v="527.64"/>
    <s v="High"/>
    <n v="0.14499999999999999"/>
    <n v="15"/>
    <n v="6766.9829999999993"/>
    <n v="6699.9000000000005"/>
    <n v="67.082999999998719"/>
    <n v="9.9132804087137105E-3"/>
    <x v="0"/>
  </r>
  <r>
    <s v="ORD-2024-331226"/>
    <d v="2024-11-30T00:00:00"/>
    <s v="Q4-2024"/>
    <d v="2024-12-19T00:00:00"/>
    <n v="19"/>
    <s v="Africa"/>
    <x v="0"/>
    <s v="Kisumu"/>
    <s v="Corporate"/>
    <s v="Online"/>
    <s v="L. Okafor"/>
    <x v="3"/>
    <s v="PHN-1919"/>
    <n v="1195.98"/>
    <n v="1841.9"/>
    <s v="High"/>
    <n v="5.5E-2"/>
    <n v="19"/>
    <n v="33071.3145"/>
    <n v="22723.62"/>
    <n v="10347.694500000001"/>
    <n v="0.31289032977506842"/>
    <x v="0"/>
  </r>
  <r>
    <s v="ORD-2023-356427"/>
    <d v="2023-04-13T00:00:00"/>
    <s v="Q2-2023"/>
    <d v="2023-05-02T00:00:00"/>
    <n v="19"/>
    <s v="Americas"/>
    <x v="3"/>
    <s v="Montreal"/>
    <s v="Consumer"/>
    <s v="Distributor"/>
    <s v="E. Garcia"/>
    <x v="5"/>
    <s v="MON-6053"/>
    <n v="671.05"/>
    <n v="1645.48"/>
    <s v="High"/>
    <n v="0.13700000000000001"/>
    <n v="6"/>
    <n v="8520.2954399999999"/>
    <n v="4026.2999999999997"/>
    <n v="4493.9954400000006"/>
    <n v="0.52744596377517172"/>
    <x v="0"/>
  </r>
  <r>
    <s v="ORD-2025-659650"/>
    <d v="2025-02-04T00:00:00"/>
    <s v="Q1-2025"/>
    <d v="2025-02-08T00:00:00"/>
    <n v="4"/>
    <s v="Europe"/>
    <x v="8"/>
    <s v="Manchester"/>
    <s v="Enterprise"/>
    <s v="Marketplace"/>
    <s v="L. Okafor"/>
    <x v="2"/>
    <s v="NET-2502"/>
    <n v="586.21"/>
    <n v="727.22"/>
    <s v="High"/>
    <n v="6.8000000000000005E-2"/>
    <n v="15"/>
    <n v="10166.535600000001"/>
    <n v="8793.1500000000015"/>
    <n v="1373.3855999999996"/>
    <n v="0.13508884973559721"/>
    <x v="1"/>
  </r>
  <r>
    <s v="ORD-2024-207669"/>
    <d v="2024-01-24T00:00:00"/>
    <s v="Q1-2024"/>
    <d v="2024-02-04T00:00:00"/>
    <n v="11"/>
    <s v="Europe"/>
    <x v="8"/>
    <s v="Manchester"/>
    <s v="Consumer"/>
    <s v="Retail"/>
    <s v="B. Chen"/>
    <x v="4"/>
    <s v="LAP-5689"/>
    <n v="525.34"/>
    <n v="1233.79"/>
    <s v="High"/>
    <n v="0.14299999999999999"/>
    <n v="4"/>
    <n v="4229.4321199999995"/>
    <n v="2101.36"/>
    <n v="2128.0721199999994"/>
    <n v="0.50315788494082736"/>
    <x v="0"/>
  </r>
  <r>
    <s v="ORD-2024-979401"/>
    <d v="2024-02-08T00:00:00"/>
    <s v="Q1-2024"/>
    <d v="2024-02-09T00:00:00"/>
    <n v="1"/>
    <s v="Africa"/>
    <x v="0"/>
    <s v="Mombasa"/>
    <s v="Corporate"/>
    <s v="Direct"/>
    <s v="F. Müller"/>
    <x v="0"/>
    <s v="CMP-5911"/>
    <n v="1233.52"/>
    <n v="1543.76"/>
    <s v="High"/>
    <n v="0.126"/>
    <n v="13"/>
    <n v="17540.201120000002"/>
    <n v="16035.76"/>
    <n v="1504.4411200000013"/>
    <n v="8.5771030201277493E-2"/>
    <x v="1"/>
  </r>
  <r>
    <s v="ORD-2025-929414"/>
    <d v="2025-06-26T00:00:00"/>
    <s v="Q2-2025"/>
    <d v="2025-07-11T00:00:00"/>
    <n v="15"/>
    <s v="Africa"/>
    <x v="1"/>
    <s v="Port Harcourt"/>
    <s v="Small Business"/>
    <s v="Online"/>
    <s v="A. Patel"/>
    <x v="4"/>
    <s v="LAP-7523"/>
    <n v="1170.1500000000001"/>
    <n v="2115.19"/>
    <s v="High"/>
    <n v="9.1999999999999998E-2"/>
    <n v="23"/>
    <n v="44173.627960000005"/>
    <n v="26913.45"/>
    <n v="17260.177960000005"/>
    <n v="0.39073489674946776"/>
    <x v="0"/>
  </r>
  <r>
    <s v="ORD-2024-766980"/>
    <d v="2024-11-04T00:00:00"/>
    <s v="Q4-2024"/>
    <d v="2024-11-07T00:00:00"/>
    <n v="3"/>
    <s v="Europe"/>
    <x v="7"/>
    <s v="Lyon"/>
    <s v="Corporate"/>
    <s v="Online"/>
    <s v="O. Wang"/>
    <x v="5"/>
    <s v="MON-1118"/>
    <n v="740.68"/>
    <n v="1837.19"/>
    <s v="High"/>
    <n v="0.19700000000000001"/>
    <n v="17"/>
    <n v="25079.480689999997"/>
    <n v="12591.56"/>
    <n v="12487.920689999997"/>
    <n v="0.4979337827748298"/>
    <x v="1"/>
  </r>
  <r>
    <s v="ORD-2024-437164"/>
    <d v="2024-02-20T00:00:00"/>
    <s v="Q1-2024"/>
    <d v="2024-02-20T00:00:00"/>
    <n v="0"/>
    <s v="Americas"/>
    <x v="10"/>
    <s v="New York"/>
    <s v="Enterprise"/>
    <s v="Online"/>
    <s v="C. Otieno"/>
    <x v="2"/>
    <s v="NET-9177"/>
    <n v="1407.05"/>
    <n v="2858.93"/>
    <s v="High"/>
    <n v="0"/>
    <n v="12"/>
    <n v="34307.159999999996"/>
    <n v="16884.599999999999"/>
    <n v="17422.559999999998"/>
    <n v="0.50784034586366222"/>
    <x v="1"/>
  </r>
  <r>
    <s v="ORD-2025-169093"/>
    <d v="2025-04-13T00:00:00"/>
    <s v="Q2-2025"/>
    <d v="2025-04-14T00:00:00"/>
    <n v="1"/>
    <s v="Asia"/>
    <x v="2"/>
    <s v="Osaka"/>
    <s v="Enterprise"/>
    <s v="Online"/>
    <s v="G. Dubois"/>
    <x v="0"/>
    <s v="CMP-6495"/>
    <n v="138.9"/>
    <n v="289.92"/>
    <s v="High"/>
    <n v="2.9000000000000001E-2"/>
    <n v="12"/>
    <n v="3378.1478400000001"/>
    <n v="1666.8000000000002"/>
    <n v="1711.3478399999999"/>
    <n v="0.50659353025828491"/>
    <x v="1"/>
  </r>
  <r>
    <s v="ORD-2023-868460"/>
    <d v="2023-06-01T00:00:00"/>
    <s v="Q2-2023"/>
    <d v="2023-06-01T00:00:00"/>
    <n v="0"/>
    <s v="Asia"/>
    <x v="4"/>
    <s v="Bengaluru"/>
    <s v="Corporate"/>
    <s v="Retail"/>
    <s v="E. Garcia"/>
    <x v="6"/>
    <s v="ACC-4587"/>
    <n v="669.37"/>
    <n v="997.2"/>
    <s v="High"/>
    <n v="8.2000000000000003E-2"/>
    <n v="5"/>
    <n v="4577.1480000000001"/>
    <n v="3346.85"/>
    <n v="1230.2980000000002"/>
    <n v="0.26879139586484863"/>
    <x v="1"/>
  </r>
  <r>
    <s v="ORD-2025-177994"/>
    <d v="2025-03-24T00:00:00"/>
    <s v="Q1-2025"/>
    <d v="2025-04-04T00:00:00"/>
    <n v="11"/>
    <s v="Asia"/>
    <x v="4"/>
    <s v="Mumbai"/>
    <s v="Education"/>
    <s v="Marketplace"/>
    <s v="J. Njeri"/>
    <x v="3"/>
    <s v="PHN-4395"/>
    <n v="23.83"/>
    <n v="47.29"/>
    <s v="High"/>
    <n v="6.4000000000000001E-2"/>
    <n v="19"/>
    <n v="841.00536"/>
    <n v="452.77"/>
    <n v="388.23536000000001"/>
    <n v="0.46163244429262618"/>
    <x v="0"/>
  </r>
  <r>
    <s v="ORD-2024-355095"/>
    <d v="2024-01-02T00:00:00"/>
    <s v="Q1-2024"/>
    <d v="2024-01-02T00:00:00"/>
    <n v="0"/>
    <s v="Americas"/>
    <x v="3"/>
    <s v="Vancouver"/>
    <s v="Education"/>
    <s v="Direct"/>
    <s v="A. Patel"/>
    <x v="4"/>
    <s v="LAP-3581"/>
    <n v="444.41"/>
    <n v="754.24"/>
    <s v="High"/>
    <n v="0.20699999999999999"/>
    <n v="32"/>
    <n v="19139.594240000002"/>
    <n v="14221.12"/>
    <n v="4918.4742400000014"/>
    <n v="0.25697902360546598"/>
    <x v="1"/>
  </r>
  <r>
    <s v="ORD-2023-126505"/>
    <d v="2023-12-19T00:00:00"/>
    <s v="Q4-2023"/>
    <d v="2024-01-01T00:00:00"/>
    <n v="13"/>
    <s v="Americas"/>
    <x v="3"/>
    <s v="Toronto"/>
    <s v="Enterprise"/>
    <s v="Retail"/>
    <s v="K. Singh"/>
    <x v="5"/>
    <s v="MON-6065"/>
    <n v="856.1"/>
    <n v="901.48"/>
    <s v="High"/>
    <n v="5.6000000000000001E-2"/>
    <n v="17"/>
    <n v="14466.95104"/>
    <n v="14553.7"/>
    <n v="-86.748960000000807"/>
    <n v="-5.9963540182134192E-3"/>
    <x v="0"/>
  </r>
  <r>
    <s v="ORD-2023-340056"/>
    <d v="2023-04-26T00:00:00"/>
    <s v="Q2-2023"/>
    <d v="2023-04-26T00:00:00"/>
    <n v="0"/>
    <s v="Europe"/>
    <x v="7"/>
    <s v="Marseille"/>
    <s v="Consumer"/>
    <s v="Direct"/>
    <s v="M. Rossi"/>
    <x v="0"/>
    <s v="CMP-4945"/>
    <n v="81.489999999999995"/>
    <n v="113.08"/>
    <s v="High"/>
    <n v="0.121"/>
    <n v="5"/>
    <n v="496.98660000000001"/>
    <n v="407.45"/>
    <n v="89.536600000000021"/>
    <n v="0.18015898215364362"/>
    <x v="1"/>
  </r>
  <r>
    <s v="ORD-2025-281413"/>
    <d v="2025-08-03T00:00:00"/>
    <s v="Q3-2025"/>
    <d v="2025-08-16T00:00:00"/>
    <n v="13"/>
    <s v="Americas"/>
    <x v="3"/>
    <s v="Montreal"/>
    <s v="Enterprise"/>
    <s v="Distributor"/>
    <s v="O. Wang"/>
    <x v="2"/>
    <s v="NET-3785"/>
    <n v="698.66"/>
    <n v="868.62"/>
    <s v="High"/>
    <n v="7.1999999999999995E-2"/>
    <n v="15"/>
    <n v="12091.190399999999"/>
    <n v="10479.9"/>
    <n v="1611.2903999999999"/>
    <n v="0.13326151906432637"/>
    <x v="0"/>
  </r>
  <r>
    <s v="ORD-2023-713614"/>
    <d v="2023-08-02T00:00:00"/>
    <s v="Q3-2023"/>
    <d v="2023-08-19T00:00:00"/>
    <n v="17"/>
    <s v="Americas"/>
    <x v="3"/>
    <s v="Vancouver"/>
    <s v="Corporate"/>
    <s v="Online"/>
    <s v="F. Müller"/>
    <x v="2"/>
    <s v="NET-3689"/>
    <n v="175.38"/>
    <n v="347.9"/>
    <s v="High"/>
    <n v="7.1999999999999995E-2"/>
    <n v="43"/>
    <n v="13882.6016"/>
    <n v="7541.34"/>
    <n v="6341.2615999999998"/>
    <n v="0.45677761148169804"/>
    <x v="0"/>
  </r>
  <r>
    <s v="ORD-2023-173313"/>
    <d v="2023-06-15T00:00:00"/>
    <s v="Q2-2023"/>
    <d v="2023-07-12T00:00:00"/>
    <n v="27"/>
    <s v="Europe"/>
    <x v="8"/>
    <s v="Manchester"/>
    <s v="Consumer"/>
    <s v="Direct"/>
    <s v="I. Johnson"/>
    <x v="6"/>
    <s v="ACC-3833"/>
    <n v="751.28"/>
    <n v="1111.8800000000001"/>
    <s v="High"/>
    <n v="0.13500000000000001"/>
    <n v="7"/>
    <n v="6732.4334000000008"/>
    <n v="5258.96"/>
    <n v="1473.4734000000008"/>
    <n v="0.21886193482433863"/>
    <x v="0"/>
  </r>
  <r>
    <s v="ORD-2024-496601"/>
    <d v="2024-11-11T00:00:00"/>
    <s v="Q4-2024"/>
    <d v="2024-11-24T00:00:00"/>
    <n v="13"/>
    <s v="Europe"/>
    <x v="8"/>
    <s v="London"/>
    <s v="Corporate"/>
    <s v="Retail"/>
    <s v="E. Garcia"/>
    <x v="2"/>
    <s v="NET-2932"/>
    <n v="164.53"/>
    <n v="327.72"/>
    <s v="High"/>
    <n v="6.7000000000000004E-2"/>
    <n v="14"/>
    <n v="4280.6786400000001"/>
    <n v="2303.42"/>
    <n v="1977.25864"/>
    <n v="0.46190307805960412"/>
    <x v="0"/>
  </r>
  <r>
    <s v="ORD-2025-155182"/>
    <d v="2025-07-11T00:00:00"/>
    <s v="Q3-2025"/>
    <d v="2025-08-03T00:00:00"/>
    <n v="23"/>
    <s v="Africa"/>
    <x v="0"/>
    <s v="Nakuru"/>
    <s v="Small Business"/>
    <s v="Retail"/>
    <s v="C. Otieno"/>
    <x v="3"/>
    <s v="PHN-7636"/>
    <n v="389.93"/>
    <n v="486.13"/>
    <s v="High"/>
    <n v="0.13200000000000001"/>
    <n v="17"/>
    <n v="7173.3342799999991"/>
    <n v="6628.81"/>
    <n v="544.52427999999873"/>
    <n v="7.5909508569562828E-2"/>
    <x v="0"/>
  </r>
  <r>
    <s v="ORD-2023-244375"/>
    <d v="2023-06-03T00:00:00"/>
    <s v="Q2-2023"/>
    <d v="2023-07-01T00:00:00"/>
    <n v="28"/>
    <s v="Americas"/>
    <x v="5"/>
    <s v="Brasília"/>
    <s v="Small Business"/>
    <s v="Marketplace"/>
    <s v="A. Patel"/>
    <x v="0"/>
    <s v="CMP-1223"/>
    <n v="860.4"/>
    <n v="2066.6"/>
    <s v="High"/>
    <n v="0.01"/>
    <n v="3"/>
    <n v="6137.8019999999988"/>
    <n v="2581.1999999999998"/>
    <n v="3556.601999999999"/>
    <n v="0.57945857491004105"/>
    <x v="0"/>
  </r>
  <r>
    <s v="ORD-2023-856322"/>
    <d v="2023-01-29T00:00:00"/>
    <s v="Q1-2023"/>
    <d v="2023-02-06T00:00:00"/>
    <n v="8"/>
    <s v="Americas"/>
    <x v="5"/>
    <s v="Brasília"/>
    <s v="Corporate"/>
    <s v="Marketplace"/>
    <s v="D. Smith"/>
    <x v="5"/>
    <s v="MON-7207"/>
    <n v="41.84"/>
    <n v="86.2"/>
    <s v="High"/>
    <n v="0.22600000000000001"/>
    <n v="27"/>
    <n v="1801.4076000000002"/>
    <n v="1129.68"/>
    <n v="671.72760000000017"/>
    <n v="0.37289039970742882"/>
    <x v="0"/>
  </r>
  <r>
    <s v="ORD-2024-594527"/>
    <d v="2024-09-06T00:00:00"/>
    <s v="Q3-2024"/>
    <d v="2024-09-13T00:00:00"/>
    <n v="7"/>
    <s v="Asia"/>
    <x v="2"/>
    <s v="Osaka"/>
    <s v="Corporate"/>
    <s v="Direct"/>
    <s v="A. Patel"/>
    <x v="4"/>
    <s v="LAP-4483"/>
    <n v="1368.17"/>
    <n v="2307.75"/>
    <s v="High"/>
    <n v="0.16300000000000001"/>
    <n v="21"/>
    <n v="40563.321749999996"/>
    <n v="28731.57"/>
    <n v="11831.751749999996"/>
    <n v="0.29168596750831921"/>
    <x v="1"/>
  </r>
  <r>
    <s v="ORD-2024-689872"/>
    <d v="2024-08-03T00:00:00"/>
    <s v="Q3-2024"/>
    <d v="2024-08-09T00:00:00"/>
    <n v="6"/>
    <s v="Africa"/>
    <x v="0"/>
    <s v="Mombasa"/>
    <s v="Consumer"/>
    <s v="Marketplace"/>
    <s v="H. Kim"/>
    <x v="4"/>
    <s v="LAP-1969"/>
    <n v="643.21"/>
    <n v="1112.81"/>
    <s v="High"/>
    <n v="0.14099999999999999"/>
    <n v="4"/>
    <n v="3823.6151599999998"/>
    <n v="2572.84"/>
    <n v="1250.7751599999997"/>
    <n v="0.32711847496702562"/>
    <x v="1"/>
  </r>
  <r>
    <s v="ORD-2025-246692"/>
    <d v="2025-04-17T00:00:00"/>
    <s v="Q2-2025"/>
    <d v="2025-04-17T00:00:00"/>
    <n v="0"/>
    <s v="Americas"/>
    <x v="5"/>
    <s v="São Paulo"/>
    <s v="Corporate"/>
    <s v="Distributor"/>
    <s v="L. Okafor"/>
    <x v="3"/>
    <s v="PHN-4566"/>
    <n v="719.41"/>
    <n v="1125.99"/>
    <s v="High"/>
    <n v="4.1000000000000002E-2"/>
    <n v="21"/>
    <n v="22676.312610000001"/>
    <n v="15107.609999999999"/>
    <n v="7568.7026100000021"/>
    <n v="0.33377131194876403"/>
    <x v="1"/>
  </r>
  <r>
    <s v="ORD-2023-378676"/>
    <d v="2023-05-03T00:00:00"/>
    <s v="Q2-2023"/>
    <d v="2023-05-16T00:00:00"/>
    <n v="13"/>
    <s v="Americas"/>
    <x v="10"/>
    <s v="New York"/>
    <s v="Corporate"/>
    <s v="Marketplace"/>
    <s v="L. Okafor"/>
    <x v="3"/>
    <s v="PHN-5366"/>
    <n v="64.5"/>
    <n v="123.62"/>
    <s v="High"/>
    <n v="0"/>
    <n v="3"/>
    <n v="370.86"/>
    <n v="193.5"/>
    <n v="177.36"/>
    <n v="0.47823976702798904"/>
    <x v="0"/>
  </r>
  <r>
    <s v="ORD-2024-243988"/>
    <d v="2024-03-13T00:00:00"/>
    <s v="Q1-2024"/>
    <d v="2024-04-06T00:00:00"/>
    <n v="24"/>
    <s v="Africa"/>
    <x v="1"/>
    <s v="Abuja"/>
    <s v="Consumer"/>
    <s v="Distributor"/>
    <s v="L. Okafor"/>
    <x v="0"/>
    <s v="CMP-9001"/>
    <n v="1232.78"/>
    <n v="1731.75"/>
    <s v="High"/>
    <n v="9.2999999999999999E-2"/>
    <n v="16"/>
    <n v="25131.155999999999"/>
    <n v="19724.48"/>
    <n v="5406.6759999999995"/>
    <n v="0.21513837246484005"/>
    <x v="0"/>
  </r>
  <r>
    <s v="ORD-2024-572312"/>
    <d v="2024-06-16T00:00:00"/>
    <s v="Q2-2024"/>
    <d v="2024-06-21T00:00:00"/>
    <n v="5"/>
    <s v="Asia"/>
    <x v="2"/>
    <s v="Tokyo"/>
    <s v="Small Business"/>
    <s v="Distributor"/>
    <s v="F. Müller"/>
    <x v="3"/>
    <s v="PHN-9677"/>
    <n v="1367.13"/>
    <n v="3062.01"/>
    <s v="High"/>
    <n v="0.10299999999999999"/>
    <n v="25"/>
    <n v="68665.574250000005"/>
    <n v="34178.25"/>
    <n v="34487.324250000005"/>
    <n v="0.50225057645971705"/>
    <x v="1"/>
  </r>
  <r>
    <s v="ORD-2025-281062"/>
    <d v="2025-02-15T00:00:00"/>
    <s v="Q1-2025"/>
    <d v="2025-02-27T00:00:00"/>
    <n v="12"/>
    <s v="Europe"/>
    <x v="7"/>
    <s v="Lyon"/>
    <s v="Non-Profit"/>
    <s v="Direct"/>
    <s v="K. Singh"/>
    <x v="6"/>
    <s v="ACC-1604"/>
    <n v="1027.26"/>
    <n v="2200.41"/>
    <s v="High"/>
    <n v="8.7999999999999995E-2"/>
    <n v="6"/>
    <n v="12040.64352"/>
    <n v="6163.5599999999995"/>
    <n v="5877.0835200000001"/>
    <n v="0.48810377204822358"/>
    <x v="0"/>
  </r>
  <r>
    <s v="ORD-2023-727290"/>
    <d v="2023-04-03T00:00:00"/>
    <s v="Q2-2023"/>
    <d v="2023-04-16T00:00:00"/>
    <n v="13"/>
    <s v="Europe"/>
    <x v="7"/>
    <s v="Marseille"/>
    <s v="Non-Profit"/>
    <s v="Marketplace"/>
    <s v="M. Rossi"/>
    <x v="6"/>
    <s v="ACC-4815"/>
    <n v="790.54"/>
    <n v="601.49"/>
    <s v="High"/>
    <n v="0"/>
    <n v="15"/>
    <n v="9022.35"/>
    <n v="11858.099999999999"/>
    <n v="-2835.7499999999982"/>
    <n v="-0.31430281467688553"/>
    <x v="0"/>
  </r>
  <r>
    <s v="ORD-2025-993993"/>
    <d v="2025-08-30T00:00:00"/>
    <s v="Q3-2025"/>
    <d v="2025-09-22T00:00:00"/>
    <n v="23"/>
    <s v="Europe"/>
    <x v="7"/>
    <s v="Marseille"/>
    <s v="Corporate"/>
    <s v="Direct"/>
    <s v="E. Garcia"/>
    <x v="0"/>
    <s v="CMP-5311"/>
    <n v="663.9"/>
    <n v="947.77"/>
    <s v="High"/>
    <n v="0.17399999999999999"/>
    <n v="15"/>
    <n v="11742.8703"/>
    <n v="9958.5"/>
    <n v="1784.3703000000005"/>
    <n v="0.1519535049280073"/>
    <x v="0"/>
  </r>
  <r>
    <s v="ORD-2023-619493"/>
    <d v="2023-02-27T00:00:00"/>
    <s v="Q1-2023"/>
    <d v="2023-03-06T00:00:00"/>
    <n v="7"/>
    <s v="Americas"/>
    <x v="10"/>
    <s v="San Francisco"/>
    <s v="Non-Profit"/>
    <s v="Online"/>
    <s v="L. Okafor"/>
    <x v="2"/>
    <s v="NET-1282"/>
    <n v="1015.91"/>
    <n v="2331.48"/>
    <s v="High"/>
    <n v="0.14599999999999999"/>
    <n v="26"/>
    <n v="51768.181920000003"/>
    <n v="26413.66"/>
    <n v="25354.521920000003"/>
    <n v="0.48977037592669626"/>
    <x v="1"/>
  </r>
  <r>
    <s v="ORD-2024-947056"/>
    <d v="2024-07-31T00:00:00"/>
    <s v="Q3-2024"/>
    <d v="2024-08-15T00:00:00"/>
    <n v="15"/>
    <s v="Asia"/>
    <x v="2"/>
    <s v="Tokyo"/>
    <s v="Corporate"/>
    <s v="Marketplace"/>
    <s v="F. Müller"/>
    <x v="5"/>
    <s v="MON-1564"/>
    <n v="1252.52"/>
    <n v="1417.24"/>
    <s v="High"/>
    <n v="0.192"/>
    <n v="5"/>
    <n v="5725.6496000000006"/>
    <n v="6262.6"/>
    <n v="-536.95039999999972"/>
    <n v="-9.3779821943696953E-2"/>
    <x v="0"/>
  </r>
  <r>
    <s v="ORD-2025-856556"/>
    <d v="2025-06-15T00:00:00"/>
    <s v="Q2-2025"/>
    <d v="2025-07-12T00:00:00"/>
    <n v="27"/>
    <s v="Europe"/>
    <x v="7"/>
    <s v="Marseille"/>
    <s v="Consumer"/>
    <s v="Direct"/>
    <s v="C. Otieno"/>
    <x v="6"/>
    <s v="ACC-7906"/>
    <n v="318.83"/>
    <n v="699.5"/>
    <s v="High"/>
    <n v="0.08"/>
    <n v="13"/>
    <n v="8366.02"/>
    <n v="4144.79"/>
    <n v="4221.2300000000005"/>
    <n v="0.50456848059172699"/>
    <x v="0"/>
  </r>
  <r>
    <s v="ORD-2024-442776"/>
    <d v="2024-06-30T00:00:00"/>
    <s v="Q2-2024"/>
    <d v="2024-07-21T00:00:00"/>
    <n v="21"/>
    <s v="Africa"/>
    <x v="0"/>
    <s v="Kisumu"/>
    <s v="Small Business"/>
    <s v="Retail"/>
    <s v="K. Singh"/>
    <x v="4"/>
    <s v="LAP-6577"/>
    <n v="753.43"/>
    <n v="1787.2"/>
    <s v="High"/>
    <n v="7.2999999999999995E-2"/>
    <n v="9"/>
    <n v="14910.609600000002"/>
    <n v="6780.87"/>
    <n v="8129.7396000000017"/>
    <n v="0.54523187301476939"/>
    <x v="0"/>
  </r>
  <r>
    <s v="ORD-2025-705398"/>
    <d v="2025-02-17T00:00:00"/>
    <s v="Q1-2025"/>
    <d v="2025-02-24T00:00:00"/>
    <n v="7"/>
    <s v="Americas"/>
    <x v="3"/>
    <s v="Toronto"/>
    <s v="Small Business"/>
    <s v="Retail"/>
    <s v="D. Smith"/>
    <x v="0"/>
    <s v="CMP-5065"/>
    <n v="1133.47"/>
    <n v="1698.75"/>
    <s v="High"/>
    <n v="4.2999999999999997E-2"/>
    <n v="5"/>
    <n v="8128.5187499999993"/>
    <n v="5667.35"/>
    <n v="2461.1687499999989"/>
    <n v="0.30278194904821976"/>
    <x v="1"/>
  </r>
  <r>
    <s v="ORD-2023-689428"/>
    <d v="2023-01-07T00:00:00"/>
    <s v="Q1-2023"/>
    <d v="2023-01-30T00:00:00"/>
    <n v="23"/>
    <s v="Africa"/>
    <x v="11"/>
    <s v="Cape Town"/>
    <s v="Consumer"/>
    <s v="Online"/>
    <s v="A. Patel"/>
    <x v="1"/>
    <s v="PRN-4787"/>
    <n v="299.02"/>
    <n v="724.7"/>
    <s v="High"/>
    <n v="0.14000000000000001"/>
    <n v="5"/>
    <n v="3116.21"/>
    <n v="1495.1"/>
    <n v="1621.1100000000001"/>
    <n v="0.52021847051386139"/>
    <x v="0"/>
  </r>
  <r>
    <s v="ORD-2025-683247"/>
    <d v="2025-03-10T00:00:00"/>
    <s v="Q1-2025"/>
    <d v="2025-04-04T00:00:00"/>
    <n v="25"/>
    <s v="Asia"/>
    <x v="2"/>
    <s v="Osaka"/>
    <s v="Corporate"/>
    <s v="Direct"/>
    <s v="H. Kim"/>
    <x v="1"/>
    <s v="PRN-9867"/>
    <n v="783.72"/>
    <n v="1355.94"/>
    <s v="High"/>
    <n v="0.187"/>
    <n v="4"/>
    <n v="4409.5168800000001"/>
    <n v="3134.88"/>
    <n v="1274.63688"/>
    <n v="0.28906497348525856"/>
    <x v="0"/>
  </r>
  <r>
    <s v="ORD-2024-585443"/>
    <d v="2024-08-17T00:00:00"/>
    <s v="Q3-2024"/>
    <d v="2024-08-24T00:00:00"/>
    <n v="7"/>
    <s v="Americas"/>
    <x v="5"/>
    <s v="Rio de Janeiro"/>
    <s v="Consumer"/>
    <s v="Direct"/>
    <s v="M. Rossi"/>
    <x v="5"/>
    <s v="MON-2849"/>
    <n v="165.3"/>
    <n v="275.07"/>
    <s v="High"/>
    <n v="0.13300000000000001"/>
    <n v="25"/>
    <n v="5962.1422499999999"/>
    <n v="4132.5"/>
    <n v="1829.6422499999999"/>
    <n v="0.30687665159280625"/>
    <x v="1"/>
  </r>
  <r>
    <s v="ORD-2024-907733"/>
    <d v="2024-03-09T00:00:00"/>
    <s v="Q1-2024"/>
    <d v="2024-03-22T00:00:00"/>
    <n v="13"/>
    <s v="Europe"/>
    <x v="8"/>
    <s v="Manchester"/>
    <s v="Consumer"/>
    <s v="Online"/>
    <s v="E. Garcia"/>
    <x v="4"/>
    <s v="LAP-8633"/>
    <n v="985.45"/>
    <n v="1802.44"/>
    <s v="High"/>
    <n v="8.9999999999999993E-3"/>
    <n v="19"/>
    <n v="33938.142760000002"/>
    <n v="18723.55"/>
    <n v="15214.592760000003"/>
    <n v="0.44830363486867486"/>
    <x v="0"/>
  </r>
  <r>
    <s v="ORD-2024-550400"/>
    <d v="2024-08-19T00:00:00"/>
    <s v="Q3-2024"/>
    <d v="2024-09-02T00:00:00"/>
    <n v="14"/>
    <s v="Americas"/>
    <x v="3"/>
    <s v="Toronto"/>
    <s v="Consumer"/>
    <s v="Distributor"/>
    <s v="C. Otieno"/>
    <x v="1"/>
    <s v="PRN-9793"/>
    <n v="1337.01"/>
    <n v="1269.78"/>
    <s v="High"/>
    <n v="0.16"/>
    <n v="7"/>
    <n v="7466.3063999999986"/>
    <n v="9359.07"/>
    <n v="-1892.7636000000011"/>
    <n v="-0.25350735672996244"/>
    <x v="0"/>
  </r>
  <r>
    <s v="ORD-2025-189846"/>
    <d v="2025-08-11T00:00:00"/>
    <s v="Q3-2025"/>
    <d v="2025-08-28T00:00:00"/>
    <n v="17"/>
    <s v="Europe"/>
    <x v="7"/>
    <s v="Paris"/>
    <s v="Education"/>
    <s v="Online"/>
    <s v="F. Müller"/>
    <x v="2"/>
    <s v="NET-6218"/>
    <n v="416.16"/>
    <n v="571.9"/>
    <s v="High"/>
    <n v="7.0999999999999994E-2"/>
    <n v="2"/>
    <n v="1062.5902000000001"/>
    <n v="832.32"/>
    <n v="230.27020000000005"/>
    <n v="0.21670649701079497"/>
    <x v="0"/>
  </r>
  <r>
    <s v="ORD-2025-752192"/>
    <d v="2025-05-16T00:00:00"/>
    <s v="Q2-2025"/>
    <d v="2025-05-18T00:00:00"/>
    <n v="2"/>
    <s v="Asia"/>
    <x v="2"/>
    <s v="Tokyo"/>
    <s v="Enterprise"/>
    <s v="Retail"/>
    <s v="J. Njeri"/>
    <x v="1"/>
    <s v="PRN-6131"/>
    <n v="1144.3800000000001"/>
    <n v="2755.04"/>
    <s v="High"/>
    <n v="0.15"/>
    <n v="17"/>
    <n v="39810.328000000001"/>
    <n v="19454.460000000003"/>
    <n v="20355.867999999999"/>
    <n v="0.51132128326096682"/>
    <x v="1"/>
  </r>
  <r>
    <s v="ORD-2023-294716"/>
    <d v="2023-04-10T00:00:00"/>
    <s v="Q2-2023"/>
    <d v="2023-04-25T00:00:00"/>
    <n v="15"/>
    <s v="Europe"/>
    <x v="8"/>
    <s v="London"/>
    <s v="Small Business"/>
    <s v="Retail"/>
    <s v="D. Smith"/>
    <x v="1"/>
    <s v="PRN-5067"/>
    <n v="405.66"/>
    <n v="962.51"/>
    <s v="High"/>
    <n v="0.19"/>
    <n v="7"/>
    <n v="5457.4317000000001"/>
    <n v="2839.6200000000003"/>
    <n v="2617.8116999999997"/>
    <n v="0.47967832561239376"/>
    <x v="0"/>
  </r>
  <r>
    <s v="ORD-2023-552115"/>
    <d v="2023-09-17T00:00:00"/>
    <s v="Q3-2023"/>
    <d v="2023-10-02T00:00:00"/>
    <n v="15"/>
    <s v="Americas"/>
    <x v="5"/>
    <s v="Rio de Janeiro"/>
    <s v="Small Business"/>
    <s v="Retail"/>
    <s v="B. Chen"/>
    <x v="4"/>
    <s v="LAP-4932"/>
    <n v="689.33"/>
    <n v="668.27"/>
    <s v="High"/>
    <n v="0.186"/>
    <n v="13"/>
    <n v="7071.6331400000008"/>
    <n v="8961.2900000000009"/>
    <n v="-1889.6568600000001"/>
    <n v="-0.26721647214861033"/>
    <x v="0"/>
  </r>
  <r>
    <s v="ORD-2023-107265"/>
    <d v="2023-04-22T00:00:00"/>
    <s v="Q2-2023"/>
    <d v="2023-05-14T00:00:00"/>
    <n v="22"/>
    <s v="Asia"/>
    <x v="2"/>
    <s v="Nagoya"/>
    <s v="Enterprise"/>
    <s v="Retail"/>
    <s v="A. Patel"/>
    <x v="6"/>
    <s v="ACC-7713"/>
    <n v="1209.22"/>
    <n v="1404.33"/>
    <s v="High"/>
    <n v="0.10299999999999999"/>
    <n v="11"/>
    <n v="13856.52411"/>
    <n v="13301.42"/>
    <n v="555.10411000000022"/>
    <n v="4.0060848275751328E-2"/>
    <x v="0"/>
  </r>
  <r>
    <s v="ORD-2025-262434"/>
    <d v="2025-06-19T00:00:00"/>
    <s v="Q2-2025"/>
    <d v="2025-06-21T00:00:00"/>
    <n v="2"/>
    <s v="Africa"/>
    <x v="11"/>
    <s v="Johannesburg"/>
    <s v="Small Business"/>
    <s v="Unknown"/>
    <s v="H. Kim"/>
    <x v="3"/>
    <s v="PHN-7379"/>
    <n v="1466.27"/>
    <n v="3589.89"/>
    <s v="High"/>
    <n v="9.7000000000000003E-2"/>
    <n v="9"/>
    <n v="29175.036029999999"/>
    <n v="13196.43"/>
    <n v="15978.606029999999"/>
    <n v="0.54768076425234147"/>
    <x v="1"/>
  </r>
  <r>
    <s v="ORD-2024-266562"/>
    <d v="2024-11-27T00:00:00"/>
    <s v="Q4-2024"/>
    <d v="2024-12-24T00:00:00"/>
    <n v="27"/>
    <s v="Africa"/>
    <x v="0"/>
    <s v="Mombasa"/>
    <s v="Corporate"/>
    <s v="Distributor"/>
    <s v="B. Chen"/>
    <x v="1"/>
    <s v="PRN-5569"/>
    <n v="143.33000000000001"/>
    <n v="233.51"/>
    <s v="High"/>
    <n v="0.16300000000000001"/>
    <n v="14"/>
    <n v="2736.27018"/>
    <n v="2006.6200000000001"/>
    <n v="729.65017999999986"/>
    <n v="0.26665867476580835"/>
    <x v="0"/>
  </r>
  <r>
    <s v="ORD-2024-838925"/>
    <d v="2024-01-28T00:00:00"/>
    <s v="Q1-2024"/>
    <d v="2024-02-04T00:00:00"/>
    <n v="7"/>
    <s v="Africa"/>
    <x v="11"/>
    <s v="Cape Town"/>
    <s v="Enterprise"/>
    <s v="Direct"/>
    <s v="O. Wang"/>
    <x v="0"/>
    <s v="CMP-1470"/>
    <n v="109.75"/>
    <n v="124.25"/>
    <s v="High"/>
    <n v="0.12"/>
    <n v="19"/>
    <n v="2077.46"/>
    <n v="2085.25"/>
    <n v="-7.7899999999999636"/>
    <n v="-3.7497713554051405E-3"/>
    <x v="1"/>
  </r>
  <r>
    <s v="ORD-2023-664790"/>
    <d v="2023-04-16T00:00:00"/>
    <s v="Q2-2023"/>
    <d v="2023-04-23T00:00:00"/>
    <n v="7"/>
    <s v="Americas"/>
    <x v="10"/>
    <s v="Austin"/>
    <s v="Corporate"/>
    <s v="Distributor"/>
    <s v="O. Wang"/>
    <x v="1"/>
    <s v="PRN-9249"/>
    <n v="1099.1500000000001"/>
    <n v="1431.37"/>
    <s v="High"/>
    <n v="0.104"/>
    <n v="8"/>
    <n v="10260.060159999999"/>
    <n v="8793.2000000000007"/>
    <n v="1466.8601599999984"/>
    <n v="0.14296798821109433"/>
    <x v="1"/>
  </r>
  <r>
    <s v="ORD-2024-331408"/>
    <d v="2024-02-01T00:00:00"/>
    <s v="Q1-2024"/>
    <d v="2024-02-01T00:00:00"/>
    <n v="0"/>
    <s v="Americas"/>
    <x v="10"/>
    <s v="Austin"/>
    <s v="Consumer"/>
    <s v="Distributor"/>
    <s v="H. Kim"/>
    <x v="1"/>
    <s v="PRN-4906"/>
    <n v="714.43"/>
    <n v="1595.52"/>
    <s v="High"/>
    <n v="0.19400000000000001"/>
    <n v="14"/>
    <n v="18003.847679999999"/>
    <n v="10002.019999999999"/>
    <n v="8001.8276800000003"/>
    <n v="0.44445097638151093"/>
    <x v="1"/>
  </r>
  <r>
    <s v="ORD-2024-741404"/>
    <d v="2024-10-19T00:00:00"/>
    <s v="Q4-2024"/>
    <d v="2024-11-06T00:00:00"/>
    <n v="18"/>
    <s v="Americas"/>
    <x v="10"/>
    <s v="Chicago"/>
    <s v="Education"/>
    <s v="Unknown"/>
    <s v="C. Otieno"/>
    <x v="5"/>
    <s v="MON-8129"/>
    <n v="942.02"/>
    <n v="1028.46"/>
    <s v="High"/>
    <n v="0"/>
    <n v="9"/>
    <n v="9256.14"/>
    <n v="8478.18"/>
    <n v="777.95999999999913"/>
    <n v="8.4047994088248354E-2"/>
    <x v="0"/>
  </r>
  <r>
    <s v="ORD-2024-341535"/>
    <d v="2024-06-25T00:00:00"/>
    <s v="Q2-2024"/>
    <d v="2024-06-30T00:00:00"/>
    <n v="5"/>
    <s v="Africa"/>
    <x v="0"/>
    <s v="Kisumu"/>
    <s v="Education"/>
    <s v="Direct"/>
    <s v="M. Rossi"/>
    <x v="2"/>
    <s v="NET-5987"/>
    <n v="1323.55"/>
    <n v="3230.35"/>
    <s v="High"/>
    <n v="2.1999999999999999E-2"/>
    <n v="26"/>
    <n v="82141.339799999987"/>
    <n v="34412.299999999996"/>
    <n v="47729.039799999991"/>
    <n v="0.58105991351263542"/>
    <x v="1"/>
  </r>
  <r>
    <s v="ORD-2023-451931"/>
    <d v="2023-07-30T00:00:00"/>
    <s v="Q3-2023"/>
    <d v="2023-08-19T00:00:00"/>
    <n v="20"/>
    <s v="Europe"/>
    <x v="7"/>
    <s v="Paris"/>
    <s v="Enterprise"/>
    <s v="Marketplace"/>
    <s v="G. Dubois"/>
    <x v="2"/>
    <s v="NET-5423"/>
    <n v="1418.51"/>
    <n v="2789.61"/>
    <s v="High"/>
    <n v="0.17100000000000001"/>
    <n v="8"/>
    <n v="18500.693520000001"/>
    <n v="11348.08"/>
    <n v="7152.6135200000008"/>
    <n v="0.38661326464695689"/>
    <x v="0"/>
  </r>
  <r>
    <s v="ORD-2025-532859"/>
    <d v="2025-03-11T00:00:00"/>
    <s v="Q1-2025"/>
    <d v="2025-03-27T00:00:00"/>
    <n v="16"/>
    <s v="Asia"/>
    <x v="2"/>
    <s v="Tokyo"/>
    <s v="Enterprise"/>
    <s v="Distributor"/>
    <s v="B. Chen"/>
    <x v="1"/>
    <s v="PRN-5264"/>
    <n v="1317.58"/>
    <n v="1897.74"/>
    <s v="High"/>
    <n v="8.1000000000000003E-2"/>
    <n v="6"/>
    <n v="10464.138360000001"/>
    <n v="7905.48"/>
    <n v="2558.6583600000013"/>
    <n v="0.24451687009230266"/>
    <x v="0"/>
  </r>
  <r>
    <s v="ORD-2023-502205"/>
    <d v="2023-10-09T00:00:00"/>
    <s v="Q4-2023"/>
    <d v="2023-10-11T00:00:00"/>
    <n v="2"/>
    <s v="Africa"/>
    <x v="1"/>
    <s v="Port Harcourt"/>
    <s v="Education"/>
    <s v="Marketplace"/>
    <s v="K. Singh"/>
    <x v="2"/>
    <s v="NET-8856"/>
    <n v="391.16"/>
    <n v="902.47"/>
    <s v="High"/>
    <n v="4.0000000000000001E-3"/>
    <n v="12"/>
    <n v="10786.32144"/>
    <n v="4693.92"/>
    <n v="6092.4014399999996"/>
    <n v="0.56482661618139207"/>
    <x v="1"/>
  </r>
  <r>
    <s v="ORD-2024-930679"/>
    <d v="2024-12-17T00:00:00"/>
    <s v="Q4-2024"/>
    <d v="2025-01-16T00:00:00"/>
    <n v="30"/>
    <s v="Europe"/>
    <x v="8"/>
    <s v="Manchester"/>
    <s v="Corporate"/>
    <s v="Retail"/>
    <s v="D. Smith"/>
    <x v="5"/>
    <s v="MON-4215"/>
    <n v="722.87"/>
    <n v="33.659999999999997"/>
    <s v="High"/>
    <n v="0.10199999999999999"/>
    <n v="28"/>
    <n v="846.34703999999988"/>
    <n v="20240.36"/>
    <n v="-19394.01296"/>
    <n v="-22.914965189693348"/>
    <x v="0"/>
  </r>
  <r>
    <s v="ORD-2025-150713"/>
    <d v="2025-07-11T00:00:00"/>
    <s v="Q3-2025"/>
    <d v="2025-07-16T00:00:00"/>
    <n v="5"/>
    <s v="Europe"/>
    <x v="8"/>
    <s v="London"/>
    <s v="Enterprise"/>
    <s v="Online"/>
    <s v="K. Singh"/>
    <x v="1"/>
    <s v="PRN-5753"/>
    <n v="930.03"/>
    <n v="1086.68"/>
    <s v="High"/>
    <n v="0.109"/>
    <n v="26"/>
    <n v="25174.028880000002"/>
    <n v="24180.78"/>
    <n v="993.24888000000283"/>
    <n v="3.9455300728168656E-2"/>
    <x v="1"/>
  </r>
  <r>
    <s v="ORD-2024-756884"/>
    <d v="2024-10-13T00:00:00"/>
    <s v="Q4-2024"/>
    <d v="2024-10-24T00:00:00"/>
    <n v="11"/>
    <s v="Europe"/>
    <x v="7"/>
    <s v="Paris"/>
    <s v="Education"/>
    <s v="Distributor"/>
    <s v="F. Müller"/>
    <x v="0"/>
    <s v="CMP-5006"/>
    <n v="816.7"/>
    <n v="1010.75"/>
    <s v="High"/>
    <n v="4.7E-2"/>
    <n v="43"/>
    <n v="41419.524249999995"/>
    <n v="35118.1"/>
    <n v="6301.4242499999964"/>
    <n v="0.15213656757537472"/>
    <x v="0"/>
  </r>
  <r>
    <s v="ORD-2023-755337"/>
    <d v="2023-09-08T00:00:00"/>
    <s v="Q3-2023"/>
    <d v="2023-09-14T00:00:00"/>
    <n v="6"/>
    <s v="Africa"/>
    <x v="0"/>
    <s v="Nakuru"/>
    <s v="Education"/>
    <s v="Direct"/>
    <s v="I. Johnson"/>
    <x v="6"/>
    <s v="ACC-4766"/>
    <n v="251.03"/>
    <n v="411.48"/>
    <s v="High"/>
    <n v="0.16500000000000001"/>
    <n v="3"/>
    <n v="1030.7574"/>
    <n v="753.09"/>
    <n v="277.66739999999993"/>
    <n v="0.26938191275658069"/>
    <x v="1"/>
  </r>
  <r>
    <s v="ORD-2025-907040"/>
    <d v="2025-04-17T00:00:00"/>
    <s v="Q2-2025"/>
    <d v="2025-05-03T00:00:00"/>
    <n v="16"/>
    <s v="Americas"/>
    <x v="5"/>
    <s v="Rio de Janeiro"/>
    <s v="Consumer"/>
    <s v="Marketplace"/>
    <s v="J. Njeri"/>
    <x v="2"/>
    <s v="NET-8610"/>
    <n v="168.68"/>
    <n v="413.34"/>
    <s v="High"/>
    <n v="0.186"/>
    <n v="7"/>
    <n v="2355.2113199999999"/>
    <n v="1180.76"/>
    <n v="1174.4513199999999"/>
    <n v="0.49866069767361682"/>
    <x v="0"/>
  </r>
  <r>
    <s v="ORD-2024-817997"/>
    <d v="2024-07-28T00:00:00"/>
    <s v="Q3-2024"/>
    <d v="2024-08-23T00:00:00"/>
    <n v="26"/>
    <s v="Asia"/>
    <x v="4"/>
    <s v="Hyderabad"/>
    <s v="Corporate"/>
    <s v="Retail"/>
    <s v="J. Njeri"/>
    <x v="2"/>
    <s v="NET-4675"/>
    <n v="1339.24"/>
    <n v="1558.89"/>
    <s v="High"/>
    <n v="0.192"/>
    <n v="24"/>
    <n v="30229.994880000002"/>
    <n v="32141.760000000002"/>
    <n v="-1911.76512"/>
    <n v="-6.3240669659021781E-2"/>
    <x v="0"/>
  </r>
  <r>
    <s v="ORD-2025-649633"/>
    <d v="2025-07-19T00:00:00"/>
    <s v="Q3-2025"/>
    <d v="2025-07-31T00:00:00"/>
    <n v="12"/>
    <s v="Africa"/>
    <x v="0"/>
    <s v="Nairobi"/>
    <s v="Small Business"/>
    <s v="Marketplace"/>
    <s v="O. Wang"/>
    <x v="6"/>
    <s v="ACC-1028"/>
    <n v="619.64"/>
    <n v="861.16"/>
    <s v="High"/>
    <n v="0.113"/>
    <n v="14"/>
    <n v="10693.88488"/>
    <n v="8674.9599999999991"/>
    <n v="2018.9248800000005"/>
    <n v="0.18879246435276761"/>
    <x v="0"/>
  </r>
  <r>
    <s v="ORD-2023-885216"/>
    <d v="2023-08-03T00:00:00"/>
    <s v="Q3-2023"/>
    <d v="2023-08-10T00:00:00"/>
    <n v="7"/>
    <s v="Asia"/>
    <x v="9"/>
    <s v="Shanghai"/>
    <s v="Non-Profit"/>
    <s v="Direct"/>
    <s v="J. Njeri"/>
    <x v="2"/>
    <s v="NET-4735"/>
    <n v="1021.97"/>
    <n v="2296.25"/>
    <s v="High"/>
    <n v="0.161"/>
    <n v="26"/>
    <n v="50090.397499999999"/>
    <n v="26571.22"/>
    <n v="23519.177499999998"/>
    <n v="0.46953465482081669"/>
    <x v="1"/>
  </r>
  <r>
    <s v="ORD-2023-561823"/>
    <d v="2023-11-19T00:00:00"/>
    <s v="Q4-2023"/>
    <d v="2023-12-12T00:00:00"/>
    <n v="23"/>
    <s v="Asia"/>
    <x v="4"/>
    <s v="Delhi"/>
    <s v="Small Business"/>
    <s v="Direct"/>
    <s v="C. Otieno"/>
    <x v="2"/>
    <s v="NET-2460"/>
    <n v="1349.04"/>
    <n v="2636.6"/>
    <s v="High"/>
    <n v="0.114"/>
    <n v="14"/>
    <n v="32704.386400000003"/>
    <n v="18886.559999999998"/>
    <n v="13817.826400000005"/>
    <n v="0.42250682312143928"/>
    <x v="0"/>
  </r>
  <r>
    <s v="ORD-2023-249805"/>
    <d v="2023-12-22T00:00:00"/>
    <s v="Q4-2023"/>
    <d v="2024-01-16T00:00:00"/>
    <n v="25"/>
    <s v="Asia"/>
    <x v="4"/>
    <s v="Hyderabad"/>
    <s v="Small Business"/>
    <s v="Retail"/>
    <s v="A. Patel"/>
    <x v="0"/>
    <s v="CMP-1555"/>
    <n v="1346.81"/>
    <n v="978.09"/>
    <s v="High"/>
    <n v="0.159"/>
    <n v="17"/>
    <n v="13983.752729999998"/>
    <n v="22895.77"/>
    <n v="-8912.0172700000021"/>
    <n v="-0.6373122753293996"/>
    <x v="0"/>
  </r>
  <r>
    <s v="ORD-2023-548934"/>
    <d v="2023-08-03T00:00:00"/>
    <s v="Q3-2023"/>
    <d v="2023-08-30T00:00:00"/>
    <n v="27"/>
    <s v="Asia"/>
    <x v="9"/>
    <s v="Shanghai"/>
    <s v="Consumer"/>
    <s v="Distributor"/>
    <s v="N. Brown"/>
    <x v="5"/>
    <s v="MON-3773"/>
    <n v="226.04"/>
    <n v="545.72"/>
    <s v="High"/>
    <n v="0.151"/>
    <n v="11"/>
    <n v="5096.4790800000001"/>
    <n v="2486.44"/>
    <n v="2610.03908"/>
    <n v="0.51212592831834014"/>
    <x v="0"/>
  </r>
  <r>
    <s v="ORD-2023-921939"/>
    <d v="2023-06-23T00:00:00"/>
    <s v="Q2-2023"/>
    <d v="2023-07-18T00:00:00"/>
    <n v="25"/>
    <s v="Americas"/>
    <x v="3"/>
    <s v="Vancouver"/>
    <s v="Enterprise"/>
    <s v="Online"/>
    <s v="N. Brown"/>
    <x v="3"/>
    <s v="PHN-4677"/>
    <n v="807.02"/>
    <n v="1435.54"/>
    <s v="High"/>
    <n v="0"/>
    <n v="23"/>
    <n v="33017.42"/>
    <n v="18561.46"/>
    <n v="14455.96"/>
    <n v="0.43782827368098415"/>
    <x v="0"/>
  </r>
  <r>
    <s v="ORD-2023-961864"/>
    <d v="2023-12-07T00:00:00"/>
    <s v="Q4-2023"/>
    <d v="2024-01-02T00:00:00"/>
    <n v="26"/>
    <s v="Europe"/>
    <x v="6"/>
    <s v="Frankfurt"/>
    <s v="Enterprise"/>
    <s v="Distributor"/>
    <s v="E. Garcia"/>
    <x v="0"/>
    <s v="CMP-1940"/>
    <n v="1071.99"/>
    <n v="2397.3000000000002"/>
    <s v="High"/>
    <n v="6.2E-2"/>
    <n v="18"/>
    <n v="40476.013200000001"/>
    <n v="19295.82"/>
    <n v="21180.193200000002"/>
    <n v="0.52327765324476183"/>
    <x v="0"/>
  </r>
  <r>
    <s v="ORD-2023-455933"/>
    <d v="2023-11-19T00:00:00"/>
    <s v="Q4-2023"/>
    <d v="2023-12-19T00:00:00"/>
    <n v="30"/>
    <s v="Asia"/>
    <x v="2"/>
    <s v="Nagoya"/>
    <s v="Consumer"/>
    <s v="Retail"/>
    <s v="Unknown"/>
    <x v="3"/>
    <s v="PHN-9184"/>
    <n v="807.11"/>
    <n v="1853.86"/>
    <s v="High"/>
    <n v="0.13900000000000001"/>
    <n v="8"/>
    <n v="12769.38768"/>
    <n v="6456.88"/>
    <n v="6312.5076799999997"/>
    <n v="0.49434693645388639"/>
    <x v="0"/>
  </r>
  <r>
    <s v="ORD-2025-728935"/>
    <d v="2025-02-28T00:00:00"/>
    <s v="Q1-2025"/>
    <d v="2025-03-10T00:00:00"/>
    <n v="10"/>
    <s v="Asia"/>
    <x v="2"/>
    <s v="Osaka"/>
    <s v="Education"/>
    <s v="Distributor"/>
    <s v="N. Brown"/>
    <x v="4"/>
    <s v="LAP-3017"/>
    <n v="51.86"/>
    <n v="45.98"/>
    <s v="High"/>
    <n v="0.17299999999999999"/>
    <n v="7"/>
    <n v="266.17821999999995"/>
    <n v="363.02"/>
    <n v="-96.841780000000028"/>
    <n v="-0.3638230806412337"/>
    <x v="0"/>
  </r>
</pivotCacheRecords>
</file>

<file path=xl/pivotCache/pivotCacheRecords3.xml><?xml version="1.0" encoding="utf-8"?>
<pivotCacheRecords xmlns="http://schemas.openxmlformats.org/spreadsheetml/2006/main" xmlns:r="http://schemas.openxmlformats.org/officeDocument/2006/relationships" count="631">
  <r>
    <s v="ORD-2024-275203"/>
    <d v="2024-03-11T00:00:00"/>
    <s v="Q1-2024"/>
    <d v="2024-04-06T00:00:00"/>
    <n v="26"/>
    <x v="0"/>
    <x v="0"/>
    <s v="Kisumu"/>
    <s v="Corporate"/>
    <s v="Retail"/>
    <x v="0"/>
    <s v="Components"/>
    <s v="CMP-8270"/>
    <n v="279.24"/>
    <n v="608.9"/>
    <s v="High"/>
    <n v="0.112"/>
    <n v="9"/>
    <n v="4866.3287999999993"/>
    <n v="2513.16"/>
    <n v="2353.1687999999995"/>
    <n v="0.48356140670149533"/>
    <s v="Delayed"/>
    <x v="0"/>
  </r>
  <r>
    <s v="ORD-2024-358795"/>
    <d v="2024-10-23T00:00:00"/>
    <s v="Q4-2024"/>
    <d v="2024-10-30T00:00:00"/>
    <n v="7"/>
    <x v="0"/>
    <x v="1"/>
    <s v="Port Harcourt"/>
    <s v="Education"/>
    <s v="Online"/>
    <x v="1"/>
    <s v="Printers"/>
    <s v="PRN-9322"/>
    <n v="1084.3900000000001"/>
    <n v="759.33"/>
    <s v="High"/>
    <n v="0.23699999999999999"/>
    <n v="31"/>
    <n v="17960.432489999999"/>
    <n v="33616.090000000004"/>
    <n v="-15655.657510000005"/>
    <n v="-0.87167486187856302"/>
    <s v="On-time"/>
    <x v="1"/>
  </r>
  <r>
    <s v="ORD-2023-373538"/>
    <d v="2023-02-28T00:00:00"/>
    <s v="Q1-2023"/>
    <d v="2023-03-25T00:00:00"/>
    <n v="25"/>
    <x v="0"/>
    <x v="0"/>
    <s v="Nairobi"/>
    <s v="Corporate"/>
    <s v="Retail"/>
    <x v="2"/>
    <s v="Networking"/>
    <s v="NET-9666"/>
    <n v="1460.76"/>
    <n v="30.66"/>
    <s v="High"/>
    <n v="0.13100000000000001"/>
    <n v="12"/>
    <n v="319.72248000000002"/>
    <n v="17529.12"/>
    <n v="-17209.397519999999"/>
    <n v="-53.826047890032626"/>
    <s v="Delayed"/>
    <x v="0"/>
  </r>
  <r>
    <s v="ORD-2025-168148"/>
    <d v="2025-03-29T00:00:00"/>
    <s v="Q1-2025"/>
    <d v="2025-04-02T00:00:00"/>
    <n v="4"/>
    <x v="0"/>
    <x v="1"/>
    <s v="Lagos"/>
    <s v="Non-Profit"/>
    <s v="Marketplace"/>
    <x v="3"/>
    <s v="Phones"/>
    <s v="PHN-4556"/>
    <n v="259.93"/>
    <n v="255.94"/>
    <s v="High"/>
    <n v="7.1999999999999995E-2"/>
    <n v="22"/>
    <n v="5225.2710400000005"/>
    <n v="5718.46"/>
    <n v="-493.1889599999995"/>
    <n v="-9.4385335463861311E-2"/>
    <s v="On-time"/>
    <x v="0"/>
  </r>
  <r>
    <s v="ORD-2023-824839"/>
    <d v="2023-12-06T00:00:00"/>
    <s v="Q4-2023"/>
    <d v="2023-12-31T00:00:00"/>
    <n v="25"/>
    <x v="1"/>
    <x v="2"/>
    <s v="Osaka"/>
    <s v="Consumer"/>
    <s v="Retail"/>
    <x v="4"/>
    <s v="Printers"/>
    <s v="PRN-8041"/>
    <n v="663.03"/>
    <n v="813.51"/>
    <s v="High"/>
    <n v="0.10199999999999999"/>
    <n v="15"/>
    <n v="10957.9797"/>
    <n v="9945.4499999999989"/>
    <n v="1012.529700000001"/>
    <n v="9.2401129379715952E-2"/>
    <s v="Delayed"/>
    <x v="0"/>
  </r>
  <r>
    <s v="ORD-2023-723587"/>
    <d v="2023-01-02T00:00:00"/>
    <s v="Q1-2023"/>
    <d v="2023-01-05T00:00:00"/>
    <n v="3"/>
    <x v="2"/>
    <x v="3"/>
    <s v="Toronto"/>
    <s v="Corporate"/>
    <s v="Distributor"/>
    <x v="5"/>
    <s v="Laptops"/>
    <s v="LAP-8555"/>
    <n v="315.87"/>
    <n v="591.67999999999995"/>
    <s v="High"/>
    <n v="0"/>
    <n v="7"/>
    <n v="4141.7599999999993"/>
    <n v="2211.09"/>
    <n v="1930.6699999999992"/>
    <n v="0.46614724175229844"/>
    <s v="On-time"/>
    <x v="0"/>
  </r>
  <r>
    <s v="ORD-2024-336584"/>
    <d v="2024-12-27T00:00:00"/>
    <s v="Q4-2024"/>
    <d v="2025-01-14T00:00:00"/>
    <n v="18"/>
    <x v="1"/>
    <x v="4"/>
    <s v="Bengaluru"/>
    <s v="Small Business"/>
    <s v="Marketplace"/>
    <x v="6"/>
    <s v="Monitors"/>
    <s v="MON-8629"/>
    <n v="586.07000000000005"/>
    <n v="845.97"/>
    <s v="High"/>
    <n v="0.14699999999999999"/>
    <n v="4"/>
    <n v="2886.4496399999998"/>
    <n v="2344.2800000000002"/>
    <n v="542.16963999999962"/>
    <n v="0.18783270370862928"/>
    <s v="Delayed"/>
    <x v="0"/>
  </r>
  <r>
    <s v="ORD-2023-112666"/>
    <d v="2023-01-15T00:00:00"/>
    <s v="Q1-2023"/>
    <d v="2023-01-22T00:00:00"/>
    <n v="7"/>
    <x v="0"/>
    <x v="1"/>
    <s v="Abuja"/>
    <s v="Education"/>
    <s v="Online"/>
    <x v="7"/>
    <s v="Printers"/>
    <s v="PRN-6276"/>
    <n v="28.38"/>
    <n v="47.22"/>
    <s v="High"/>
    <n v="0.19400000000000001"/>
    <n v="18"/>
    <n v="685.06776000000002"/>
    <n v="510.84"/>
    <n v="174.22776000000005"/>
    <n v="0.25432193743871417"/>
    <s v="On-time"/>
    <x v="0"/>
  </r>
  <r>
    <s v="ORD-2024-589570"/>
    <d v="2024-05-04T00:00:00"/>
    <s v="Q2-2024"/>
    <d v="2024-05-29T00:00:00"/>
    <n v="25"/>
    <x v="0"/>
    <x v="1"/>
    <s v="Abuja"/>
    <s v="Non-Profit"/>
    <s v="Marketplace"/>
    <x v="7"/>
    <s v="Monitors"/>
    <s v="MON-6892"/>
    <n v="1295.3399999999999"/>
    <n v="2530.81"/>
    <s v="High"/>
    <n v="3.1E-2"/>
    <n v="6"/>
    <n v="14714.12934"/>
    <n v="7772.0399999999991"/>
    <n v="6942.0893400000004"/>
    <n v="0.4717974933880798"/>
    <s v="Delayed"/>
    <x v="0"/>
  </r>
  <r>
    <s v="ORD-2025-997421"/>
    <d v="2025-05-21T00:00:00"/>
    <s v="Q2-2025"/>
    <d v="2025-06-09T00:00:00"/>
    <n v="19"/>
    <x v="2"/>
    <x v="5"/>
    <s v="São Paulo"/>
    <s v="Non-Profit"/>
    <s v="Online"/>
    <x v="8"/>
    <s v="Components"/>
    <s v="CMP-3731"/>
    <n v="1331.38"/>
    <n v="2309.56"/>
    <s v="High"/>
    <n v="0.14899999999999999"/>
    <n v="31"/>
    <n v="60928.502359999999"/>
    <n v="41272.780000000006"/>
    <n v="19655.722359999992"/>
    <n v="0.32260307735553528"/>
    <s v="Delayed"/>
    <x v="0"/>
  </r>
  <r>
    <s v="ORD-2024-210687"/>
    <d v="2024-01-28T00:00:00"/>
    <s v="Q1-2024"/>
    <d v="2024-02-09T00:00:00"/>
    <n v="12"/>
    <x v="3"/>
    <x v="6"/>
    <s v="Berlin"/>
    <s v="Corporate"/>
    <s v="Online"/>
    <x v="3"/>
    <s v="Accessories"/>
    <s v="ACC-7938"/>
    <n v="644.16999999999996"/>
    <n v="700.12"/>
    <s v="High"/>
    <n v="6.0000000000000001E-3"/>
    <n v="23"/>
    <n v="16006.14344"/>
    <n v="14815.91"/>
    <n v="1190.23344"/>
    <n v="7.436103796405813E-2"/>
    <s v="Delayed"/>
    <x v="0"/>
  </r>
  <r>
    <s v="ORD-2025-515515"/>
    <d v="2025-01-03T00:00:00"/>
    <s v="Q1-2025"/>
    <d v="2025-01-23T00:00:00"/>
    <n v="20"/>
    <x v="1"/>
    <x v="2"/>
    <s v="Osaka"/>
    <s v="Corporate"/>
    <s v="Distributor"/>
    <x v="9"/>
    <s v="Phones"/>
    <s v="PHN-7019"/>
    <n v="908.6"/>
    <n v="691.37"/>
    <s v="High"/>
    <n v="0.25"/>
    <n v="20"/>
    <n v="10370.549999999999"/>
    <n v="18172"/>
    <n v="-7801.4500000000007"/>
    <n v="-0.75226964818645115"/>
    <s v="Delayed"/>
    <x v="1"/>
  </r>
  <r>
    <s v="ORD-2025-487261"/>
    <d v="2025-03-06T00:00:00"/>
    <s v="Q1-2025"/>
    <d v="2025-03-31T00:00:00"/>
    <n v="25"/>
    <x v="2"/>
    <x v="5"/>
    <s v="Brasília"/>
    <s v="Non-Profit"/>
    <s v="Online"/>
    <x v="1"/>
    <s v="Components"/>
    <s v="CMP-3693"/>
    <n v="331.57"/>
    <n v="548.4"/>
    <s v="High"/>
    <n v="9.4E-2"/>
    <n v="10"/>
    <n v="4968.5039999999999"/>
    <n v="3315.7"/>
    <n v="1652.8040000000001"/>
    <n v="0.33265626836568918"/>
    <s v="Delayed"/>
    <x v="0"/>
  </r>
  <r>
    <s v="ORD-2024-890180"/>
    <d v="2024-01-20T00:00:00"/>
    <s v="Q1-2024"/>
    <d v="2024-02-13T00:00:00"/>
    <n v="24"/>
    <x v="3"/>
    <x v="7"/>
    <s v="Marseille"/>
    <s v="Corporate"/>
    <s v="Retail"/>
    <x v="10"/>
    <s v="Printers"/>
    <s v="PRN-8392"/>
    <n v="643.53"/>
    <n v="1439.01"/>
    <s v="High"/>
    <n v="0"/>
    <n v="15"/>
    <n v="21585.15"/>
    <n v="9652.9499999999989"/>
    <n v="11932.200000000003"/>
    <n v="0.55279671440782208"/>
    <s v="Delayed"/>
    <x v="0"/>
  </r>
  <r>
    <s v="ORD-2025-840976"/>
    <d v="2025-09-01T00:00:00"/>
    <s v="Q3-2025"/>
    <d v="2025-09-30T00:00:00"/>
    <n v="29"/>
    <x v="2"/>
    <x v="5"/>
    <s v="Brasília"/>
    <s v="Education"/>
    <s v="Retail"/>
    <x v="11"/>
    <s v="Accessories"/>
    <s v="ACC-1663"/>
    <n v="780.59"/>
    <n v="631.57000000000005"/>
    <s v="High"/>
    <n v="0"/>
    <n v="12"/>
    <n v="7578.84"/>
    <n v="9367.08"/>
    <n v="-1788.2399999999998"/>
    <n v="-0.23595167598207639"/>
    <s v="Delayed"/>
    <x v="0"/>
  </r>
  <r>
    <s v="ORD-2023-937291"/>
    <d v="2023-04-23T00:00:00"/>
    <s v="Q2-2023"/>
    <d v="2023-04-30T00:00:00"/>
    <n v="7"/>
    <x v="0"/>
    <x v="0"/>
    <s v="Nairobi"/>
    <s v="Small Business"/>
    <s v="Direct"/>
    <x v="6"/>
    <s v="Laptops"/>
    <s v="LAP-1698"/>
    <n v="756.51"/>
    <n v="850.8"/>
    <s v="High"/>
    <n v="7.3999999999999996E-2"/>
    <n v="9"/>
    <n v="7090.5672000000004"/>
    <n v="6808.59"/>
    <n v="281.97720000000027"/>
    <n v="3.9767932810791252E-2"/>
    <s v="On-time"/>
    <x v="0"/>
  </r>
  <r>
    <s v="ORD-2024-206081"/>
    <d v="2024-12-10T00:00:00"/>
    <s v="Q4-2024"/>
    <d v="2025-01-08T00:00:00"/>
    <n v="29"/>
    <x v="3"/>
    <x v="7"/>
    <s v="Marseille"/>
    <s v="Small Business"/>
    <s v="Retail"/>
    <x v="11"/>
    <s v="Printers"/>
    <s v="PRN-6791"/>
    <n v="891.08"/>
    <n v="1040.0999999999999"/>
    <s v="High"/>
    <n v="0.109"/>
    <n v="28"/>
    <n v="25948.414799999995"/>
    <n v="24950.240000000002"/>
    <n v="998.17479999999341"/>
    <n v="3.8467660074556598E-2"/>
    <s v="Delayed"/>
    <x v="0"/>
  </r>
  <r>
    <s v="ORD-2025-233883"/>
    <d v="2025-09-08T00:00:00"/>
    <s v="Q3-2025"/>
    <d v="2025-09-16T00:00:00"/>
    <n v="8"/>
    <x v="1"/>
    <x v="2"/>
    <s v="Osaka"/>
    <s v="Corporate"/>
    <s v="Distributor"/>
    <x v="0"/>
    <s v="Phones"/>
    <s v="PHN-1197"/>
    <n v="1225.57"/>
    <n v="2705.57"/>
    <s v="High"/>
    <n v="0.183"/>
    <n v="16"/>
    <n v="35367.211040000002"/>
    <n v="19609.12"/>
    <n v="15758.091040000003"/>
    <n v="0.44555650775453404"/>
    <s v="Delayed"/>
    <x v="0"/>
  </r>
  <r>
    <s v="ORD-2025-843974"/>
    <d v="2025-07-20T00:00:00"/>
    <s v="Q3-2025"/>
    <d v="2025-08-05T00:00:00"/>
    <n v="16"/>
    <x v="2"/>
    <x v="5"/>
    <s v="Brasília"/>
    <s v="Enterprise"/>
    <s v="Marketplace"/>
    <x v="3"/>
    <s v="Accessories"/>
    <s v="ACC-8098"/>
    <n v="1068.17"/>
    <n v="2375.37"/>
    <s v="High"/>
    <n v="0.109"/>
    <n v="18"/>
    <n v="38096.18406"/>
    <n v="19227.060000000001"/>
    <n v="18869.124059999998"/>
    <n v="0.49530220744108822"/>
    <s v="Delayed"/>
    <x v="0"/>
  </r>
  <r>
    <s v="ORD-2025-745263"/>
    <d v="2025-05-21T00:00:00"/>
    <s v="Q2-2025"/>
    <d v="2025-05-28T00:00:00"/>
    <n v="7"/>
    <x v="3"/>
    <x v="8"/>
    <s v="Birmingham"/>
    <s v="Enterprise"/>
    <s v="Online"/>
    <x v="12"/>
    <s v="Laptops"/>
    <s v="LAP-3385"/>
    <n v="1015.16"/>
    <n v="2148.14"/>
    <s v="High"/>
    <n v="3.7999999999999999E-2"/>
    <n v="19"/>
    <n v="39263.702919999996"/>
    <n v="19288.04"/>
    <n v="19975.662919999995"/>
    <n v="0.50875647059322227"/>
    <s v="On-time"/>
    <x v="0"/>
  </r>
  <r>
    <s v="ORD-2024-798002"/>
    <d v="2024-07-25T00:00:00"/>
    <s v="Q3-2024"/>
    <d v="2024-08-01T00:00:00"/>
    <n v="7"/>
    <x v="0"/>
    <x v="0"/>
    <s v="Mombasa"/>
    <s v="Non-Profit"/>
    <s v="Direct"/>
    <x v="1"/>
    <s v="Laptops"/>
    <s v="LAP-9815"/>
    <n v="1494.4"/>
    <n v="3661.07"/>
    <s v="High"/>
    <n v="7.1999999999999995E-2"/>
    <n v="7"/>
    <n v="23782.310720000001"/>
    <n v="10460.800000000001"/>
    <n v="13321.51072"/>
    <n v="0.56014366630897339"/>
    <s v="On-time"/>
    <x v="0"/>
  </r>
  <r>
    <s v="ORD-2023-867836"/>
    <d v="2023-05-11T00:00:00"/>
    <s v="Q2-2023"/>
    <d v="2023-05-28T00:00:00"/>
    <n v="17"/>
    <x v="1"/>
    <x v="9"/>
    <s v="Shenzhen"/>
    <s v="Enterprise"/>
    <s v="Marketplace"/>
    <x v="6"/>
    <s v="Networking"/>
    <s v="NET-3255"/>
    <n v="1331.19"/>
    <n v="2903.09"/>
    <s v="High"/>
    <n v="0.14299999999999999"/>
    <n v="8"/>
    <n v="19903.585040000002"/>
    <n v="10649.52"/>
    <n v="9254.0650400000013"/>
    <n v="0.46494463290920784"/>
    <s v="Delayed"/>
    <x v="0"/>
  </r>
  <r>
    <s v="ORD-2025-580047"/>
    <d v="2025-06-14T00:00:00"/>
    <s v="Q2-2025"/>
    <d v="2025-06-29T00:00:00"/>
    <n v="15"/>
    <x v="0"/>
    <x v="1"/>
    <s v="Port Harcourt"/>
    <s v="Consumer"/>
    <s v="Marketplace"/>
    <x v="12"/>
    <s v="Accessories"/>
    <s v="ACC-3961"/>
    <n v="730.99"/>
    <n v="1242.8399999999999"/>
    <s v="High"/>
    <n v="0.12"/>
    <n v="10"/>
    <n v="10936.992"/>
    <n v="7309.9"/>
    <n v="3627.0920000000006"/>
    <n v="0.33163524303574515"/>
    <s v="Delayed"/>
    <x v="0"/>
  </r>
  <r>
    <s v="ORD-2024-500109"/>
    <d v="2024-05-18T00:00:00"/>
    <s v="Q2-2024"/>
    <d v="2024-05-23T00:00:00"/>
    <n v="5"/>
    <x v="2"/>
    <x v="10"/>
    <s v="Chicago"/>
    <s v="Enterprise"/>
    <s v="Retail"/>
    <x v="10"/>
    <s v="Laptops"/>
    <s v="LAP-4987"/>
    <n v="1274.5899999999999"/>
    <n v="2553.69"/>
    <s v="High"/>
    <n v="0.01"/>
    <n v="8"/>
    <n v="20225.2248"/>
    <n v="10196.719999999999"/>
    <n v="10028.504800000001"/>
    <n v="0.49584145042481803"/>
    <s v="On-time"/>
    <x v="0"/>
  </r>
  <r>
    <s v="ORD-2023-271836"/>
    <d v="2023-02-07T00:00:00"/>
    <s v="Q1-2023"/>
    <d v="2023-02-12T00:00:00"/>
    <n v="5"/>
    <x v="2"/>
    <x v="5"/>
    <s v="São Paulo"/>
    <s v="Education"/>
    <s v="Online"/>
    <x v="13"/>
    <s v="Components"/>
    <s v="CMP-2693"/>
    <n v="948.55"/>
    <n v="2089.16"/>
    <s v="High"/>
    <n v="7.0000000000000001E-3"/>
    <n v="12"/>
    <n v="24894.430559999997"/>
    <n v="11382.599999999999"/>
    <n v="13511.830559999999"/>
    <n v="0.54276519912492427"/>
    <s v="On-time"/>
    <x v="0"/>
  </r>
  <r>
    <s v="ORD-2024-215294"/>
    <d v="2024-06-30T00:00:00"/>
    <s v="Q2-2024"/>
    <d v="2024-07-14T00:00:00"/>
    <n v="14"/>
    <x v="2"/>
    <x v="5"/>
    <s v="Brasília"/>
    <s v="Education"/>
    <s v="Retail"/>
    <x v="0"/>
    <s v="Accessories"/>
    <s v="ACC-8683"/>
    <n v="1491.85"/>
    <n v="2583.02"/>
    <s v="High"/>
    <n v="0.16800000000000001"/>
    <n v="4"/>
    <n v="8596.2905599999995"/>
    <n v="5967.4"/>
    <n v="2628.8905599999998"/>
    <n v="0.30581685689321325"/>
    <s v="Delayed"/>
    <x v="0"/>
  </r>
  <r>
    <s v="ORD-2024-788105"/>
    <d v="2024-11-30T00:00:00"/>
    <s v="Q4-2024"/>
    <d v="2024-12-30T00:00:00"/>
    <n v="30"/>
    <x v="3"/>
    <x v="7"/>
    <s v="Marseille"/>
    <s v="Consumer"/>
    <s v="Marketplace"/>
    <x v="9"/>
    <s v="Printers"/>
    <s v="PRN-4170"/>
    <n v="117.64"/>
    <n v="175.67"/>
    <s v="High"/>
    <n v="0"/>
    <n v="10"/>
    <n v="1756.6999999999998"/>
    <n v="1176.4000000000001"/>
    <n v="580.29999999999973"/>
    <n v="0.33033528775545046"/>
    <s v="Delayed"/>
    <x v="0"/>
  </r>
  <r>
    <s v="ORD-2024-855073"/>
    <d v="2024-07-19T00:00:00"/>
    <s v="Q3-2024"/>
    <d v="2024-07-19T00:00:00"/>
    <n v="0"/>
    <x v="0"/>
    <x v="0"/>
    <s v="Kisumu"/>
    <s v="Small Business"/>
    <s v="Retail"/>
    <x v="8"/>
    <s v="Phones"/>
    <s v="PHN-6854"/>
    <n v="857.24"/>
    <n v="758.23"/>
    <s v="High"/>
    <n v="0.125"/>
    <n v="6"/>
    <n v="3980.7075"/>
    <n v="5143.4400000000005"/>
    <n v="-1162.7325000000005"/>
    <n v="-0.29209192084572921"/>
    <s v="On-time"/>
    <x v="0"/>
  </r>
  <r>
    <s v="ORD-2023-897079"/>
    <d v="2023-04-14T00:00:00"/>
    <s v="Q2-2023"/>
    <d v="2023-05-14T00:00:00"/>
    <n v="30"/>
    <x v="0"/>
    <x v="0"/>
    <s v="Nakuru"/>
    <s v="Consumer"/>
    <s v="Marketplace"/>
    <x v="12"/>
    <s v="Phones"/>
    <s v="PHN-1784"/>
    <n v="209.25"/>
    <n v="434.8"/>
    <s v="High"/>
    <n v="0"/>
    <n v="9"/>
    <n v="3913.2000000000003"/>
    <n v="1883.25"/>
    <n v="2029.9500000000003"/>
    <n v="0.51874425022999082"/>
    <s v="Delayed"/>
    <x v="0"/>
  </r>
  <r>
    <s v="ORD-2025-548982"/>
    <d v="2025-04-07T00:00:00"/>
    <s v="Q2-2025"/>
    <d v="2025-04-11T00:00:00"/>
    <n v="4"/>
    <x v="3"/>
    <x v="7"/>
    <s v="Lyon"/>
    <s v="Education"/>
    <s v="Retail"/>
    <x v="6"/>
    <s v="Networking"/>
    <s v="NET-9716"/>
    <n v="754.77"/>
    <n v="1666.18"/>
    <s v="High"/>
    <n v="0.13900000000000001"/>
    <n v="14"/>
    <n v="20084.133720000002"/>
    <n v="10566.779999999999"/>
    <n v="9517.3537200000028"/>
    <n v="0.47387424584424653"/>
    <s v="On-time"/>
    <x v="0"/>
  </r>
  <r>
    <s v="ORD-2024-170313"/>
    <d v="2024-12-27T00:00:00"/>
    <s v="Q4-2024"/>
    <d v="2025-01-15T00:00:00"/>
    <n v="19"/>
    <x v="1"/>
    <x v="4"/>
    <s v="Delhi"/>
    <s v="Non-Profit"/>
    <s v="Distributor"/>
    <x v="3"/>
    <s v="Components"/>
    <s v="CMP-6919"/>
    <n v="495.59"/>
    <n v="631.78"/>
    <s v="High"/>
    <n v="8.6999999999999994E-2"/>
    <n v="17"/>
    <n v="9805.8573800000013"/>
    <n v="8425.0299999999988"/>
    <n v="1380.8273800000024"/>
    <n v="0.14081658813601899"/>
    <s v="Delayed"/>
    <x v="0"/>
  </r>
  <r>
    <s v="ORD-2023-562894"/>
    <d v="2023-02-23T00:00:00"/>
    <s v="Q1-2023"/>
    <d v="2023-03-25T00:00:00"/>
    <n v="30"/>
    <x v="2"/>
    <x v="3"/>
    <s v="Montreal"/>
    <s v="Enterprise"/>
    <s v="Online"/>
    <x v="14"/>
    <s v="Phones"/>
    <s v="PHN-4854"/>
    <n v="1242.6600000000001"/>
    <n v="1794.07"/>
    <s v="High"/>
    <n v="8.8999999999999996E-2"/>
    <n v="16"/>
    <n v="26150.364320000001"/>
    <n v="19882.560000000001"/>
    <n v="6267.8043199999993"/>
    <n v="0.23968325042440553"/>
    <s v="Delayed"/>
    <x v="0"/>
  </r>
  <r>
    <s v="ORD-2025-474710"/>
    <d v="2025-07-24T00:00:00"/>
    <s v="Q3-2025"/>
    <d v="2025-08-06T00:00:00"/>
    <n v="13"/>
    <x v="0"/>
    <x v="11"/>
    <s v="Johannesburg"/>
    <s v="Education"/>
    <s v="Marketplace"/>
    <x v="14"/>
    <s v="Networking"/>
    <s v="NET-7966"/>
    <n v="1463.9"/>
    <n v="2633.02"/>
    <s v="High"/>
    <n v="8.4000000000000005E-2"/>
    <n v="4"/>
    <n v="9647.3852800000004"/>
    <n v="5855.6"/>
    <n v="3791.7852800000001"/>
    <n v="0.39303761277791527"/>
    <s v="Delayed"/>
    <x v="0"/>
  </r>
  <r>
    <s v="ORD-2024-629525"/>
    <d v="2024-04-18T00:00:00"/>
    <s v="Q2-2024"/>
    <d v="2024-05-08T00:00:00"/>
    <n v="20"/>
    <x v="3"/>
    <x v="8"/>
    <s v="London"/>
    <s v="Non-Profit"/>
    <s v="Unknown"/>
    <x v="14"/>
    <s v="Laptops"/>
    <s v="LAP-9932"/>
    <n v="645.33000000000004"/>
    <n v="1321.85"/>
    <s v="High"/>
    <n v="0"/>
    <n v="10"/>
    <n v="13218.5"/>
    <n v="6453.3"/>
    <n v="6765.2"/>
    <n v="0.51179785906116426"/>
    <s v="Delayed"/>
    <x v="0"/>
  </r>
  <r>
    <s v="ORD-2024-167215"/>
    <d v="2024-08-23T00:00:00"/>
    <s v="Q3-2024"/>
    <d v="2024-08-30T00:00:00"/>
    <n v="7"/>
    <x v="0"/>
    <x v="11"/>
    <s v="Johannesburg"/>
    <s v="Education"/>
    <s v="Retail"/>
    <x v="6"/>
    <s v="Components"/>
    <s v="CMP-1559"/>
    <n v="1432.52"/>
    <n v="3036.87"/>
    <s v="High"/>
    <n v="0"/>
    <n v="9"/>
    <n v="27331.829999999998"/>
    <n v="12892.68"/>
    <n v="14439.149999999998"/>
    <n v="0.52829064135112791"/>
    <s v="On-time"/>
    <x v="0"/>
  </r>
  <r>
    <s v="ORD-2023-864121"/>
    <d v="2023-03-27T00:00:00"/>
    <s v="Q1-2023"/>
    <d v="2023-04-22T00:00:00"/>
    <n v="26"/>
    <x v="1"/>
    <x v="4"/>
    <s v="Delhi"/>
    <s v="Non-Profit"/>
    <s v="Marketplace"/>
    <x v="1"/>
    <s v="Printers"/>
    <s v="PRN-4506"/>
    <n v="178.53"/>
    <n v="199.37"/>
    <s v="High"/>
    <n v="0.10100000000000001"/>
    <n v="37"/>
    <n v="6631.6443100000006"/>
    <n v="6605.61"/>
    <n v="26.034310000000914"/>
    <n v="3.9257699573457538E-3"/>
    <s v="Delayed"/>
    <x v="0"/>
  </r>
  <r>
    <s v="ORD-2024-692673"/>
    <d v="2024-03-07T00:00:00"/>
    <s v="Q1-2024"/>
    <d v="2024-03-25T00:00:00"/>
    <n v="18"/>
    <x v="3"/>
    <x v="6"/>
    <s v="Munich"/>
    <s v="Corporate"/>
    <s v="Online"/>
    <x v="5"/>
    <s v="Components"/>
    <s v="CMP-7617"/>
    <n v="712.84"/>
    <n v="927.51"/>
    <s v="High"/>
    <n v="0.24299999999999999"/>
    <n v="27"/>
    <n v="18957.37689"/>
    <n v="19246.68"/>
    <n v="-289.30311000000074"/>
    <n v="-1.5260714163076427E-2"/>
    <s v="Delayed"/>
    <x v="1"/>
  </r>
  <r>
    <s v="ORD-2025-718992"/>
    <d v="2025-06-24T00:00:00"/>
    <s v="Q2-2025"/>
    <d v="2025-07-10T00:00:00"/>
    <n v="16"/>
    <x v="1"/>
    <x v="9"/>
    <s v="Shanghai"/>
    <s v="Enterprise"/>
    <s v="Direct"/>
    <x v="13"/>
    <s v="Components"/>
    <s v="CMP-8390"/>
    <n v="757.19"/>
    <n v="1735.41"/>
    <s v="High"/>
    <n v="0.13600000000000001"/>
    <n v="8"/>
    <n v="11995.153920000001"/>
    <n v="6057.52"/>
    <n v="5937.6339200000002"/>
    <n v="0.4950027285685718"/>
    <s v="Delayed"/>
    <x v="0"/>
  </r>
  <r>
    <s v="ORD-2024-599522"/>
    <d v="2024-04-19T00:00:00"/>
    <s v="Q2-2024"/>
    <d v="2024-05-06T00:00:00"/>
    <n v="17"/>
    <x v="0"/>
    <x v="1"/>
    <s v="Port Harcourt"/>
    <s v="Non-Profit"/>
    <s v="Online"/>
    <x v="8"/>
    <s v="Printers"/>
    <s v="PRN-7303"/>
    <n v="865.33"/>
    <n v="1395.64"/>
    <s v="High"/>
    <n v="0.17499999999999999"/>
    <n v="13"/>
    <n v="14968.239"/>
    <n v="11249.29"/>
    <n v="3718.9489999999987"/>
    <n v="0.24845601409758347"/>
    <s v="Delayed"/>
    <x v="0"/>
  </r>
  <r>
    <s v="ORD-2023-651638"/>
    <d v="2023-06-17T00:00:00"/>
    <s v="Q2-2023"/>
    <d v="2023-06-24T00:00:00"/>
    <n v="7"/>
    <x v="2"/>
    <x v="10"/>
    <s v="San Francisco"/>
    <s v="Corporate"/>
    <s v="Retail"/>
    <x v="2"/>
    <s v="Printers"/>
    <s v="PRN-6536"/>
    <n v="313.99"/>
    <n v="454.42"/>
    <s v="High"/>
    <n v="0.129"/>
    <n v="9"/>
    <n v="3562.1983800000003"/>
    <n v="2825.91"/>
    <n v="736.28838000000042"/>
    <n v="0.20669493988147858"/>
    <s v="On-time"/>
    <x v="0"/>
  </r>
  <r>
    <s v="ORD-2024-635626"/>
    <d v="2024-08-27T00:00:00"/>
    <s v="Q3-2024"/>
    <d v="2024-09-19T00:00:00"/>
    <n v="23"/>
    <x v="3"/>
    <x v="6"/>
    <s v="Berlin"/>
    <s v="Small Business"/>
    <s v="Direct"/>
    <x v="14"/>
    <s v="Monitors"/>
    <s v="MON-9967"/>
    <n v="1024.01"/>
    <n v="1580.97"/>
    <s v="High"/>
    <n v="3.6999999999999998E-2"/>
    <n v="27"/>
    <n v="41106.800970000004"/>
    <n v="27648.27"/>
    <n v="13458.530970000003"/>
    <n v="0.3274039976942531"/>
    <s v="Delayed"/>
    <x v="0"/>
  </r>
  <r>
    <s v="ORD-2024-296582"/>
    <d v="2024-01-11T00:00:00"/>
    <s v="Q1-2024"/>
    <d v="2024-02-02T00:00:00"/>
    <n v="22"/>
    <x v="0"/>
    <x v="11"/>
    <s v="Durban"/>
    <s v="Consumer"/>
    <s v="Online"/>
    <x v="11"/>
    <s v="Networking"/>
    <s v="NET-1412"/>
    <n v="1206.2"/>
    <n v="1759.79"/>
    <s v="High"/>
    <n v="0"/>
    <n v="6"/>
    <n v="10558.74"/>
    <n v="7237.2000000000007"/>
    <n v="3321.5399999999991"/>
    <n v="0.31457730751964713"/>
    <s v="Delayed"/>
    <x v="0"/>
  </r>
  <r>
    <s v="ORD-2024-998320"/>
    <d v="2024-10-25T00:00:00"/>
    <s v="Q4-2024"/>
    <d v="2024-11-14T00:00:00"/>
    <n v="20"/>
    <x v="0"/>
    <x v="0"/>
    <s v="Mombasa"/>
    <s v="Corporate"/>
    <s v="Direct"/>
    <x v="10"/>
    <s v="Printers"/>
    <s v="PRN-3143"/>
    <n v="1396.48"/>
    <n v="3204.5"/>
    <s v="High"/>
    <n v="0.3"/>
    <n v="14"/>
    <n v="31404.1"/>
    <n v="19550.72"/>
    <n v="11853.379999999997"/>
    <n v="0.3774468938769141"/>
    <s v="Delayed"/>
    <x v="1"/>
  </r>
  <r>
    <s v="ORD-2025-820255"/>
    <d v="2025-05-29T00:00:00"/>
    <s v="Q2-2025"/>
    <d v="2025-06-20T00:00:00"/>
    <n v="22"/>
    <x v="3"/>
    <x v="6"/>
    <s v="Berlin"/>
    <s v="Corporate"/>
    <s v="Direct"/>
    <x v="8"/>
    <s v="Printers"/>
    <s v="PRN-9787"/>
    <n v="483.47"/>
    <n v="1135.43"/>
    <s v="High"/>
    <n v="0.14599999999999999"/>
    <n v="11"/>
    <n v="10666.229420000001"/>
    <n v="5318.17"/>
    <n v="5348.0594200000014"/>
    <n v="0.50140112399719983"/>
    <s v="Delayed"/>
    <x v="0"/>
  </r>
  <r>
    <s v="ORD-2024-389336"/>
    <d v="2024-05-20T00:00:00"/>
    <s v="Q2-2024"/>
    <d v="2024-06-02T00:00:00"/>
    <n v="13"/>
    <x v="2"/>
    <x v="3"/>
    <s v="Vancouver"/>
    <s v="Enterprise"/>
    <s v="Marketplace"/>
    <x v="11"/>
    <s v="Components"/>
    <s v="CMP-5946"/>
    <n v="675.43"/>
    <n v="996.36"/>
    <s v="High"/>
    <n v="0.182"/>
    <n v="22"/>
    <n v="17930.494560000003"/>
    <n v="14859.46"/>
    <n v="3071.0345600000037"/>
    <n v="0.17127439233332575"/>
    <s v="Delayed"/>
    <x v="0"/>
  </r>
  <r>
    <s v="ORD-2023-308124"/>
    <d v="2023-04-19T00:00:00"/>
    <s v="Q2-2023"/>
    <d v="2023-04-30T00:00:00"/>
    <n v="11"/>
    <x v="1"/>
    <x v="4"/>
    <s v="Delhi"/>
    <s v="Small Business"/>
    <s v="Retail"/>
    <x v="8"/>
    <s v="Networking"/>
    <s v="NET-2062"/>
    <n v="826.55"/>
    <n v="1397.05"/>
    <s v="High"/>
    <n v="0.16900000000000001"/>
    <n v="28"/>
    <n v="32506.559399999998"/>
    <n v="23143.399999999998"/>
    <n v="9363.1594000000005"/>
    <n v="0.28803907804527601"/>
    <s v="Delayed"/>
    <x v="0"/>
  </r>
  <r>
    <s v="ORD-2023-128295"/>
    <d v="2023-06-23T00:00:00"/>
    <s v="Q2-2023"/>
    <d v="2023-07-03T00:00:00"/>
    <n v="10"/>
    <x v="0"/>
    <x v="1"/>
    <s v="Abuja"/>
    <s v="Consumer"/>
    <s v="Online"/>
    <x v="1"/>
    <s v="Printers"/>
    <s v="PRN-2542"/>
    <n v="337.75"/>
    <n v="548.89"/>
    <s v="High"/>
    <n v="0"/>
    <n v="13"/>
    <n v="7135.57"/>
    <n v="4390.75"/>
    <n v="2744.8199999999997"/>
    <n v="0.38466723751571352"/>
    <s v="Delayed"/>
    <x v="0"/>
  </r>
  <r>
    <s v="ORD-2024-548345"/>
    <d v="2024-05-14T00:00:00"/>
    <s v="Q2-2024"/>
    <d v="2024-05-28T00:00:00"/>
    <n v="14"/>
    <x v="3"/>
    <x v="8"/>
    <s v="Birmingham"/>
    <s v="Consumer"/>
    <s v="Retail"/>
    <x v="5"/>
    <s v="Networking"/>
    <s v="NET-2365"/>
    <n v="1421.14"/>
    <n v="3524"/>
    <s v="High"/>
    <n v="0"/>
    <n v="31"/>
    <n v="109244"/>
    <n v="44055.340000000004"/>
    <n v="65188.659999999996"/>
    <n v="0.59672531214528945"/>
    <s v="Delayed"/>
    <x v="0"/>
  </r>
  <r>
    <s v="ORD-2024-966651"/>
    <d v="2024-10-14T00:00:00"/>
    <s v="Q4-2024"/>
    <d v="2024-11-08T00:00:00"/>
    <n v="25"/>
    <x v="0"/>
    <x v="1"/>
    <s v="Lagos"/>
    <s v="Enterprise"/>
    <s v="Online"/>
    <x v="7"/>
    <s v="Networking"/>
    <s v="NET-5268"/>
    <n v="859.35"/>
    <n v="1825.61"/>
    <s v="High"/>
    <n v="0.187"/>
    <n v="24"/>
    <n v="35621.302319999995"/>
    <n v="20624.400000000001"/>
    <n v="14996.902319999994"/>
    <n v="0.42100937762681989"/>
    <s v="Delayed"/>
    <x v="0"/>
  </r>
  <r>
    <s v="ORD-2023-292714"/>
    <d v="2023-07-10T00:00:00"/>
    <s v="Q3-2023"/>
    <d v="2023-08-01T00:00:00"/>
    <n v="22"/>
    <x v="3"/>
    <x v="7"/>
    <s v="Marseille"/>
    <s v="Consumer"/>
    <s v="Marketplace"/>
    <x v="5"/>
    <s v="Printers"/>
    <s v="PRN-1504"/>
    <n v="1303.56"/>
    <n v="1791.37"/>
    <s v="High"/>
    <n v="0.126"/>
    <n v="22"/>
    <n v="34444.462359999998"/>
    <n v="28678.32"/>
    <n v="5766.142359999998"/>
    <n v="0.16740404596055358"/>
    <s v="Delayed"/>
    <x v="0"/>
  </r>
  <r>
    <s v="ORD-2024-468501"/>
    <d v="2024-11-06T00:00:00"/>
    <s v="Q4-2024"/>
    <d v="2024-11-22T00:00:00"/>
    <n v="16"/>
    <x v="2"/>
    <x v="3"/>
    <s v="Toronto"/>
    <s v="Non-Profit"/>
    <s v="Distributor"/>
    <x v="14"/>
    <s v="Accessories"/>
    <s v="ACC-6348"/>
    <n v="1454.11"/>
    <n v="2629.75"/>
    <s v="High"/>
    <n v="0.29199999999999998"/>
    <n v="8"/>
    <n v="14894.903999999999"/>
    <n v="11632.88"/>
    <n v="3262.0239999999994"/>
    <n v="0.21900268709351867"/>
    <s v="Delayed"/>
    <x v="1"/>
  </r>
  <r>
    <s v="ORD-2024-260775"/>
    <d v="2024-10-17T00:00:00"/>
    <s v="Q4-2024"/>
    <d v="2024-11-06T00:00:00"/>
    <n v="20"/>
    <x v="1"/>
    <x v="4"/>
    <s v="Bengaluru"/>
    <s v="Enterprise"/>
    <s v="Distributor"/>
    <x v="7"/>
    <s v="Monitors"/>
    <s v="MON-4330"/>
    <n v="72.94"/>
    <n v="106.3"/>
    <s v="High"/>
    <n v="0.29499999999999998"/>
    <n v="8"/>
    <n v="599.53200000000004"/>
    <n v="583.52"/>
    <n v="16.012000000000057"/>
    <n v="2.6707498515508857E-2"/>
    <s v="Delayed"/>
    <x v="1"/>
  </r>
  <r>
    <s v="ORD-2023-419187"/>
    <d v="2023-03-31T00:00:00"/>
    <s v="Q1-2023"/>
    <d v="2023-04-05T00:00:00"/>
    <n v="5"/>
    <x v="0"/>
    <x v="0"/>
    <s v="Nakuru"/>
    <s v="Education"/>
    <s v="Marketplace"/>
    <x v="5"/>
    <s v="Laptops"/>
    <s v="LAP-7819"/>
    <n v="533.26"/>
    <n v="385.72"/>
    <s v="High"/>
    <n v="0"/>
    <n v="15"/>
    <n v="5785.8"/>
    <n v="7998.9"/>
    <n v="-2213.0999999999995"/>
    <n v="-0.38250544436378708"/>
    <s v="On-time"/>
    <x v="0"/>
  </r>
  <r>
    <s v="ORD-2025-578007"/>
    <d v="2025-01-21T00:00:00"/>
    <s v="Q1-2025"/>
    <d v="2025-02-16T00:00:00"/>
    <n v="26"/>
    <x v="3"/>
    <x v="7"/>
    <s v="Lyon"/>
    <s v="Corporate"/>
    <s v="Distributor"/>
    <x v="7"/>
    <s v="Laptops"/>
    <s v="LAP-3779"/>
    <n v="204.11"/>
    <n v="236.87"/>
    <s v="High"/>
    <n v="0.182"/>
    <n v="13"/>
    <n v="2518.8755800000004"/>
    <n v="2653.4300000000003"/>
    <n v="-134.55441999999994"/>
    <n v="-5.3418446337075494E-2"/>
    <s v="Delayed"/>
    <x v="0"/>
  </r>
  <r>
    <s v="ORD-2023-235230"/>
    <d v="2023-08-30T00:00:00"/>
    <s v="Q3-2023"/>
    <d v="2023-09-01T00:00:00"/>
    <n v="2"/>
    <x v="3"/>
    <x v="6"/>
    <s v="Munich"/>
    <s v="Corporate"/>
    <s v="Direct"/>
    <x v="13"/>
    <s v="Networking"/>
    <s v="NET-9989"/>
    <n v="44.42"/>
    <n v="41.9"/>
    <s v="High"/>
    <n v="0.14399999999999999"/>
    <n v="6"/>
    <n v="215.19839999999996"/>
    <n v="266.52"/>
    <n v="-51.321600000000018"/>
    <n v="-0.23848504449847224"/>
    <s v="On-time"/>
    <x v="0"/>
  </r>
  <r>
    <s v="ORD-2025-765220"/>
    <d v="2025-04-06T00:00:00"/>
    <s v="Q2-2025"/>
    <d v="2025-04-30T00:00:00"/>
    <n v="24"/>
    <x v="2"/>
    <x v="5"/>
    <s v="Brasília"/>
    <s v="Education"/>
    <s v="Online"/>
    <x v="11"/>
    <s v="Monitors"/>
    <s v="MON-4925"/>
    <n v="855.78"/>
    <n v="977.38"/>
    <s v="High"/>
    <n v="0.14699999999999999"/>
    <n v="38"/>
    <n v="31680.795320000001"/>
    <n v="32519.64"/>
    <n v="-838.84467999999833"/>
    <n v="-2.6478018355506307E-2"/>
    <s v="Delayed"/>
    <x v="0"/>
  </r>
  <r>
    <s v="ORD-2025-931538"/>
    <d v="2025-02-09T00:00:00"/>
    <s v="Q1-2025"/>
    <d v="2025-03-01T00:00:00"/>
    <n v="20"/>
    <x v="2"/>
    <x v="5"/>
    <s v="São Paulo"/>
    <s v="Corporate"/>
    <s v="Distributor"/>
    <x v="5"/>
    <s v="Laptops"/>
    <s v="LAP-6989"/>
    <n v="1154.6400000000001"/>
    <n v="2794.13"/>
    <s v="High"/>
    <n v="3.5000000000000003E-2"/>
    <n v="11"/>
    <n v="29659.68995"/>
    <n v="12701.04"/>
    <n v="16958.649949999999"/>
    <n v="0.57177435025749479"/>
    <s v="Delayed"/>
    <x v="0"/>
  </r>
  <r>
    <s v="ORD-2024-289089"/>
    <d v="2024-12-17T00:00:00"/>
    <s v="Q4-2024"/>
    <d v="2024-12-18T00:00:00"/>
    <n v="1"/>
    <x v="3"/>
    <x v="6"/>
    <s v="Munich"/>
    <s v="Education"/>
    <s v="Retail"/>
    <x v="4"/>
    <s v="Accessories"/>
    <s v="ACC-5780"/>
    <n v="346.82"/>
    <n v="701.95"/>
    <s v="High"/>
    <n v="0.14699999999999999"/>
    <n v="8"/>
    <n v="4790.1068000000005"/>
    <n v="2774.56"/>
    <n v="2015.5468000000005"/>
    <n v="0.42077283120284509"/>
    <s v="On-time"/>
    <x v="0"/>
  </r>
  <r>
    <s v="ORD-2025-639542"/>
    <d v="2025-06-09T00:00:00"/>
    <s v="Q2-2025"/>
    <d v="2025-06-18T00:00:00"/>
    <n v="9"/>
    <x v="3"/>
    <x v="7"/>
    <s v="Marseille"/>
    <s v="Small Business"/>
    <s v="Marketplace"/>
    <x v="10"/>
    <s v="Accessories"/>
    <s v="ACC-1770"/>
    <n v="1225.5"/>
    <n v="5.27"/>
    <s v="High"/>
    <n v="7.4999999999999997E-2"/>
    <n v="56"/>
    <n v="272.98599999999999"/>
    <n v="68628"/>
    <n v="-68355.013999999996"/>
    <n v="-250.39750756449047"/>
    <s v="Delayed"/>
    <x v="0"/>
  </r>
  <r>
    <s v="ORD-2025-762301"/>
    <d v="2025-05-02T00:00:00"/>
    <s v="Q2-2025"/>
    <d v="2025-05-13T00:00:00"/>
    <n v="11"/>
    <x v="0"/>
    <x v="0"/>
    <s v="Nakuru"/>
    <s v="Small Business"/>
    <s v="Online"/>
    <x v="8"/>
    <s v="Accessories"/>
    <s v="ACC-2252"/>
    <n v="1057.5999999999999"/>
    <n v="1437.06"/>
    <s v="High"/>
    <n v="0.20499999999999999"/>
    <n v="4"/>
    <n v="4569.8508000000002"/>
    <n v="4230.3999999999996"/>
    <n v="339.45080000000053"/>
    <n v="7.4280499485891424E-2"/>
    <s v="Delayed"/>
    <x v="1"/>
  </r>
  <r>
    <s v="ORD-2024-906395"/>
    <d v="2024-03-10T00:00:00"/>
    <s v="Q1-2024"/>
    <d v="2024-04-09T00:00:00"/>
    <n v="30"/>
    <x v="3"/>
    <x v="7"/>
    <s v="Lyon"/>
    <s v="Corporate"/>
    <s v="Direct"/>
    <x v="2"/>
    <s v="Components"/>
    <s v="CMP-8002"/>
    <n v="1176.56"/>
    <n v="1911.89"/>
    <s v="High"/>
    <n v="0.11899999999999999"/>
    <n v="20"/>
    <n v="33687.501800000005"/>
    <n v="23531.199999999997"/>
    <n v="10156.301800000008"/>
    <n v="0.30148575160892477"/>
    <s v="Delayed"/>
    <x v="0"/>
  </r>
  <r>
    <s v="ORD-2025-779574"/>
    <d v="2025-09-10T00:00:00"/>
    <s v="Q3-2025"/>
    <d v="2025-09-12T00:00:00"/>
    <n v="2"/>
    <x v="1"/>
    <x v="2"/>
    <s v="Tokyo"/>
    <s v="Consumer"/>
    <s v="Online"/>
    <x v="7"/>
    <s v="Components"/>
    <s v="CMP-6971"/>
    <n v="1470.15"/>
    <n v="2593.7800000000002"/>
    <s v="High"/>
    <n v="0.11"/>
    <n v="12"/>
    <n v="27701.570400000001"/>
    <n v="17641.800000000003"/>
    <n v="10059.770399999998"/>
    <n v="0.36314801849645306"/>
    <s v="On-time"/>
    <x v="0"/>
  </r>
  <r>
    <s v="ORD-2025-526650"/>
    <d v="2025-04-27T00:00:00"/>
    <s v="Q2-2025"/>
    <d v="2025-05-25T00:00:00"/>
    <n v="28"/>
    <x v="3"/>
    <x v="7"/>
    <s v="Paris"/>
    <s v="Small Business"/>
    <s v="Marketplace"/>
    <x v="2"/>
    <s v="Phones"/>
    <s v="PHN-8350"/>
    <n v="603.45000000000005"/>
    <n v="1244.08"/>
    <s v="High"/>
    <n v="0.2"/>
    <n v="11"/>
    <n v="10947.904"/>
    <n v="6637.9500000000007"/>
    <n v="4309.9539999999997"/>
    <n v="0.39367846119220623"/>
    <s v="Delayed"/>
    <x v="0"/>
  </r>
  <r>
    <s v="ORD-2024-247979"/>
    <d v="2024-11-02T00:00:00"/>
    <s v="Q4-2024"/>
    <d v="2024-11-18T00:00:00"/>
    <n v="16"/>
    <x v="1"/>
    <x v="4"/>
    <s v="Mumbai"/>
    <s v="Small Business"/>
    <s v="Distributor"/>
    <x v="7"/>
    <s v="Monitors"/>
    <s v="MON-5188"/>
    <n v="1233.58"/>
    <n v="1912.51"/>
    <s v="High"/>
    <n v="0.255"/>
    <n v="51"/>
    <n v="72665.817450000002"/>
    <n v="62912.579999999994"/>
    <n v="9753.2374500000078"/>
    <n v="0.134220432553601"/>
    <s v="Delayed"/>
    <x v="1"/>
  </r>
  <r>
    <s v="ORD-2023-480975"/>
    <d v="2023-02-15T00:00:00"/>
    <s v="Q1-2023"/>
    <d v="2023-02-26T00:00:00"/>
    <n v="11"/>
    <x v="0"/>
    <x v="11"/>
    <s v="Johannesburg"/>
    <s v="Non-Profit"/>
    <s v="Retail"/>
    <x v="11"/>
    <s v="Laptops"/>
    <s v="LAP-3393"/>
    <n v="498.5"/>
    <n v="755.87"/>
    <s v="High"/>
    <n v="0.13"/>
    <n v="40"/>
    <n v="26304.275999999998"/>
    <n v="19940"/>
    <n v="6364.275999999998"/>
    <n v="0.24194834330357537"/>
    <s v="Delayed"/>
    <x v="0"/>
  </r>
  <r>
    <s v="ORD-2023-239789"/>
    <d v="2023-12-03T00:00:00"/>
    <s v="Q4-2023"/>
    <d v="2023-12-26T00:00:00"/>
    <n v="23"/>
    <x v="2"/>
    <x v="5"/>
    <s v="Rio de Janeiro"/>
    <s v="Education"/>
    <s v="Retail"/>
    <x v="7"/>
    <s v="Phones"/>
    <s v="PHN-4644"/>
    <n v="1303.1099999999999"/>
    <n v="1145.67"/>
    <s v="High"/>
    <n v="0.184"/>
    <n v="13"/>
    <n v="12153.267360000002"/>
    <n v="16940.43"/>
    <n v="-4787.1626399999986"/>
    <n v="-0.39389922875851208"/>
    <s v="Delayed"/>
    <x v="0"/>
  </r>
  <r>
    <s v="ORD-2023-548874"/>
    <d v="2023-03-19T00:00:00"/>
    <s v="Q1-2023"/>
    <d v="2023-04-09T00:00:00"/>
    <n v="21"/>
    <x v="3"/>
    <x v="8"/>
    <s v="Manchester"/>
    <s v="Consumer"/>
    <s v="Retail"/>
    <x v="4"/>
    <s v="Accessories"/>
    <s v="ACC-9150"/>
    <n v="1082.17"/>
    <n v="1234.0999999999999"/>
    <s v="High"/>
    <n v="0.189"/>
    <n v="16"/>
    <n v="16013.681599999998"/>
    <n v="17314.72"/>
    <n v="-1301.0384000000031"/>
    <n v="-8.124542703534228E-2"/>
    <s v="Delayed"/>
    <x v="0"/>
  </r>
  <r>
    <s v="ORD-2024-347736"/>
    <d v="2024-05-22T00:00:00"/>
    <s v="Q2-2024"/>
    <d v="2024-06-06T00:00:00"/>
    <n v="15"/>
    <x v="1"/>
    <x v="2"/>
    <s v="Nagoya"/>
    <s v="Corporate"/>
    <s v="Distributor"/>
    <x v="0"/>
    <s v="Monitors"/>
    <s v="MON-6870"/>
    <n v="673.88"/>
    <n v="1228.01"/>
    <s v="High"/>
    <n v="0.105"/>
    <n v="13"/>
    <n v="14287.896349999999"/>
    <n v="8760.44"/>
    <n v="5527.4563499999986"/>
    <n v="0.38686285332689996"/>
    <s v="Delayed"/>
    <x v="0"/>
  </r>
  <r>
    <s v="ORD-2023-749324"/>
    <d v="2023-08-19T00:00:00"/>
    <s v="Q3-2023"/>
    <d v="2023-09-07T00:00:00"/>
    <n v="19"/>
    <x v="0"/>
    <x v="11"/>
    <s v="Johannesburg"/>
    <s v="Enterprise"/>
    <s v="Retail"/>
    <x v="14"/>
    <s v="Monitors"/>
    <s v="MON-2296"/>
    <n v="494.61"/>
    <n v="605.23"/>
    <s v="High"/>
    <n v="0.20399999999999999"/>
    <n v="18"/>
    <n v="8671.7354400000004"/>
    <n v="8902.98"/>
    <n v="-231.24455999999918"/>
    <n v="-2.6666468505639647E-2"/>
    <s v="Delayed"/>
    <x v="1"/>
  </r>
  <r>
    <s v="ORD-2023-809913"/>
    <d v="2023-04-21T00:00:00"/>
    <s v="Q2-2023"/>
    <d v="2023-05-10T00:00:00"/>
    <n v="19"/>
    <x v="1"/>
    <x v="9"/>
    <s v="Shanghai"/>
    <s v="Corporate"/>
    <s v="Retail"/>
    <x v="8"/>
    <s v="Components"/>
    <s v="CMP-7371"/>
    <n v="882.33"/>
    <n v="1880.15"/>
    <s v="High"/>
    <n v="0.05"/>
    <n v="5"/>
    <n v="8930.7124999999996"/>
    <n v="4411.6500000000005"/>
    <n v="4519.0624999999991"/>
    <n v="0.50601365792482955"/>
    <s v="Delayed"/>
    <x v="0"/>
  </r>
  <r>
    <s v="ORD-2024-287210"/>
    <d v="2024-03-18T00:00:00"/>
    <s v="Q1-2024"/>
    <d v="2024-03-21T00:00:00"/>
    <n v="3"/>
    <x v="3"/>
    <x v="6"/>
    <s v="Munich"/>
    <s v="Small Business"/>
    <s v="Online"/>
    <x v="12"/>
    <s v="Accessories"/>
    <s v="ACC-2761"/>
    <n v="910.63"/>
    <n v="1269.4000000000001"/>
    <s v="High"/>
    <n v="6.8000000000000005E-2"/>
    <n v="9"/>
    <n v="10647.727199999999"/>
    <n v="8195.67"/>
    <n v="2452.0571999999993"/>
    <n v="0.23028925834989455"/>
    <s v="On-time"/>
    <x v="0"/>
  </r>
  <r>
    <s v="ORD-2025-640677"/>
    <d v="2025-04-09T00:00:00"/>
    <s v="Q2-2025"/>
    <d v="2025-05-06T00:00:00"/>
    <n v="27"/>
    <x v="2"/>
    <x v="5"/>
    <s v="Brasília"/>
    <s v="Enterprise"/>
    <s v="Marketplace"/>
    <x v="9"/>
    <s v="Laptops"/>
    <s v="LAP-4517"/>
    <n v="264.19"/>
    <n v="620.92999999999995"/>
    <s v="High"/>
    <n v="0.14199999999999999"/>
    <n v="12"/>
    <n v="6393.0952799999995"/>
    <n v="3170.2799999999997"/>
    <n v="3222.8152799999998"/>
    <n v="0.50410875152794532"/>
    <s v="Delayed"/>
    <x v="0"/>
  </r>
  <r>
    <s v="ORD-2024-939873"/>
    <d v="2024-04-12T00:00:00"/>
    <s v="Q2-2024"/>
    <d v="2024-05-07T00:00:00"/>
    <n v="25"/>
    <x v="0"/>
    <x v="11"/>
    <s v="Johannesburg"/>
    <s v="Education"/>
    <s v="Distributor"/>
    <x v="8"/>
    <s v="Laptops"/>
    <s v="LAP-8489"/>
    <n v="1376.51"/>
    <n v="1455.91"/>
    <s v="High"/>
    <n v="0.185"/>
    <n v="17"/>
    <n v="20171.63305"/>
    <n v="23400.67"/>
    <n v="-3229.0369499999979"/>
    <n v="-0.1600781127634085"/>
    <s v="Delayed"/>
    <x v="0"/>
  </r>
  <r>
    <s v="ORD-2024-800947"/>
    <d v="2024-12-15T00:00:00"/>
    <s v="Q4-2024"/>
    <d v="2024-12-20T00:00:00"/>
    <n v="5"/>
    <x v="1"/>
    <x v="9"/>
    <s v="Shenzhen"/>
    <s v="Small Business"/>
    <s v="Direct"/>
    <x v="1"/>
    <s v="Networking"/>
    <s v="NET-1846"/>
    <n v="717.55"/>
    <n v="546.42999999999995"/>
    <s v="High"/>
    <n v="4.7E-2"/>
    <n v="18"/>
    <n v="9373.460219999999"/>
    <n v="12915.9"/>
    <n v="-3542.4397800000006"/>
    <n v="-0.37792231437026369"/>
    <s v="On-time"/>
    <x v="0"/>
  </r>
  <r>
    <s v="ORD-2023-382272"/>
    <d v="2023-05-20T00:00:00"/>
    <s v="Q2-2023"/>
    <d v="2023-05-27T00:00:00"/>
    <n v="7"/>
    <x v="0"/>
    <x v="11"/>
    <s v="Durban"/>
    <s v="Corporate"/>
    <s v="Distributor"/>
    <x v="8"/>
    <s v="Components"/>
    <s v="CMP-5208"/>
    <n v="917.88"/>
    <n v="1347.92"/>
    <s v="High"/>
    <n v="0.3"/>
    <n v="5"/>
    <n v="4717.72"/>
    <n v="4589.3999999999996"/>
    <n v="128.32000000000062"/>
    <n v="2.7199579457873848E-2"/>
    <s v="On-time"/>
    <x v="1"/>
  </r>
  <r>
    <s v="ORD-2023-722117"/>
    <d v="2023-09-18T00:00:00"/>
    <s v="Q3-2023"/>
    <d v="2023-10-08T00:00:00"/>
    <n v="20"/>
    <x v="1"/>
    <x v="4"/>
    <s v="Delhi"/>
    <s v="Small Business"/>
    <s v="Direct"/>
    <x v="5"/>
    <s v="Components"/>
    <s v="CMP-1009"/>
    <n v="825.64"/>
    <n v="1108.43"/>
    <s v="High"/>
    <n v="0.114"/>
    <n v="7"/>
    <n v="6874.4828600000001"/>
    <n v="5779.48"/>
    <n v="1095.0028600000005"/>
    <n v="0.15928512475773349"/>
    <s v="Delayed"/>
    <x v="0"/>
  </r>
  <r>
    <s v="ORD-2024-446699"/>
    <d v="2024-08-28T00:00:00"/>
    <s v="Q3-2024"/>
    <d v="2024-09-25T00:00:00"/>
    <n v="28"/>
    <x v="2"/>
    <x v="5"/>
    <s v="Rio de Janeiro"/>
    <s v="Non-Profit"/>
    <s v="Online"/>
    <x v="15"/>
    <s v="Accessories"/>
    <s v="ACC-4490"/>
    <n v="1394.65"/>
    <n v="3144.1"/>
    <s v="High"/>
    <n v="0.13400000000000001"/>
    <n v="13"/>
    <n v="35396.277799999996"/>
    <n v="18130.45"/>
    <n v="17265.827799999995"/>
    <n v="0.4877865378263021"/>
    <s v="Delayed"/>
    <x v="0"/>
  </r>
  <r>
    <s v="ORD-2024-451005"/>
    <d v="2024-06-30T00:00:00"/>
    <s v="Q2-2024"/>
    <d v="2024-07-07T00:00:00"/>
    <n v="7"/>
    <x v="2"/>
    <x v="5"/>
    <s v="Rio de Janeiro"/>
    <s v="Small Business"/>
    <s v="Direct"/>
    <x v="4"/>
    <s v="Accessories"/>
    <s v="ACC-9162"/>
    <n v="1112.98"/>
    <n v="2095.73"/>
    <s v="High"/>
    <n v="7.1999999999999995E-2"/>
    <n v="17"/>
    <n v="33062.236480000007"/>
    <n v="18920.66"/>
    <n v="14141.576480000007"/>
    <n v="0.42772594916724777"/>
    <s v="On-time"/>
    <x v="0"/>
  </r>
  <r>
    <s v="ORD-2023-290279"/>
    <d v="2023-06-14T00:00:00"/>
    <s v="Q2-2023"/>
    <d v="2023-06-16T00:00:00"/>
    <n v="2"/>
    <x v="3"/>
    <x v="8"/>
    <s v="Manchester"/>
    <s v="Non-Profit"/>
    <s v="Direct"/>
    <x v="11"/>
    <s v="Components"/>
    <s v="CMP-5820"/>
    <n v="357.36"/>
    <n v="703.62"/>
    <s v="High"/>
    <n v="0.25700000000000001"/>
    <n v="20"/>
    <n v="10455.7932"/>
    <n v="7147.2000000000007"/>
    <n v="3308.5931999999993"/>
    <n v="0.31643636563125593"/>
    <s v="On-time"/>
    <x v="1"/>
  </r>
  <r>
    <s v="ORD-2024-192263"/>
    <d v="2024-11-21T00:00:00"/>
    <s v="Q4-2024"/>
    <d v="2024-12-21T00:00:00"/>
    <n v="30"/>
    <x v="3"/>
    <x v="7"/>
    <s v="Marseille"/>
    <s v="Small Business"/>
    <s v="Direct"/>
    <x v="2"/>
    <s v="Monitors"/>
    <s v="MON-7943"/>
    <n v="1122.68"/>
    <n v="1997.19"/>
    <s v="High"/>
    <n v="0.186"/>
    <n v="3"/>
    <n v="4877.1379800000004"/>
    <n v="3368.04"/>
    <n v="1509.0979800000005"/>
    <n v="0.30942285951073306"/>
    <s v="Delayed"/>
    <x v="0"/>
  </r>
  <r>
    <s v="ORD-2023-159379"/>
    <d v="2023-02-08T00:00:00"/>
    <s v="Q1-2023"/>
    <d v="2023-02-11T00:00:00"/>
    <n v="3"/>
    <x v="0"/>
    <x v="11"/>
    <s v="Cape Town"/>
    <s v="Corporate"/>
    <s v="Direct"/>
    <x v="12"/>
    <s v="Networking"/>
    <s v="NET-5018"/>
    <n v="1410.05"/>
    <n v="2763.95"/>
    <s v="High"/>
    <n v="0.161"/>
    <n v="26"/>
    <n v="60292.805299999993"/>
    <n v="36661.299999999996"/>
    <n v="23631.505299999997"/>
    <n v="0.39194569206750779"/>
    <s v="On-time"/>
    <x v="0"/>
  </r>
  <r>
    <s v="ORD-2023-343322"/>
    <d v="2023-08-19T00:00:00"/>
    <s v="Q3-2023"/>
    <d v="2023-09-12T00:00:00"/>
    <n v="24"/>
    <x v="2"/>
    <x v="3"/>
    <s v="Vancouver"/>
    <s v="Enterprise"/>
    <s v="Retail"/>
    <x v="2"/>
    <s v="Printers"/>
    <s v="PRN-9669"/>
    <n v="1183.95"/>
    <n v="1503.53"/>
    <s v="High"/>
    <n v="0.24099999999999999"/>
    <n v="16"/>
    <n v="18258.868320000001"/>
    <n v="18943.2"/>
    <n v="-684.33167999999932"/>
    <n v="-3.7479413729623705E-2"/>
    <s v="Delayed"/>
    <x v="1"/>
  </r>
  <r>
    <s v="ORD-2025-114382"/>
    <d v="2025-05-14T00:00:00"/>
    <s v="Q2-2025"/>
    <d v="2025-05-24T00:00:00"/>
    <n v="10"/>
    <x v="3"/>
    <x v="7"/>
    <s v="Paris"/>
    <s v="Small Business"/>
    <s v="Marketplace"/>
    <x v="11"/>
    <s v="Components"/>
    <s v="CMP-2865"/>
    <n v="170.39"/>
    <n v="388.04"/>
    <s v="High"/>
    <n v="8.4000000000000005E-2"/>
    <n v="15"/>
    <n v="5331.6696000000002"/>
    <n v="2555.85"/>
    <n v="2775.8196000000003"/>
    <n v="0.52062858508711796"/>
    <s v="Delayed"/>
    <x v="0"/>
  </r>
  <r>
    <s v="ORD-2025-488349"/>
    <d v="2025-04-23T00:00:00"/>
    <s v="Q2-2025"/>
    <d v="2025-04-30T00:00:00"/>
    <n v="7"/>
    <x v="2"/>
    <x v="10"/>
    <s v="San Francisco"/>
    <s v="Non-Profit"/>
    <s v="Distributor"/>
    <x v="14"/>
    <s v="Monitors"/>
    <s v="MON-3371"/>
    <n v="23.24"/>
    <n v="44.57"/>
    <s v="High"/>
    <n v="0.215"/>
    <n v="15"/>
    <n v="524.81174999999996"/>
    <n v="348.59999999999997"/>
    <n v="176.21174999999999"/>
    <n v="0.33576182316802167"/>
    <s v="On-time"/>
    <x v="1"/>
  </r>
  <r>
    <s v="ORD-2025-330203"/>
    <d v="2025-03-25T00:00:00"/>
    <s v="Q1-2025"/>
    <d v="2025-04-17T00:00:00"/>
    <n v="23"/>
    <x v="3"/>
    <x v="8"/>
    <s v="London"/>
    <s v="Consumer"/>
    <s v="Retail"/>
    <x v="10"/>
    <s v="Networking"/>
    <s v="NET-7166"/>
    <n v="1421.19"/>
    <n v="1808.26"/>
    <s v="High"/>
    <n v="0.104"/>
    <n v="13"/>
    <n v="21062.61248"/>
    <n v="18475.47"/>
    <n v="2587.1424799999986"/>
    <n v="0.12283103449093123"/>
    <s v="Delayed"/>
    <x v="0"/>
  </r>
  <r>
    <s v="ORD-2023-841426"/>
    <d v="2023-12-22T00:00:00"/>
    <s v="Q4-2023"/>
    <d v="2023-12-23T00:00:00"/>
    <n v="1"/>
    <x v="0"/>
    <x v="11"/>
    <s v="Cape Town"/>
    <s v="Non-Profit"/>
    <s v="Marketplace"/>
    <x v="14"/>
    <s v="Components"/>
    <s v="CMP-4531"/>
    <n v="1186.18"/>
    <n v="1285.0899999999999"/>
    <s v="High"/>
    <n v="7.0000000000000007E-2"/>
    <n v="11"/>
    <n v="13146.470699999998"/>
    <n v="13047.980000000001"/>
    <n v="98.49069999999665"/>
    <n v="7.4917977796121861E-3"/>
    <s v="On-time"/>
    <x v="0"/>
  </r>
  <r>
    <s v="ORD-2024-594592"/>
    <d v="2024-04-06T00:00:00"/>
    <s v="Q2-2024"/>
    <d v="2024-04-25T00:00:00"/>
    <n v="19"/>
    <x v="1"/>
    <x v="9"/>
    <s v="Shanghai"/>
    <s v="Corporate"/>
    <s v="Retail"/>
    <x v="11"/>
    <s v="Components"/>
    <s v="CMP-8196"/>
    <n v="1366.48"/>
    <n v="1678.14"/>
    <s v="High"/>
    <n v="0.154"/>
    <n v="10"/>
    <n v="14197.064400000001"/>
    <n v="13664.8"/>
    <n v="532.26440000000184"/>
    <n v="3.7491159087790132E-2"/>
    <s v="Delayed"/>
    <x v="0"/>
  </r>
  <r>
    <s v="ORD-2025-863978"/>
    <d v="2025-08-07T00:00:00"/>
    <s v="Q3-2025"/>
    <d v="2025-08-19T00:00:00"/>
    <n v="12"/>
    <x v="0"/>
    <x v="0"/>
    <s v="Nakuru"/>
    <s v="Corporate"/>
    <s v="Unknown"/>
    <x v="12"/>
    <s v="Components"/>
    <s v="CMP-2854"/>
    <n v="601.51"/>
    <n v="679.35"/>
    <s v="High"/>
    <n v="0.188"/>
    <n v="3"/>
    <n v="1654.8966000000003"/>
    <n v="1804.53"/>
    <n v="-149.63339999999971"/>
    <n v="-9.0418579626062243E-2"/>
    <s v="Delayed"/>
    <x v="0"/>
  </r>
  <r>
    <s v="ORD-2024-604471"/>
    <d v="2024-01-21T00:00:00"/>
    <s v="Q1-2024"/>
    <d v="2024-01-25T00:00:00"/>
    <n v="4"/>
    <x v="1"/>
    <x v="4"/>
    <s v="Delhi"/>
    <s v="Consumer"/>
    <s v="Direct"/>
    <x v="0"/>
    <s v="Monitors"/>
    <s v="MON-8973"/>
    <n v="523.70000000000005"/>
    <n v="1109.92"/>
    <s v="High"/>
    <n v="0.03"/>
    <n v="11"/>
    <n v="11842.8464"/>
    <n v="5760.7000000000007"/>
    <n v="6082.1463999999996"/>
    <n v="0.51357133197302973"/>
    <s v="On-time"/>
    <x v="0"/>
  </r>
  <r>
    <s v="ORD-2023-258768"/>
    <d v="2023-06-29T00:00:00"/>
    <s v="Q2-2023"/>
    <d v="2023-07-02T00:00:00"/>
    <n v="3"/>
    <x v="1"/>
    <x v="2"/>
    <s v="Nagoya"/>
    <s v="Education"/>
    <s v="Marketplace"/>
    <x v="9"/>
    <s v="Monitors"/>
    <s v="MON-2990"/>
    <n v="55.65"/>
    <n v="83.57"/>
    <s v="High"/>
    <n v="6.6000000000000003E-2"/>
    <n v="8"/>
    <n v="624.43503999999996"/>
    <n v="445.2"/>
    <n v="179.23503999999997"/>
    <n v="0.2870355257449998"/>
    <s v="On-time"/>
    <x v="0"/>
  </r>
  <r>
    <s v="ORD-2025-626047"/>
    <d v="2025-04-28T00:00:00"/>
    <s v="Q2-2025"/>
    <d v="2025-05-15T00:00:00"/>
    <n v="17"/>
    <x v="1"/>
    <x v="2"/>
    <s v="Nagoya"/>
    <s v="Education"/>
    <s v="Direct"/>
    <x v="13"/>
    <s v="Networking"/>
    <s v="NET-1966"/>
    <n v="691.19"/>
    <n v="1284.3"/>
    <s v="High"/>
    <n v="7.3999999999999996E-2"/>
    <n v="7"/>
    <n v="8324.8326000000015"/>
    <n v="4838.33"/>
    <n v="3486.5026000000016"/>
    <n v="0.41880753253825198"/>
    <s v="Delayed"/>
    <x v="0"/>
  </r>
  <r>
    <s v="ORD-2025-526752"/>
    <d v="2025-06-09T00:00:00"/>
    <s v="Q2-2025"/>
    <d v="2025-06-25T00:00:00"/>
    <n v="16"/>
    <x v="1"/>
    <x v="4"/>
    <s v="Hyderabad"/>
    <s v="Enterprise"/>
    <s v="Distributor"/>
    <x v="12"/>
    <s v="Phones"/>
    <s v="PHN-3482"/>
    <n v="527.33000000000004"/>
    <n v="911.72"/>
    <s v="High"/>
    <n v="0.14399999999999999"/>
    <n v="25"/>
    <n v="19510.808000000001"/>
    <n v="13183.250000000002"/>
    <n v="6327.5579999999991"/>
    <n v="0.32431040272652978"/>
    <s v="Delayed"/>
    <x v="0"/>
  </r>
  <r>
    <s v="ORD-2023-374486"/>
    <d v="2023-06-24T00:00:00"/>
    <s v="Q2-2023"/>
    <d v="2023-07-01T00:00:00"/>
    <n v="7"/>
    <x v="2"/>
    <x v="5"/>
    <s v="Rio de Janeiro"/>
    <s v="Non-Profit"/>
    <s v="Retail"/>
    <x v="6"/>
    <s v="Printers"/>
    <s v="PRN-6490"/>
    <n v="804.01"/>
    <n v="1405.07"/>
    <s v="High"/>
    <n v="9.6000000000000002E-2"/>
    <n v="8"/>
    <n v="10161.46624"/>
    <n v="6432.08"/>
    <n v="3729.3862399999998"/>
    <n v="0.36701260939287439"/>
    <s v="On-time"/>
    <x v="0"/>
  </r>
  <r>
    <s v="ORD-2024-997336"/>
    <d v="2024-10-04T00:00:00"/>
    <s v="Q4-2024"/>
    <d v="2024-11-02T00:00:00"/>
    <n v="29"/>
    <x v="0"/>
    <x v="1"/>
    <s v="Abuja"/>
    <s v="Corporate"/>
    <s v="Distributor"/>
    <x v="9"/>
    <s v="Accessories"/>
    <s v="ACC-9038"/>
    <n v="412.09"/>
    <n v="968.94"/>
    <s v="High"/>
    <n v="9.9000000000000005E-2"/>
    <n v="23"/>
    <n v="20079.343620000003"/>
    <n v="9478.07"/>
    <n v="10601.273620000004"/>
    <n v="0.52796913189137418"/>
    <s v="Delayed"/>
    <x v="0"/>
  </r>
  <r>
    <s v="ORD-2025-725646"/>
    <d v="2025-09-10T00:00:00"/>
    <s v="Q3-2025"/>
    <d v="2025-09-30T00:00:00"/>
    <n v="20"/>
    <x v="0"/>
    <x v="0"/>
    <s v="Mombasa"/>
    <s v="Corporate"/>
    <s v="Direct"/>
    <x v="4"/>
    <s v="Phones"/>
    <s v="PHN-6954"/>
    <n v="1009.48"/>
    <n v="1088.81"/>
    <s v="High"/>
    <n v="0.16"/>
    <n v="6"/>
    <n v="5487.6023999999998"/>
    <n v="6056.88"/>
    <n v="-569.27760000000035"/>
    <n v="-0.10373885688219693"/>
    <s v="Delayed"/>
    <x v="0"/>
  </r>
  <r>
    <s v="ORD-2023-868734"/>
    <d v="2023-04-06T00:00:00"/>
    <s v="Q2-2023"/>
    <d v="2023-04-27T00:00:00"/>
    <n v="21"/>
    <x v="3"/>
    <x v="8"/>
    <s v="Manchester"/>
    <s v="Enterprise"/>
    <s v="Distributor"/>
    <x v="2"/>
    <s v="Printers"/>
    <s v="PRN-8970"/>
    <n v="1084.79"/>
    <n v="2484.9899999999998"/>
    <s v="High"/>
    <n v="3.4000000000000002E-2"/>
    <n v="18"/>
    <n v="43209.006119999991"/>
    <n v="19526.22"/>
    <n v="23682.78611999999"/>
    <n v="0.54809837685755114"/>
    <s v="Delayed"/>
    <x v="0"/>
  </r>
  <r>
    <s v="ORD-2025-262491"/>
    <d v="2025-08-01T00:00:00"/>
    <s v="Q3-2025"/>
    <d v="2025-08-16T00:00:00"/>
    <n v="15"/>
    <x v="1"/>
    <x v="4"/>
    <s v="Unknown"/>
    <s v="Enterprise"/>
    <s v="Direct"/>
    <x v="7"/>
    <s v="Monitors"/>
    <s v="MON-1822"/>
    <n v="24.44"/>
    <n v="28.69"/>
    <s v="High"/>
    <n v="0.14599999999999999"/>
    <n v="6"/>
    <n v="147.00756000000001"/>
    <n v="146.64000000000001"/>
    <n v="0.36755999999999744"/>
    <n v="2.5002795774584476E-3"/>
    <s v="Delayed"/>
    <x v="0"/>
  </r>
  <r>
    <s v="ORD-2024-638884"/>
    <d v="2024-05-28T00:00:00"/>
    <s v="Q2-2024"/>
    <d v="2024-06-04T00:00:00"/>
    <n v="7"/>
    <x v="0"/>
    <x v="1"/>
    <s v="Abuja"/>
    <s v="Enterprise"/>
    <s v="Online"/>
    <x v="9"/>
    <s v="Accessories"/>
    <s v="ACC-5177"/>
    <n v="1227.08"/>
    <n v="1896.62"/>
    <s v="High"/>
    <n v="0"/>
    <n v="18"/>
    <n v="34139.159999999996"/>
    <n v="22087.439999999999"/>
    <n v="12051.719999999998"/>
    <n v="0.353017473189147"/>
    <s v="On-time"/>
    <x v="0"/>
  </r>
  <r>
    <s v="ORD-2025-541501"/>
    <d v="2025-07-22T00:00:00"/>
    <s v="Q3-2025"/>
    <d v="2025-08-18T00:00:00"/>
    <n v="27"/>
    <x v="1"/>
    <x v="9"/>
    <s v="Shenzhen"/>
    <s v="Non-Profit"/>
    <s v="Marketplace"/>
    <x v="12"/>
    <s v="Networking"/>
    <s v="NET-1804"/>
    <n v="547.32000000000005"/>
    <n v="419.17"/>
    <s v="High"/>
    <n v="9.1999999999999998E-2"/>
    <n v="14"/>
    <n v="5328.4890400000004"/>
    <n v="7662.4800000000005"/>
    <n v="-2333.9909600000001"/>
    <n v="-0.43802116181137907"/>
    <s v="Delayed"/>
    <x v="0"/>
  </r>
  <r>
    <s v="ORD-2023-422918"/>
    <d v="2023-02-28T00:00:00"/>
    <s v="Q1-2023"/>
    <d v="2023-03-20T00:00:00"/>
    <n v="20"/>
    <x v="3"/>
    <x v="6"/>
    <s v="Berlin"/>
    <s v="Small Business"/>
    <s v="Direct"/>
    <x v="10"/>
    <s v="Laptops"/>
    <s v="LAP-3679"/>
    <n v="1200.78"/>
    <n v="2001.17"/>
    <s v="High"/>
    <n v="0.29199999999999998"/>
    <n v="18"/>
    <n v="25502.910479999999"/>
    <n v="21614.04"/>
    <n v="3888.8704799999978"/>
    <n v="0.15248732034132906"/>
    <s v="Delayed"/>
    <x v="1"/>
  </r>
  <r>
    <s v="ORD-2025-328504"/>
    <d v="2025-01-27T00:00:00"/>
    <s v="Q1-2025"/>
    <d v="2025-02-15T00:00:00"/>
    <n v="19"/>
    <x v="1"/>
    <x v="9"/>
    <s v="Shenzhen"/>
    <s v="Non-Profit"/>
    <s v="Direct"/>
    <x v="4"/>
    <s v="Phones"/>
    <s v="PHN-8368"/>
    <n v="1253.22"/>
    <n v="3104.71"/>
    <s v="High"/>
    <n v="0"/>
    <n v="17"/>
    <n v="52780.07"/>
    <n v="21304.74"/>
    <n v="31475.329999999998"/>
    <n v="0.59634877331538205"/>
    <s v="Delayed"/>
    <x v="0"/>
  </r>
  <r>
    <s v="ORD-2024-851883"/>
    <d v="2024-01-13T00:00:00"/>
    <s v="Q1-2024"/>
    <d v="2024-01-22T00:00:00"/>
    <n v="9"/>
    <x v="1"/>
    <x v="4"/>
    <s v="Mumbai"/>
    <s v="Enterprise"/>
    <s v="Marketplace"/>
    <x v="1"/>
    <s v="Components"/>
    <s v="CMP-8141"/>
    <n v="313.60000000000002"/>
    <n v="334.28"/>
    <s v="High"/>
    <n v="0.14000000000000001"/>
    <n v="22"/>
    <n v="6324.5775999999996"/>
    <n v="6899.2000000000007"/>
    <n v="-574.62240000000111"/>
    <n v="-9.0855458868905517E-2"/>
    <s v="Delayed"/>
    <x v="0"/>
  </r>
  <r>
    <s v="ORD-2025-662997"/>
    <d v="2025-03-31T00:00:00"/>
    <s v="Q1-2025"/>
    <d v="2025-04-04T00:00:00"/>
    <n v="4"/>
    <x v="0"/>
    <x v="0"/>
    <s v="Nakuru"/>
    <s v="Corporate"/>
    <s v="Direct"/>
    <x v="0"/>
    <s v="Laptops"/>
    <s v="LAP-7136"/>
    <n v="862.08"/>
    <n v="1952.83"/>
    <s v="High"/>
    <n v="0"/>
    <n v="7"/>
    <n v="13669.81"/>
    <n v="6034.56"/>
    <n v="7635.2499999999991"/>
    <n v="0.5585483631447693"/>
    <s v="On-time"/>
    <x v="0"/>
  </r>
  <r>
    <s v="ORD-2024-478165"/>
    <d v="2024-12-05T00:00:00"/>
    <s v="Q4-2024"/>
    <d v="2024-12-28T00:00:00"/>
    <n v="23"/>
    <x v="2"/>
    <x v="3"/>
    <s v="Vancouver"/>
    <s v="Corporate"/>
    <s v="Direct"/>
    <x v="9"/>
    <s v="Accessories"/>
    <s v="ACC-2386"/>
    <n v="107.03"/>
    <n v="242.29"/>
    <s v="High"/>
    <n v="0.18"/>
    <n v="30"/>
    <n v="5960.3340000000007"/>
    <n v="3210.9"/>
    <n v="2749.4340000000007"/>
    <n v="0.46128857879440988"/>
    <s v="Delayed"/>
    <x v="0"/>
  </r>
  <r>
    <s v="ORD-2024-771210"/>
    <d v="2024-09-14T00:00:00"/>
    <s v="Q3-2024"/>
    <d v="2024-10-05T00:00:00"/>
    <n v="21"/>
    <x v="1"/>
    <x v="9"/>
    <s v="Shanghai"/>
    <s v="Small Business"/>
    <s v="Online"/>
    <x v="10"/>
    <s v="Laptops"/>
    <s v="LAP-5150"/>
    <n v="1405.56"/>
    <n v="2968.87"/>
    <s v="High"/>
    <n v="0.16900000000000001"/>
    <n v="5"/>
    <n v="12335.654849999999"/>
    <n v="7027.7999999999993"/>
    <n v="5307.8548499999997"/>
    <n v="0.4302856163327235"/>
    <s v="Delayed"/>
    <x v="0"/>
  </r>
  <r>
    <s v="ORD-2024-155337"/>
    <d v="2024-05-21T00:00:00"/>
    <s v="Q2-2024"/>
    <d v="2024-05-27T00:00:00"/>
    <n v="6"/>
    <x v="0"/>
    <x v="11"/>
    <s v="Johannesburg"/>
    <s v="Non-Profit"/>
    <s v="Online"/>
    <x v="12"/>
    <s v="Components"/>
    <s v="CMP-8101"/>
    <n v="1157.51"/>
    <n v="1394.3"/>
    <s v="High"/>
    <n v="0.27800000000000002"/>
    <n v="12"/>
    <n v="12080.215199999999"/>
    <n v="13890.119999999999"/>
    <n v="-1809.9048000000003"/>
    <n v="-0.14982388724333326"/>
    <s v="On-time"/>
    <x v="1"/>
  </r>
  <r>
    <s v="ORD-2023-251563"/>
    <d v="2023-05-11T00:00:00"/>
    <s v="Q2-2023"/>
    <d v="2023-06-07T00:00:00"/>
    <n v="27"/>
    <x v="0"/>
    <x v="0"/>
    <s v="Mombasa"/>
    <s v="Corporate"/>
    <s v="Online"/>
    <x v="1"/>
    <s v="Phones"/>
    <s v="PHN-8970"/>
    <n v="12.85"/>
    <n v="15.41"/>
    <s v="High"/>
    <n v="0.13700000000000001"/>
    <n v="39"/>
    <n v="518.65436999999997"/>
    <n v="501.15"/>
    <n v="17.504369999999994"/>
    <n v="3.3749585489851353E-2"/>
    <s v="Delayed"/>
    <x v="0"/>
  </r>
  <r>
    <s v="ORD-2024-286833"/>
    <d v="2024-08-14T00:00:00"/>
    <s v="Q3-2024"/>
    <d v="2024-09-04T00:00:00"/>
    <n v="21"/>
    <x v="3"/>
    <x v="8"/>
    <s v="Manchester"/>
    <s v="Non-Profit"/>
    <s v="Online"/>
    <x v="1"/>
    <s v="Phones"/>
    <s v="PHN-2341"/>
    <n v="1138.8"/>
    <n v="2250.81"/>
    <s v="High"/>
    <n v="0.123"/>
    <n v="12"/>
    <n v="23687.524440000001"/>
    <n v="13665.599999999999"/>
    <n v="10021.924440000003"/>
    <n v="0.42308872188756258"/>
    <s v="Delayed"/>
    <x v="0"/>
  </r>
  <r>
    <s v="ORD-2024-792558"/>
    <d v="2024-10-16T00:00:00"/>
    <s v="Q4-2024"/>
    <d v="2024-11-08T00:00:00"/>
    <n v="23"/>
    <x v="1"/>
    <x v="2"/>
    <s v="Osaka"/>
    <s v="Small Business"/>
    <s v="Retail"/>
    <x v="1"/>
    <s v="Networking"/>
    <s v="NET-6387"/>
    <n v="82.14"/>
    <n v="166.04"/>
    <s v="High"/>
    <n v="0"/>
    <n v="10"/>
    <n v="1660.3999999999999"/>
    <n v="821.4"/>
    <n v="838.99999999999989"/>
    <n v="0.50529992772825827"/>
    <s v="Delayed"/>
    <x v="0"/>
  </r>
  <r>
    <s v="ORD-2024-166150"/>
    <d v="2024-06-02T00:00:00"/>
    <s v="Q2-2024"/>
    <d v="2024-06-08T00:00:00"/>
    <n v="6"/>
    <x v="0"/>
    <x v="0"/>
    <s v="Kisumu"/>
    <s v="Consumer"/>
    <s v="Marketplace"/>
    <x v="8"/>
    <s v="Accessories"/>
    <s v="ACC-9820"/>
    <n v="292.94"/>
    <n v="356.55"/>
    <s v="High"/>
    <n v="0.22900000000000001"/>
    <n v="2"/>
    <n v="549.80010000000004"/>
    <n v="585.88"/>
    <n v="-36.079899999999952"/>
    <n v="-6.5623669402751925E-2"/>
    <s v="On-time"/>
    <x v="1"/>
  </r>
  <r>
    <s v="ORD-2024-909942"/>
    <d v="2024-06-09T00:00:00"/>
    <s v="Q2-2024"/>
    <d v="2024-07-07T00:00:00"/>
    <n v="28"/>
    <x v="1"/>
    <x v="9"/>
    <s v="Shenzhen"/>
    <s v="Corporate"/>
    <s v="Online"/>
    <x v="1"/>
    <s v="Components"/>
    <s v="CMP-6392"/>
    <n v="550.22"/>
    <n v="1025.05"/>
    <s v="High"/>
    <n v="0"/>
    <n v="27"/>
    <n v="27676.35"/>
    <n v="14855.94"/>
    <n v="12820.409999999998"/>
    <n v="0.46322618408858102"/>
    <s v="Delayed"/>
    <x v="0"/>
  </r>
  <r>
    <s v="ORD-2024-223618"/>
    <d v="2024-06-10T00:00:00"/>
    <s v="Q2-2024"/>
    <d v="2024-06-11T00:00:00"/>
    <n v="1"/>
    <x v="3"/>
    <x v="8"/>
    <s v="Birmingham"/>
    <s v="Small Business"/>
    <s v="Marketplace"/>
    <x v="12"/>
    <s v="Laptops"/>
    <s v="LAP-9230"/>
    <n v="1187.1300000000001"/>
    <n v="1795.17"/>
    <s v="High"/>
    <n v="1.2E-2"/>
    <n v="17"/>
    <n v="30151.675319999998"/>
    <n v="20181.210000000003"/>
    <n v="9970.4653199999957"/>
    <n v="0.33067699271046663"/>
    <s v="On-time"/>
    <x v="0"/>
  </r>
  <r>
    <s v="ORD-2024-919471"/>
    <d v="2024-06-29T00:00:00"/>
    <s v="Q2-2024"/>
    <d v="2024-07-26T00:00:00"/>
    <n v="27"/>
    <x v="0"/>
    <x v="11"/>
    <s v="Durban"/>
    <s v="Enterprise"/>
    <s v="Distributor"/>
    <x v="5"/>
    <s v="Networking"/>
    <s v="NET-4241"/>
    <n v="5.36"/>
    <n v="4.37"/>
    <s v="High"/>
    <n v="0.11799999999999999"/>
    <n v="9"/>
    <n v="34.689059999999998"/>
    <n v="48.24"/>
    <n v="-13.550940000000004"/>
    <n v="-0.39064016148030545"/>
    <s v="Delayed"/>
    <x v="0"/>
  </r>
  <r>
    <s v="ORD-2025-649239"/>
    <d v="2025-01-17T00:00:00"/>
    <s v="Q1-2025"/>
    <d v="2025-01-24T00:00:00"/>
    <n v="7"/>
    <x v="2"/>
    <x v="10"/>
    <s v="Austin"/>
    <s v="Enterprise"/>
    <s v="Online"/>
    <x v="3"/>
    <s v="Accessories"/>
    <s v="ACC-4511"/>
    <n v="142.09"/>
    <n v="218.5"/>
    <s v="High"/>
    <n v="0.11899999999999999"/>
    <n v="11"/>
    <n v="2117.4834999999998"/>
    <n v="1562.99"/>
    <n v="554.49349999999981"/>
    <n v="0.26186437816398561"/>
    <s v="On-time"/>
    <x v="0"/>
  </r>
  <r>
    <s v="ORD-2023-975863"/>
    <d v="2023-11-20T00:00:00"/>
    <s v="Q4-2023"/>
    <d v="2023-12-05T00:00:00"/>
    <n v="15"/>
    <x v="1"/>
    <x v="2"/>
    <s v="Tokyo"/>
    <s v="Enterprise"/>
    <s v="Retail"/>
    <x v="4"/>
    <s v="Networking"/>
    <s v="NET-3033"/>
    <n v="354.24"/>
    <n v="249.87"/>
    <s v="High"/>
    <n v="0"/>
    <n v="6"/>
    <n v="1499.22"/>
    <n v="2125.44"/>
    <n v="-626.22"/>
    <n v="-0.41769720254532355"/>
    <s v="Delayed"/>
    <x v="0"/>
  </r>
  <r>
    <s v="ORD-2023-869884"/>
    <d v="2023-03-02T00:00:00"/>
    <s v="Q1-2023"/>
    <d v="2023-03-05T00:00:00"/>
    <n v="3"/>
    <x v="2"/>
    <x v="5"/>
    <s v="Brasília"/>
    <s v="Enterprise"/>
    <s v="Direct"/>
    <x v="3"/>
    <s v="Monitors"/>
    <s v="MON-2828"/>
    <n v="1473.58"/>
    <n v="3436.52"/>
    <s v="High"/>
    <n v="0.108"/>
    <n v="8"/>
    <n v="24523.006720000001"/>
    <n v="11788.64"/>
    <n v="12734.366720000002"/>
    <n v="0.51928243813652564"/>
    <s v="On-time"/>
    <x v="0"/>
  </r>
  <r>
    <s v="ORD-2025-698069"/>
    <d v="2025-06-03T00:00:00"/>
    <s v="Q2-2025"/>
    <d v="2025-06-10T00:00:00"/>
    <n v="7"/>
    <x v="2"/>
    <x v="3"/>
    <s v="Toronto"/>
    <s v="Consumer"/>
    <s v="Distributor"/>
    <x v="7"/>
    <s v="Printers"/>
    <s v="PRN-6429"/>
    <n v="75.180000000000007"/>
    <n v="53.45"/>
    <s v="High"/>
    <n v="0.157"/>
    <n v="17"/>
    <n v="765.99195000000009"/>
    <n v="1278.0600000000002"/>
    <n v="-512.06805000000008"/>
    <n v="-0.66850317421743144"/>
    <s v="On-time"/>
    <x v="0"/>
  </r>
  <r>
    <s v="ORD-2024-474999"/>
    <d v="2024-12-27T00:00:00"/>
    <s v="Q4-2024"/>
    <d v="2025-01-02T00:00:00"/>
    <n v="6"/>
    <x v="3"/>
    <x v="6"/>
    <s v="Frankfurt"/>
    <s v="Education"/>
    <s v="Direct"/>
    <x v="9"/>
    <s v="Laptops"/>
    <s v="LAP-8214"/>
    <n v="1391.99"/>
    <n v="3469.7"/>
    <s v="High"/>
    <n v="0.184"/>
    <n v="23"/>
    <n v="65119.329599999997"/>
    <n v="32015.77"/>
    <n v="33103.559599999993"/>
    <n v="0.50835227886006973"/>
    <s v="On-time"/>
    <x v="0"/>
  </r>
  <r>
    <s v="ORD-2023-427304"/>
    <d v="2023-06-09T00:00:00"/>
    <s v="Q2-2023"/>
    <d v="2023-06-19T00:00:00"/>
    <n v="10"/>
    <x v="1"/>
    <x v="9"/>
    <s v="Beijing"/>
    <s v="Enterprise"/>
    <s v="Retail"/>
    <x v="9"/>
    <s v="Monitors"/>
    <s v="MON-9194"/>
    <n v="339.61"/>
    <n v="621.02"/>
    <s v="High"/>
    <n v="7.0999999999999994E-2"/>
    <n v="10"/>
    <n v="5769.2758000000003"/>
    <n v="3396.1000000000004"/>
    <n v="2373.1758"/>
    <n v="0.41134726129750981"/>
    <s v="Delayed"/>
    <x v="0"/>
  </r>
  <r>
    <s v="ORD-2025-956101"/>
    <d v="2025-07-09T00:00:00"/>
    <s v="Q3-2025"/>
    <d v="2025-07-18T00:00:00"/>
    <n v="9"/>
    <x v="2"/>
    <x v="3"/>
    <s v="Vancouver"/>
    <s v="Education"/>
    <s v="Distributor"/>
    <x v="2"/>
    <s v="Laptops"/>
    <s v="LAP-2218"/>
    <n v="57.96"/>
    <n v="88.51"/>
    <s v="High"/>
    <n v="4.2999999999999997E-2"/>
    <n v="7"/>
    <n v="592.92849000000001"/>
    <n v="405.72"/>
    <n v="187.20848999999998"/>
    <n v="0.3157353595877978"/>
    <s v="Delayed"/>
    <x v="0"/>
  </r>
  <r>
    <s v="ORD-2025-184082"/>
    <d v="2025-06-19T00:00:00"/>
    <s v="Q2-2025"/>
    <d v="2025-07-12T00:00:00"/>
    <n v="23"/>
    <x v="3"/>
    <x v="8"/>
    <s v="Unknown"/>
    <s v="Non-Profit"/>
    <s v="Direct"/>
    <x v="15"/>
    <s v="Networking"/>
    <s v="NET-6370"/>
    <n v="801.24"/>
    <n v="1959.09"/>
    <s v="High"/>
    <n v="0.123"/>
    <n v="23"/>
    <n v="39516.804389999998"/>
    <n v="18428.52"/>
    <n v="21088.284389999997"/>
    <n v="0.53365358650651762"/>
    <s v="Delayed"/>
    <x v="0"/>
  </r>
  <r>
    <s v="ORD-2023-576840"/>
    <d v="2023-11-19T00:00:00"/>
    <s v="Q4-2023"/>
    <d v="2023-12-13T00:00:00"/>
    <n v="24"/>
    <x v="3"/>
    <x v="7"/>
    <s v="Lyon"/>
    <s v="Non-Profit"/>
    <s v="Direct"/>
    <x v="10"/>
    <s v="Monitors"/>
    <s v="MON-3745"/>
    <n v="1297.42"/>
    <n v="2742.97"/>
    <s v="High"/>
    <n v="6.9000000000000006E-2"/>
    <n v="9"/>
    <n v="22983.34563"/>
    <n v="11676.78"/>
    <n v="11306.565629999999"/>
    <n v="0.49194602961727291"/>
    <s v="Delayed"/>
    <x v="0"/>
  </r>
  <r>
    <s v="ORD-2023-178249"/>
    <d v="2023-12-29T00:00:00"/>
    <s v="Q4-2023"/>
    <d v="2024-01-20T00:00:00"/>
    <n v="22"/>
    <x v="0"/>
    <x v="0"/>
    <s v="Kisumu"/>
    <s v="Corporate"/>
    <s v="Direct"/>
    <x v="4"/>
    <s v="Phones"/>
    <s v="PHN-7924"/>
    <n v="1395.49"/>
    <n v="1679.42"/>
    <s v="High"/>
    <n v="0.20300000000000001"/>
    <n v="12"/>
    <n v="16061.972879999999"/>
    <n v="16745.88"/>
    <n v="-683.90712000000167"/>
    <n v="-4.2579272490964493E-2"/>
    <s v="Delayed"/>
    <x v="1"/>
  </r>
  <r>
    <s v="ORD-2024-588972"/>
    <d v="2024-11-02T00:00:00"/>
    <s v="Q4-2024"/>
    <d v="2024-11-29T00:00:00"/>
    <n v="27"/>
    <x v="2"/>
    <x v="5"/>
    <s v="Brasília"/>
    <s v="Small Business"/>
    <s v="Direct"/>
    <x v="2"/>
    <s v="Networking"/>
    <s v="NET-8561"/>
    <n v="1363.51"/>
    <n v="1433.9"/>
    <s v="High"/>
    <n v="5.7000000000000002E-2"/>
    <n v="8"/>
    <n v="10817.3416"/>
    <n v="10908.08"/>
    <n v="-90.738400000000183"/>
    <n v="-8.3882346842037592E-3"/>
    <s v="Delayed"/>
    <x v="0"/>
  </r>
  <r>
    <s v="ORD-2023-603238"/>
    <d v="2023-08-21T00:00:00"/>
    <s v="Q3-2023"/>
    <d v="2023-09-04T00:00:00"/>
    <n v="14"/>
    <x v="2"/>
    <x v="3"/>
    <s v="Montreal"/>
    <s v="Education"/>
    <s v="Distributor"/>
    <x v="9"/>
    <s v="Components"/>
    <s v="CMP-2136"/>
    <n v="178.19"/>
    <n v="284.43"/>
    <s v="High"/>
    <n v="8.8999999999999996E-2"/>
    <n v="8"/>
    <n v="2072.9258400000003"/>
    <n v="1425.52"/>
    <n v="647.40584000000035"/>
    <n v="0.31231500302972742"/>
    <s v="Delayed"/>
    <x v="0"/>
  </r>
  <r>
    <s v="ORD-2023-883066"/>
    <d v="2023-08-12T00:00:00"/>
    <s v="Q3-2023"/>
    <d v="2023-09-06T00:00:00"/>
    <n v="25"/>
    <x v="1"/>
    <x v="9"/>
    <s v="Shanghai"/>
    <s v="Small Business"/>
    <s v="Retail"/>
    <x v="5"/>
    <s v="Components"/>
    <s v="CMP-6352"/>
    <n v="950.77"/>
    <n v="694.78"/>
    <s v="High"/>
    <n v="8.4000000000000005E-2"/>
    <n v="14"/>
    <n v="8909.8587200000002"/>
    <n v="13310.779999999999"/>
    <n v="-4400.9212799999987"/>
    <n v="-0.49393839097821279"/>
    <s v="Delayed"/>
    <x v="0"/>
  </r>
  <r>
    <s v="ORD-2024-584090"/>
    <d v="2024-06-07T00:00:00"/>
    <s v="Q2-2024"/>
    <d v="2024-06-26T00:00:00"/>
    <n v="19"/>
    <x v="3"/>
    <x v="6"/>
    <s v="Berlin"/>
    <s v="Non-Profit"/>
    <s v="Marketplace"/>
    <x v="12"/>
    <s v="Components"/>
    <s v="CMP-2040"/>
    <n v="1064.32"/>
    <n v="1848.39"/>
    <s v="High"/>
    <n v="7.2999999999999995E-2"/>
    <n v="38"/>
    <n v="65111.38614000001"/>
    <n v="40444.159999999996"/>
    <n v="24667.226140000013"/>
    <n v="0.3788465827921631"/>
    <s v="Delayed"/>
    <x v="0"/>
  </r>
  <r>
    <s v="ORD-2025-537785"/>
    <d v="2025-08-05T00:00:00"/>
    <s v="Q3-2025"/>
    <d v="2025-08-14T00:00:00"/>
    <n v="9"/>
    <x v="3"/>
    <x v="8"/>
    <s v="London"/>
    <s v="Non-Profit"/>
    <s v="Direct"/>
    <x v="6"/>
    <s v="Components"/>
    <s v="CMP-6346"/>
    <n v="41.76"/>
    <n v="45.19"/>
    <s v="High"/>
    <n v="0.17899999999999999"/>
    <n v="23"/>
    <n v="853.32276999999988"/>
    <n v="960.4799999999999"/>
    <n v="-107.15723000000003"/>
    <n v="-0.12557643340514638"/>
    <s v="Delayed"/>
    <x v="0"/>
  </r>
  <r>
    <s v="ORD-2024-605518"/>
    <d v="2024-05-30T00:00:00"/>
    <s v="Q2-2024"/>
    <d v="2024-06-13T00:00:00"/>
    <n v="14"/>
    <x v="2"/>
    <x v="10"/>
    <s v="San Francisco"/>
    <s v="Small Business"/>
    <s v="Retail"/>
    <x v="9"/>
    <s v="Phones"/>
    <s v="PHN-4356"/>
    <n v="157.78"/>
    <n v="361.1"/>
    <s v="High"/>
    <n v="0.187"/>
    <n v="9"/>
    <n v="2642.1686999999997"/>
    <n v="1420.02"/>
    <n v="1222.1486999999997"/>
    <n v="0.46255513510549112"/>
    <s v="Delayed"/>
    <x v="0"/>
  </r>
  <r>
    <s v="ORD-2023-521818"/>
    <d v="2023-01-22T00:00:00"/>
    <s v="Q1-2023"/>
    <d v="2023-01-30T00:00:00"/>
    <n v="8"/>
    <x v="2"/>
    <x v="10"/>
    <s v="San Francisco"/>
    <s v="Small Business"/>
    <s v="Online"/>
    <x v="8"/>
    <s v="Networking"/>
    <s v="NET-4155"/>
    <n v="413.52"/>
    <n v="1004.34"/>
    <s v="High"/>
    <n v="0.111"/>
    <n v="18"/>
    <n v="16071.44868"/>
    <n v="7443.36"/>
    <n v="8628.0886800000007"/>
    <n v="0.53685817948304593"/>
    <s v="Delayed"/>
    <x v="0"/>
  </r>
  <r>
    <s v="ORD-2025-650719"/>
    <d v="2025-02-12T00:00:00"/>
    <s v="Q1-2025"/>
    <d v="2025-02-28T00:00:00"/>
    <n v="16"/>
    <x v="2"/>
    <x v="5"/>
    <s v="São Paulo"/>
    <s v="Non-Profit"/>
    <s v="Direct"/>
    <x v="5"/>
    <s v="Monitors"/>
    <s v="MON-5179"/>
    <n v="414.95"/>
    <n v="1027.73"/>
    <s v="High"/>
    <n v="6.3E-2"/>
    <n v="8"/>
    <n v="7703.8640800000003"/>
    <n v="3319.6"/>
    <n v="4384.2640800000008"/>
    <n v="0.56909935513815568"/>
    <s v="Delayed"/>
    <x v="0"/>
  </r>
  <r>
    <s v="ORD-2025-501927"/>
    <d v="2025-03-03T00:00:00"/>
    <s v="Q1-2025"/>
    <d v="2025-03-24T00:00:00"/>
    <n v="21"/>
    <x v="0"/>
    <x v="1"/>
    <s v="Abuja"/>
    <s v="Enterprise"/>
    <s v="Direct"/>
    <x v="10"/>
    <s v="Accessories"/>
    <s v="ACC-4056"/>
    <n v="555.95000000000005"/>
    <n v="468.09"/>
    <s v="High"/>
    <n v="0.14199999999999999"/>
    <n v="11"/>
    <n v="4417.8334199999999"/>
    <n v="6115.4500000000007"/>
    <n v="-1697.6165800000008"/>
    <n v="-0.38426450674095375"/>
    <s v="Delayed"/>
    <x v="0"/>
  </r>
  <r>
    <s v="ORD-2023-430904"/>
    <d v="2023-01-27T00:00:00"/>
    <s v="Q1-2023"/>
    <d v="2023-01-31T00:00:00"/>
    <n v="4"/>
    <x v="3"/>
    <x v="8"/>
    <s v="Manchester"/>
    <s v="Enterprise"/>
    <s v="Online"/>
    <x v="13"/>
    <s v="Laptops"/>
    <s v="LAP-9782"/>
    <n v="941.2"/>
    <n v="668.02"/>
    <s v="High"/>
    <n v="0.22"/>
    <n v="16"/>
    <n v="8336.8896000000004"/>
    <n v="15059.2"/>
    <n v="-6722.3104000000003"/>
    <n v="-0.80633314371825193"/>
    <s v="On-time"/>
    <x v="1"/>
  </r>
  <r>
    <s v="ORD-2025-354346"/>
    <d v="2025-01-09T00:00:00"/>
    <s v="Q1-2025"/>
    <d v="2025-01-15T00:00:00"/>
    <n v="6"/>
    <x v="1"/>
    <x v="9"/>
    <s v="Beijing"/>
    <s v="Education"/>
    <s v="Online"/>
    <x v="0"/>
    <s v="Phones"/>
    <s v="PHN-2875"/>
    <n v="304.77999999999997"/>
    <n v="537.27"/>
    <s v="High"/>
    <n v="0.187"/>
    <n v="8"/>
    <n v="3494.4040799999998"/>
    <n v="2438.2399999999998"/>
    <n v="1056.16408"/>
    <n v="0.3022444044307549"/>
    <s v="On-time"/>
    <x v="0"/>
  </r>
  <r>
    <s v="ORD-2024-164288"/>
    <d v="2024-12-21T00:00:00"/>
    <s v="Q4-2024"/>
    <d v="2024-12-26T00:00:00"/>
    <n v="5"/>
    <x v="2"/>
    <x v="10"/>
    <s v="San Francisco"/>
    <s v="Consumer"/>
    <s v="Marketplace"/>
    <x v="12"/>
    <s v="Printers"/>
    <s v="PRN-4788"/>
    <n v="699.57"/>
    <n v="572.71"/>
    <s v="High"/>
    <n v="0.192"/>
    <n v="26"/>
    <n v="12031.491680000001"/>
    <n v="18188.82"/>
    <n v="-6157.3283199999987"/>
    <n v="-0.51176765805651114"/>
    <s v="On-time"/>
    <x v="0"/>
  </r>
  <r>
    <s v="ORD-2023-867285"/>
    <d v="2023-04-12T00:00:00"/>
    <s v="Q2-2023"/>
    <d v="2023-04-17T00:00:00"/>
    <n v="5"/>
    <x v="3"/>
    <x v="7"/>
    <s v="Lyon"/>
    <s v="Enterprise"/>
    <s v="Direct"/>
    <x v="6"/>
    <s v="Monitors"/>
    <s v="MON-3043"/>
    <n v="1087.81"/>
    <n v="2323.87"/>
    <s v="High"/>
    <n v="9.4E-2"/>
    <n v="13"/>
    <n v="27370.540859999997"/>
    <n v="14141.529999999999"/>
    <n v="13229.010859999999"/>
    <n v="0.48333026839572651"/>
    <s v="On-time"/>
    <x v="0"/>
  </r>
  <r>
    <s v="ORD-2024-836421"/>
    <d v="2024-12-14T00:00:00"/>
    <s v="Q4-2024"/>
    <d v="2025-01-12T00:00:00"/>
    <n v="29"/>
    <x v="1"/>
    <x v="9"/>
    <s v="Shenzhen"/>
    <s v="Education"/>
    <s v="Online"/>
    <x v="1"/>
    <s v="Components"/>
    <s v="CMP-3720"/>
    <n v="1412.15"/>
    <n v="1631.04"/>
    <s v="High"/>
    <n v="8.9999999999999993E-3"/>
    <n v="6"/>
    <n v="9698.1638399999993"/>
    <n v="8472.9000000000015"/>
    <n v="1225.2638399999978"/>
    <n v="0.12633977526203535"/>
    <s v="Delayed"/>
    <x v="0"/>
  </r>
  <r>
    <s v="ORD-2023-613287"/>
    <d v="2023-03-31T00:00:00"/>
    <s v="Q1-2023"/>
    <d v="2023-04-12T00:00:00"/>
    <n v="12"/>
    <x v="0"/>
    <x v="0"/>
    <s v="Mombasa"/>
    <s v="Small Business"/>
    <s v="Online"/>
    <x v="0"/>
    <s v="Phones"/>
    <s v="PHN-8014"/>
    <n v="304.22000000000003"/>
    <n v="393.31"/>
    <s v="High"/>
    <n v="0.26500000000000001"/>
    <n v="15"/>
    <n v="4336.2427499999994"/>
    <n v="4563.3"/>
    <n v="-227.05725000000075"/>
    <n v="-5.2362670424759034E-2"/>
    <s v="Delayed"/>
    <x v="1"/>
  </r>
  <r>
    <s v="ORD-2024-783321"/>
    <d v="2024-11-20T00:00:00"/>
    <s v="Q4-2024"/>
    <d v="2024-12-15T00:00:00"/>
    <n v="25"/>
    <x v="3"/>
    <x v="7"/>
    <s v="Paris"/>
    <s v="Corporate"/>
    <s v="Online"/>
    <x v="3"/>
    <s v="Printers"/>
    <s v="PRN-4911"/>
    <n v="1203.58"/>
    <n v="1856.16"/>
    <s v="High"/>
    <n v="0.129"/>
    <n v="22"/>
    <n v="35567.737920000007"/>
    <n v="26478.76"/>
    <n v="9088.9779200000085"/>
    <n v="0.25553994860295032"/>
    <s v="Delayed"/>
    <x v="0"/>
  </r>
  <r>
    <s v="ORD-2024-232632"/>
    <d v="2024-02-14T00:00:00"/>
    <s v="Q1-2024"/>
    <d v="2024-02-14T00:00:00"/>
    <n v="0"/>
    <x v="1"/>
    <x v="9"/>
    <s v="Beijing"/>
    <s v="Corporate"/>
    <s v="Distributor"/>
    <x v="4"/>
    <s v="Accessories"/>
    <s v="ACC-1021"/>
    <n v="65.930000000000007"/>
    <n v="84.9"/>
    <s v="High"/>
    <n v="0.25900000000000001"/>
    <n v="23"/>
    <n v="1446.9507000000001"/>
    <n v="1516.39"/>
    <n v="-69.439300000000003"/>
    <n v="-4.7990093926489688E-2"/>
    <s v="On-time"/>
    <x v="1"/>
  </r>
  <r>
    <s v="ORD-2023-906481"/>
    <d v="2023-05-02T00:00:00"/>
    <s v="Q2-2023"/>
    <d v="2023-05-18T00:00:00"/>
    <n v="16"/>
    <x v="1"/>
    <x v="4"/>
    <s v="Delhi"/>
    <s v="Small Business"/>
    <s v="Marketplace"/>
    <x v="11"/>
    <s v="Monitors"/>
    <s v="MON-2266"/>
    <n v="1463.92"/>
    <n v="2252.2399999999998"/>
    <s v="High"/>
    <n v="0.11799999999999999"/>
    <n v="44"/>
    <n v="87404.929919999995"/>
    <n v="64412.480000000003"/>
    <n v="22992.449919999992"/>
    <n v="0.26305667130040061"/>
    <s v="Delayed"/>
    <x v="0"/>
  </r>
  <r>
    <s v="ORD-2024-902741"/>
    <d v="2024-12-23T00:00:00"/>
    <s v="Q4-2024"/>
    <d v="2025-01-11T00:00:00"/>
    <n v="19"/>
    <x v="3"/>
    <x v="6"/>
    <s v="Berlin"/>
    <s v="Education"/>
    <s v="Retail"/>
    <x v="11"/>
    <s v="Phones"/>
    <s v="PHN-8057"/>
    <n v="501.81"/>
    <n v="921.62"/>
    <s v="High"/>
    <n v="0.01"/>
    <n v="9"/>
    <n v="8211.6342000000004"/>
    <n v="4516.29"/>
    <n v="3695.3442000000005"/>
    <n v="0.45001325071202031"/>
    <s v="Delayed"/>
    <x v="0"/>
  </r>
  <r>
    <s v="ORD-2023-912395"/>
    <d v="2023-07-26T00:00:00"/>
    <s v="Q3-2023"/>
    <d v="2023-08-25T00:00:00"/>
    <n v="30"/>
    <x v="2"/>
    <x v="10"/>
    <s v="New York"/>
    <s v="Consumer"/>
    <s v="Retail"/>
    <x v="12"/>
    <s v="Accessories"/>
    <s v="ACC-7078"/>
    <n v="1261.48"/>
    <n v="1643.18"/>
    <s v="High"/>
    <n v="0.151"/>
    <n v="23"/>
    <n v="32086.37586"/>
    <n v="29014.04"/>
    <n v="3072.3358599999992"/>
    <n v="9.5752037357079045E-2"/>
    <s v="Delayed"/>
    <x v="0"/>
  </r>
  <r>
    <s v="ORD-2024-389102"/>
    <d v="2024-06-15T00:00:00"/>
    <s v="Q2-2024"/>
    <d v="2024-07-06T00:00:00"/>
    <n v="21"/>
    <x v="2"/>
    <x v="3"/>
    <s v="Toronto"/>
    <s v="Enterprise"/>
    <s v="Distributor"/>
    <x v="4"/>
    <s v="Printers"/>
    <s v="PRN-4453"/>
    <n v="817.23"/>
    <n v="1467.17"/>
    <s v="High"/>
    <n v="0.245"/>
    <n v="9"/>
    <n v="9969.4201499999999"/>
    <n v="7355.07"/>
    <n v="2614.3501500000002"/>
    <n v="0.26223693160328893"/>
    <s v="Delayed"/>
    <x v="1"/>
  </r>
  <r>
    <s v="ORD-2023-309373"/>
    <d v="2023-07-05T00:00:00"/>
    <s v="Q3-2023"/>
    <d v="2023-07-14T00:00:00"/>
    <n v="9"/>
    <x v="2"/>
    <x v="5"/>
    <s v="Brasília"/>
    <s v="Enterprise"/>
    <s v="Direct"/>
    <x v="5"/>
    <s v="Networking"/>
    <s v="NET-2394"/>
    <n v="578.85"/>
    <n v="998.76"/>
    <s v="High"/>
    <n v="8.2000000000000003E-2"/>
    <n v="28"/>
    <n v="25672.127039999999"/>
    <n v="16207.800000000001"/>
    <n v="9464.3270399999983"/>
    <n v="0.36866158480960831"/>
    <s v="Delayed"/>
    <x v="0"/>
  </r>
  <r>
    <s v="ORD-2023-825495"/>
    <d v="2023-11-30T00:00:00"/>
    <s v="Q4-2023"/>
    <d v="2023-12-07T00:00:00"/>
    <n v="7"/>
    <x v="0"/>
    <x v="11"/>
    <s v="Durban"/>
    <s v="Small Business"/>
    <s v="Marketplace"/>
    <x v="6"/>
    <s v="Laptops"/>
    <s v="LAP-1525"/>
    <n v="275.56"/>
    <n v="630.72"/>
    <s v="High"/>
    <n v="0.107"/>
    <n v="23"/>
    <n v="12954.358080000002"/>
    <n v="6337.88"/>
    <n v="6616.4780800000017"/>
    <n v="0.5107530638831933"/>
    <s v="On-time"/>
    <x v="0"/>
  </r>
  <r>
    <s v="ORD-2025-244832"/>
    <d v="2025-09-11T00:00:00"/>
    <s v="Q3-2025"/>
    <d v="2025-09-28T00:00:00"/>
    <n v="17"/>
    <x v="0"/>
    <x v="0"/>
    <s v="Nairobi"/>
    <s v="Non-Profit"/>
    <s v="Distributor"/>
    <x v="1"/>
    <s v="Laptops"/>
    <s v="LAP-3278"/>
    <n v="891.46"/>
    <n v="728.61"/>
    <s v="High"/>
    <n v="0.185"/>
    <n v="6"/>
    <n v="3562.9028999999996"/>
    <n v="5348.76"/>
    <n v="-1785.8571000000006"/>
    <n v="-0.50123653383874167"/>
    <s v="Delayed"/>
    <x v="0"/>
  </r>
  <r>
    <s v="ORD-2024-211453"/>
    <d v="2024-04-04T00:00:00"/>
    <s v="Q2-2024"/>
    <d v="2024-04-24T00:00:00"/>
    <n v="20"/>
    <x v="3"/>
    <x v="6"/>
    <s v="Frankfurt"/>
    <s v="Non-Profit"/>
    <s v="Direct"/>
    <x v="7"/>
    <s v="Accessories"/>
    <s v="ACC-6543"/>
    <n v="683.42"/>
    <n v="951.51"/>
    <s v="High"/>
    <n v="0"/>
    <n v="14"/>
    <n v="13321.14"/>
    <n v="9567.8799999999992"/>
    <n v="3753.26"/>
    <n v="0.28175216235247136"/>
    <s v="Delayed"/>
    <x v="0"/>
  </r>
  <r>
    <s v="ORD-2023-192324"/>
    <d v="2023-09-14T00:00:00"/>
    <s v="Q3-2023"/>
    <d v="2023-09-16T00:00:00"/>
    <n v="2"/>
    <x v="3"/>
    <x v="7"/>
    <s v="Lyon"/>
    <s v="Non-Profit"/>
    <s v="Direct"/>
    <x v="5"/>
    <s v="Printers"/>
    <s v="PRN-4432"/>
    <n v="376.83"/>
    <n v="732.88"/>
    <s v="High"/>
    <n v="0.188"/>
    <n v="25"/>
    <n v="14877.464000000002"/>
    <n v="9420.75"/>
    <n v="5456.7140000000018"/>
    <n v="0.36677716040852132"/>
    <s v="On-time"/>
    <x v="0"/>
  </r>
  <r>
    <s v="ORD-2024-438404"/>
    <d v="2024-09-23T00:00:00"/>
    <s v="Q3-2024"/>
    <d v="2024-10-18T00:00:00"/>
    <n v="25"/>
    <x v="2"/>
    <x v="3"/>
    <s v="Vancouver"/>
    <s v="Small Business"/>
    <s v="Online"/>
    <x v="13"/>
    <s v="Phones"/>
    <s v="PHN-4568"/>
    <n v="1297"/>
    <n v="2411.52"/>
    <s v="High"/>
    <n v="2.1000000000000001E-2"/>
    <n v="18"/>
    <n v="42495.805439999996"/>
    <n v="23346"/>
    <n v="19149.805439999996"/>
    <n v="0.45062813239385913"/>
    <s v="Delayed"/>
    <x v="0"/>
  </r>
  <r>
    <s v="ORD-2025-246470"/>
    <d v="2025-04-16T00:00:00"/>
    <s v="Q2-2025"/>
    <d v="2025-05-16T00:00:00"/>
    <n v="30"/>
    <x v="2"/>
    <x v="3"/>
    <s v="Montreal"/>
    <s v="Enterprise"/>
    <s v="Distributor"/>
    <x v="11"/>
    <s v="Printers"/>
    <s v="PRN-6178"/>
    <n v="763.32"/>
    <n v="568.29"/>
    <s v="High"/>
    <n v="0.13100000000000001"/>
    <n v="16"/>
    <n v="7901.5041599999995"/>
    <n v="12213.12"/>
    <n v="-4311.6158400000013"/>
    <n v="-0.54567026134426555"/>
    <s v="Delayed"/>
    <x v="0"/>
  </r>
  <r>
    <s v="ORD-2023-497686"/>
    <d v="2023-07-03T00:00:00"/>
    <s v="Q3-2023"/>
    <d v="2023-07-23T00:00:00"/>
    <n v="20"/>
    <x v="0"/>
    <x v="11"/>
    <s v="Johannesburg"/>
    <s v="Small Business"/>
    <s v="Distributor"/>
    <x v="9"/>
    <s v="Laptops"/>
    <s v="LAP-6342"/>
    <n v="1001.96"/>
    <n v="1254.95"/>
    <s v="High"/>
    <n v="4.4999999999999998E-2"/>
    <n v="18"/>
    <n v="21572.590500000002"/>
    <n v="18035.28"/>
    <n v="3537.3105000000032"/>
    <n v="0.16397244920585699"/>
    <s v="Delayed"/>
    <x v="0"/>
  </r>
  <r>
    <s v="ORD-2023-596758"/>
    <d v="2023-12-07T00:00:00"/>
    <s v="Q4-2023"/>
    <d v="2023-12-14T00:00:00"/>
    <n v="7"/>
    <x v="1"/>
    <x v="2"/>
    <s v="Tokyo"/>
    <s v="Non-Profit"/>
    <s v="Marketplace"/>
    <x v="10"/>
    <s v="Printers"/>
    <s v="PRN-8175"/>
    <n v="1097.5899999999999"/>
    <n v="845.55"/>
    <s v="High"/>
    <n v="0.184"/>
    <n v="6"/>
    <n v="4139.8127999999997"/>
    <n v="6585.5399999999991"/>
    <n v="-2445.7271999999994"/>
    <n v="-0.59078207594314402"/>
    <s v="On-time"/>
    <x v="0"/>
  </r>
  <r>
    <s v="ORD-2024-201376"/>
    <d v="2024-02-18T00:00:00"/>
    <s v="Q1-2024"/>
    <d v="2024-03-04T00:00:00"/>
    <n v="15"/>
    <x v="0"/>
    <x v="0"/>
    <s v="Kisumu"/>
    <s v="Education"/>
    <s v="Direct"/>
    <x v="11"/>
    <s v="Printers"/>
    <s v="PRN-7089"/>
    <n v="928.68"/>
    <n v="2145.17"/>
    <s v="High"/>
    <n v="0.13600000000000001"/>
    <n v="16"/>
    <n v="29654.83008"/>
    <n v="14858.88"/>
    <n v="14795.950080000001"/>
    <n v="0.49893896003062177"/>
    <s v="Delayed"/>
    <x v="0"/>
  </r>
  <r>
    <s v="ORD-2023-842488"/>
    <d v="2023-10-31T00:00:00"/>
    <s v="Q4-2023"/>
    <d v="2023-11-02T00:00:00"/>
    <n v="2"/>
    <x v="0"/>
    <x v="0"/>
    <s v="Kisumu"/>
    <s v="Education"/>
    <s v="Retail"/>
    <x v="7"/>
    <s v="Accessories"/>
    <s v="ACC-4124"/>
    <n v="867.89"/>
    <n v="1349.94"/>
    <s v="High"/>
    <n v="0.184"/>
    <n v="10"/>
    <n v="11015.510400000003"/>
    <n v="8678.9"/>
    <n v="2336.6104000000032"/>
    <n v="0.21212003031652557"/>
    <s v="On-time"/>
    <x v="0"/>
  </r>
  <r>
    <s v="ORD-2024-136321"/>
    <d v="2024-08-07T00:00:00"/>
    <s v="Q3-2024"/>
    <d v="2024-08-17T00:00:00"/>
    <n v="10"/>
    <x v="1"/>
    <x v="2"/>
    <s v="Osaka"/>
    <s v="Consumer"/>
    <s v="Online"/>
    <x v="11"/>
    <s v="Networking"/>
    <s v="NET-7924"/>
    <n v="436.58"/>
    <n v="527.48"/>
    <s v="High"/>
    <n v="0.111"/>
    <n v="19"/>
    <n v="8909.6646800000017"/>
    <n v="8295.02"/>
    <n v="614.64468000000124"/>
    <n v="6.8986286473802644E-2"/>
    <s v="Delayed"/>
    <x v="0"/>
  </r>
  <r>
    <s v="ORD-2024-764468"/>
    <d v="2024-02-01T00:00:00"/>
    <s v="Q1-2024"/>
    <d v="2024-02-21T00:00:00"/>
    <n v="20"/>
    <x v="3"/>
    <x v="7"/>
    <s v="Paris"/>
    <s v="Small Business"/>
    <s v="Marketplace"/>
    <x v="8"/>
    <s v="Networking"/>
    <s v="NET-8761"/>
    <n v="656.2"/>
    <n v="1467.17"/>
    <s v="High"/>
    <n v="1.7999999999999999E-2"/>
    <n v="5"/>
    <n v="7203.8047000000006"/>
    <n v="3281"/>
    <n v="3922.8047000000006"/>
    <n v="0.54454623124360946"/>
    <s v="Delayed"/>
    <x v="0"/>
  </r>
  <r>
    <s v="ORD-2024-553449"/>
    <d v="2024-08-27T00:00:00"/>
    <s v="Q3-2024"/>
    <d v="2024-09-18T00:00:00"/>
    <n v="22"/>
    <x v="1"/>
    <x v="4"/>
    <s v="Delhi"/>
    <s v="Consumer"/>
    <s v="Direct"/>
    <x v="5"/>
    <s v="Components"/>
    <s v="CMP-3875"/>
    <n v="896.75"/>
    <n v="1651.14"/>
    <s v="High"/>
    <n v="2.5000000000000001E-2"/>
    <n v="15"/>
    <n v="24147.922500000001"/>
    <n v="13451.25"/>
    <n v="10696.672500000001"/>
    <n v="0.44296450346815552"/>
    <s v="Delayed"/>
    <x v="0"/>
  </r>
  <r>
    <s v="ORD-2025-766923"/>
    <d v="2025-02-15T00:00:00"/>
    <s v="Q1-2025"/>
    <d v="2025-02-15T00:00:00"/>
    <n v="0"/>
    <x v="3"/>
    <x v="6"/>
    <s v="Frankfurt"/>
    <s v="Small Business"/>
    <s v="Marketplace"/>
    <x v="4"/>
    <s v="Accessories"/>
    <s v="ACC-3989"/>
    <n v="815.83"/>
    <n v="1982.18"/>
    <s v="High"/>
    <n v="0.127"/>
    <n v="6"/>
    <n v="10382.65884"/>
    <n v="4894.9800000000005"/>
    <n v="5487.6788399999996"/>
    <n v="0.52854272923408507"/>
    <s v="On-time"/>
    <x v="0"/>
  </r>
  <r>
    <s v="ORD-2025-418232"/>
    <d v="2025-08-01T00:00:00"/>
    <s v="Q3-2025"/>
    <d v="2025-08-21T00:00:00"/>
    <n v="20"/>
    <x v="1"/>
    <x v="9"/>
    <s v="Shanghai"/>
    <s v="Corporate"/>
    <s v="Direct"/>
    <x v="2"/>
    <s v="Phones"/>
    <s v="PHN-9234"/>
    <n v="1220.4100000000001"/>
    <n v="2552.2199999999998"/>
    <s v="High"/>
    <n v="0.18099999999999999"/>
    <n v="14"/>
    <n v="29263.754519999995"/>
    <n v="17085.740000000002"/>
    <n v="12178.014519999993"/>
    <n v="0.41614668793360271"/>
    <s v="Delayed"/>
    <x v="0"/>
  </r>
  <r>
    <s v="ORD-2023-848013"/>
    <d v="2023-02-20T00:00:00"/>
    <s v="Q1-2023"/>
    <d v="2023-03-04T00:00:00"/>
    <n v="12"/>
    <x v="1"/>
    <x v="4"/>
    <s v="Delhi"/>
    <s v="Consumer"/>
    <s v="Distributor"/>
    <x v="12"/>
    <s v="Monitors"/>
    <s v="MON-9906"/>
    <n v="299.75"/>
    <n v="523.01"/>
    <s v="High"/>
    <n v="0.157"/>
    <n v="50"/>
    <n v="22044.871499999997"/>
    <n v="14987.5"/>
    <n v="7057.3714999999975"/>
    <n v="0.32013665854210122"/>
    <s v="Delayed"/>
    <x v="0"/>
  </r>
  <r>
    <s v="ORD-2024-357368"/>
    <d v="2024-10-30T00:00:00"/>
    <s v="Q4-2024"/>
    <d v="2024-11-24T00:00:00"/>
    <n v="25"/>
    <x v="1"/>
    <x v="9"/>
    <s v="Shenzhen"/>
    <s v="Small Business"/>
    <s v="Online"/>
    <x v="6"/>
    <s v="Components"/>
    <s v="CMP-4610"/>
    <n v="811.05"/>
    <n v="1217.71"/>
    <s v="High"/>
    <n v="7.1999999999999995E-2"/>
    <n v="5"/>
    <n v="5650.1744000000008"/>
    <n v="4055.25"/>
    <n v="1594.9244000000008"/>
    <n v="0.28227879125288602"/>
    <s v="Delayed"/>
    <x v="0"/>
  </r>
  <r>
    <s v="ORD-2024-219735"/>
    <d v="2024-04-03T00:00:00"/>
    <s v="Q2-2024"/>
    <d v="2024-04-07T00:00:00"/>
    <n v="4"/>
    <x v="2"/>
    <x v="5"/>
    <s v="Brasília"/>
    <s v="Non-Profit"/>
    <s v="Direct"/>
    <x v="13"/>
    <s v="Phones"/>
    <s v="PHN-5445"/>
    <n v="1023.27"/>
    <n v="1343.64"/>
    <s v="High"/>
    <n v="0.13300000000000001"/>
    <n v="7"/>
    <n v="8154.5511600000009"/>
    <n v="7162.8899999999994"/>
    <n v="991.66116000000147"/>
    <n v="0.12160830688810116"/>
    <s v="On-time"/>
    <x v="0"/>
  </r>
  <r>
    <s v="ORD-2023-240507"/>
    <d v="2023-03-25T00:00:00"/>
    <s v="Q1-2023"/>
    <d v="2023-03-26T00:00:00"/>
    <n v="1"/>
    <x v="1"/>
    <x v="2"/>
    <s v="Osaka"/>
    <s v="Small Business"/>
    <s v="Distributor"/>
    <x v="2"/>
    <s v="Monitors"/>
    <s v="MON-9227"/>
    <n v="135.12"/>
    <n v="301.7"/>
    <s v="High"/>
    <n v="0.14000000000000001"/>
    <n v="47"/>
    <n v="12194.714"/>
    <n v="6350.64"/>
    <n v="5844.0739999999996"/>
    <n v="0.47923009920527859"/>
    <s v="On-time"/>
    <x v="0"/>
  </r>
  <r>
    <s v="ORD-2024-134084"/>
    <d v="2024-06-04T00:00:00"/>
    <s v="Q2-2024"/>
    <d v="2024-06-16T00:00:00"/>
    <n v="12"/>
    <x v="1"/>
    <x v="9"/>
    <s v="Shanghai"/>
    <s v="Corporate"/>
    <s v="Retail"/>
    <x v="1"/>
    <s v="Printers"/>
    <s v="PRN-4097"/>
    <n v="918.42"/>
    <n v="1511.71"/>
    <s v="High"/>
    <n v="0.02"/>
    <n v="8"/>
    <n v="11851.806399999999"/>
    <n v="7347.36"/>
    <n v="4504.4463999999998"/>
    <n v="0.38006412254590999"/>
    <s v="Delayed"/>
    <x v="0"/>
  </r>
  <r>
    <s v="ORD-2023-884625"/>
    <d v="2023-02-19T00:00:00"/>
    <s v="Q1-2023"/>
    <d v="2023-03-12T00:00:00"/>
    <n v="21"/>
    <x v="3"/>
    <x v="6"/>
    <s v="Berlin"/>
    <s v="Small Business"/>
    <s v="Direct"/>
    <x v="4"/>
    <s v="Monitors"/>
    <s v="MON-6699"/>
    <n v="1234.81"/>
    <n v="2055.2399999999998"/>
    <s v="High"/>
    <n v="5.2999999999999999E-2"/>
    <n v="44"/>
    <n v="85637.740319999997"/>
    <n v="54331.64"/>
    <n v="31306.100319999998"/>
    <n v="0.36556429680441616"/>
    <s v="Delayed"/>
    <x v="0"/>
  </r>
  <r>
    <s v="ORD-2023-157993"/>
    <d v="2023-04-18T00:00:00"/>
    <s v="Q2-2023"/>
    <d v="2023-05-18T00:00:00"/>
    <n v="30"/>
    <x v="1"/>
    <x v="9"/>
    <s v="Shenzhen"/>
    <s v="Non-Profit"/>
    <s v="Retail"/>
    <x v="10"/>
    <s v="Laptops"/>
    <s v="LAP-1482"/>
    <n v="329.03"/>
    <n v="391.15"/>
    <s v="High"/>
    <n v="0.19700000000000001"/>
    <n v="46"/>
    <n v="14448.298699999998"/>
    <n v="15135.38"/>
    <n v="-687.08130000000165"/>
    <n v="-4.7554477815440081E-2"/>
    <s v="Delayed"/>
    <x v="0"/>
  </r>
  <r>
    <s v="ORD-2024-329104"/>
    <d v="2024-05-23T00:00:00"/>
    <s v="Q2-2024"/>
    <d v="2024-06-14T00:00:00"/>
    <n v="22"/>
    <x v="3"/>
    <x v="7"/>
    <s v="Marseille"/>
    <s v="Small Business"/>
    <s v="Online"/>
    <x v="13"/>
    <s v="Monitors"/>
    <s v="MON-2100"/>
    <n v="1481.74"/>
    <n v="1848.97"/>
    <s v="High"/>
    <n v="0.254"/>
    <n v="9"/>
    <n v="12413.98458"/>
    <n v="13335.66"/>
    <n v="-921.67541999999958"/>
    <n v="-7.4244930309072407E-2"/>
    <s v="Delayed"/>
    <x v="1"/>
  </r>
  <r>
    <s v="ORD-2023-304451"/>
    <d v="2023-10-07T00:00:00"/>
    <s v="Q4-2023"/>
    <d v="2023-10-23T00:00:00"/>
    <n v="16"/>
    <x v="1"/>
    <x v="4"/>
    <s v="Hyderabad"/>
    <s v="Consumer"/>
    <s v="Retail"/>
    <x v="3"/>
    <s v="Monitors"/>
    <s v="MON-7602"/>
    <n v="906.81"/>
    <n v="1395.56"/>
    <s v="High"/>
    <n v="0.185"/>
    <n v="6"/>
    <n v="6824.2884000000004"/>
    <n v="5440.86"/>
    <n v="1383.4284000000007"/>
    <n v="0.20272126834498974"/>
    <s v="Delayed"/>
    <x v="0"/>
  </r>
  <r>
    <s v="ORD-2024-942981"/>
    <d v="2024-10-09T00:00:00"/>
    <s v="Q4-2024"/>
    <d v="2024-11-08T00:00:00"/>
    <n v="30"/>
    <x v="3"/>
    <x v="8"/>
    <s v="Manchester"/>
    <s v="Small Business"/>
    <s v="Distributor"/>
    <x v="1"/>
    <s v="Components"/>
    <s v="CMP-1072"/>
    <n v="343.85"/>
    <n v="538.04"/>
    <s v="High"/>
    <n v="0.13900000000000001"/>
    <n v="5"/>
    <n v="2316.2621999999997"/>
    <n v="1719.25"/>
    <n v="597.01219999999967"/>
    <n v="0.25774810813732563"/>
    <s v="Delayed"/>
    <x v="0"/>
  </r>
  <r>
    <s v="ORD-2024-605629"/>
    <d v="2024-07-15T00:00:00"/>
    <s v="Q3-2024"/>
    <d v="2024-07-15T00:00:00"/>
    <n v="0"/>
    <x v="1"/>
    <x v="2"/>
    <s v="Tokyo"/>
    <s v="Small Business"/>
    <s v="Marketplace"/>
    <x v="3"/>
    <s v="Accessories"/>
    <s v="ACC-2735"/>
    <n v="801.77"/>
    <n v="1218.92"/>
    <s v="High"/>
    <n v="0.254"/>
    <n v="16"/>
    <n v="14549.029120000001"/>
    <n v="12828.32"/>
    <n v="1720.7091200000013"/>
    <n v="0.11826968698788344"/>
    <s v="On-time"/>
    <x v="1"/>
  </r>
  <r>
    <s v="ORD-2023-450877"/>
    <d v="2023-09-21T00:00:00"/>
    <s v="Q3-2023"/>
    <d v="2023-10-10T00:00:00"/>
    <n v="19"/>
    <x v="1"/>
    <x v="2"/>
    <s v="Tokyo"/>
    <s v="Education"/>
    <s v="Online"/>
    <x v="14"/>
    <s v="Components"/>
    <s v="CMP-5211"/>
    <n v="845.63"/>
    <n v="2062.12"/>
    <s v="High"/>
    <n v="0.13400000000000001"/>
    <n v="5"/>
    <n v="8928.9795999999988"/>
    <n v="4228.1499999999996"/>
    <n v="4700.8295999999991"/>
    <n v="0.52646884757133949"/>
    <s v="Delayed"/>
    <x v="0"/>
  </r>
  <r>
    <s v="ORD-2023-286994"/>
    <d v="2023-02-24T00:00:00"/>
    <s v="Q1-2023"/>
    <d v="2023-03-09T00:00:00"/>
    <n v="13"/>
    <x v="2"/>
    <x v="10"/>
    <s v="New York"/>
    <s v="Enterprise"/>
    <s v="Online"/>
    <x v="12"/>
    <s v="Components"/>
    <s v="CMP-1632"/>
    <n v="6.85"/>
    <n v="10.18"/>
    <s v="High"/>
    <n v="4.7E-2"/>
    <n v="10"/>
    <n v="97.0154"/>
    <n v="68.5"/>
    <n v="28.5154"/>
    <n v="0.2939265312517394"/>
    <s v="Delayed"/>
    <x v="0"/>
  </r>
  <r>
    <s v="ORD-2025-700847"/>
    <d v="2025-05-21T00:00:00"/>
    <s v="Q2-2025"/>
    <d v="2025-05-28T00:00:00"/>
    <n v="7"/>
    <x v="0"/>
    <x v="11"/>
    <s v="Johannesburg"/>
    <s v="Non-Profit"/>
    <s v="Distributor"/>
    <x v="7"/>
    <s v="Laptops"/>
    <s v="LAP-7099"/>
    <n v="1263.8399999999999"/>
    <n v="2281.7199999999998"/>
    <s v="High"/>
    <n v="7.8E-2"/>
    <n v="15"/>
    <n v="31556.187599999997"/>
    <n v="18957.599999999999"/>
    <n v="12598.587599999999"/>
    <n v="0.39924301882398494"/>
    <s v="On-time"/>
    <x v="0"/>
  </r>
  <r>
    <s v="ORD-2024-970848"/>
    <d v="2024-05-23T00:00:00"/>
    <s v="Q2-2024"/>
    <d v="2024-06-03T00:00:00"/>
    <n v="11"/>
    <x v="0"/>
    <x v="11"/>
    <s v="Johannesburg"/>
    <s v="Small Business"/>
    <s v="Distributor"/>
    <x v="9"/>
    <s v="Printers"/>
    <s v="PRN-3785"/>
    <n v="180.89"/>
    <n v="249.57"/>
    <s v="High"/>
    <n v="2.1999999999999999E-2"/>
    <n v="8"/>
    <n v="1952.6356799999999"/>
    <n v="1447.12"/>
    <n v="505.51567999999997"/>
    <n v="0.25888888806948362"/>
    <s v="Delayed"/>
    <x v="0"/>
  </r>
  <r>
    <s v="ORD-2025-845715"/>
    <d v="2025-04-14T00:00:00"/>
    <s v="Q2-2025"/>
    <d v="2025-05-04T00:00:00"/>
    <n v="20"/>
    <x v="3"/>
    <x v="8"/>
    <s v="Birmingham"/>
    <s v="Enterprise"/>
    <s v="Marketplace"/>
    <x v="11"/>
    <s v="Monitors"/>
    <s v="MON-6962"/>
    <n v="1413.87"/>
    <n v="3275"/>
    <s v="High"/>
    <n v="0.255"/>
    <n v="38"/>
    <n v="92715.25"/>
    <n v="53727.06"/>
    <n v="38988.19"/>
    <n v="0.42051539525590453"/>
    <s v="Delayed"/>
    <x v="1"/>
  </r>
  <r>
    <s v="ORD-2023-664749"/>
    <d v="2023-08-27T00:00:00"/>
    <s v="Q3-2023"/>
    <d v="2023-09-11T00:00:00"/>
    <n v="15"/>
    <x v="3"/>
    <x v="8"/>
    <s v="London"/>
    <s v="Consumer"/>
    <s v="Marketplace"/>
    <x v="13"/>
    <s v="Printers"/>
    <s v="PRN-5107"/>
    <n v="943.79"/>
    <n v="1913.76"/>
    <s v="High"/>
    <n v="9.0999999999999998E-2"/>
    <n v="9"/>
    <n v="15656.47056"/>
    <n v="8494.11"/>
    <n v="7162.3605599999992"/>
    <n v="0.45746967891338081"/>
    <s v="Delayed"/>
    <x v="0"/>
  </r>
  <r>
    <s v="ORD-2024-960952"/>
    <d v="2024-02-03T00:00:00"/>
    <s v="Q1-2024"/>
    <d v="2024-02-21T00:00:00"/>
    <n v="18"/>
    <x v="3"/>
    <x v="6"/>
    <s v="Frankfurt"/>
    <s v="Corporate"/>
    <s v="Retail"/>
    <x v="10"/>
    <s v="Components"/>
    <s v="CMP-9264"/>
    <n v="39.229999999999997"/>
    <n v="30.09"/>
    <s v="High"/>
    <n v="0.17699999999999999"/>
    <n v="13"/>
    <n v="321.93290999999999"/>
    <n v="509.98999999999995"/>
    <n v="-188.05708999999996"/>
    <n v="-0.58414993981199359"/>
    <s v="Delayed"/>
    <x v="0"/>
  </r>
  <r>
    <s v="ORD-2023-987700"/>
    <d v="2023-04-05T00:00:00"/>
    <s v="Q2-2023"/>
    <d v="2023-04-16T00:00:00"/>
    <n v="11"/>
    <x v="2"/>
    <x v="3"/>
    <s v="Vancouver"/>
    <s v="Non-Profit"/>
    <s v="Online"/>
    <x v="7"/>
    <s v="Monitors"/>
    <s v="MON-5259"/>
    <n v="213.1"/>
    <n v="501.31"/>
    <s v="High"/>
    <n v="5.6000000000000001E-2"/>
    <n v="15"/>
    <n v="7098.5495999999994"/>
    <n v="3196.5"/>
    <n v="3902.0495999999994"/>
    <n v="0.54969674368409005"/>
    <s v="Delayed"/>
    <x v="0"/>
  </r>
  <r>
    <s v="ORD-2025-652467"/>
    <d v="2025-08-21T00:00:00"/>
    <s v="Q3-2025"/>
    <d v="2025-09-12T00:00:00"/>
    <n v="22"/>
    <x v="1"/>
    <x v="9"/>
    <s v="Shenzhen"/>
    <s v="Education"/>
    <s v="Retail"/>
    <x v="5"/>
    <s v="Printers"/>
    <s v="PRN-8137"/>
    <n v="352.66"/>
    <n v="411.18"/>
    <s v="High"/>
    <n v="0.17299999999999999"/>
    <n v="13"/>
    <n v="4420.5961799999995"/>
    <n v="4584.58"/>
    <n v="-163.98382000000038"/>
    <n v="-3.7095408248758066E-2"/>
    <s v="Delayed"/>
    <x v="0"/>
  </r>
  <r>
    <s v="ORD-2025-667201"/>
    <d v="2025-09-15T00:00:00"/>
    <s v="Q3-2025"/>
    <d v="2025-09-18T00:00:00"/>
    <n v="3"/>
    <x v="2"/>
    <x v="5"/>
    <s v="Rio de Janeiro"/>
    <s v="Non-Profit"/>
    <s v="Direct"/>
    <x v="4"/>
    <s v="Accessories"/>
    <s v="ACC-6777"/>
    <n v="5.5"/>
    <n v="5.92"/>
    <s v="High"/>
    <n v="0.21199999999999999"/>
    <n v="4"/>
    <n v="18.659839999999999"/>
    <n v="22"/>
    <n v="-3.3401600000000009"/>
    <n v="-0.17900260666758133"/>
    <s v="On-time"/>
    <x v="1"/>
  </r>
  <r>
    <s v="ORD-2024-237478"/>
    <d v="2024-10-03T00:00:00"/>
    <s v="Q4-2024"/>
    <d v="2024-10-11T00:00:00"/>
    <n v="8"/>
    <x v="1"/>
    <x v="9"/>
    <s v="Beijing"/>
    <s v="Enterprise"/>
    <s v="Direct"/>
    <x v="5"/>
    <s v="Phones"/>
    <s v="PHN-7488"/>
    <n v="1132.6099999999999"/>
    <n v="2206.63"/>
    <s v="High"/>
    <n v="6.3E-2"/>
    <n v="20"/>
    <n v="41352.246200000009"/>
    <n v="22652.199999999997"/>
    <n v="18700.046200000012"/>
    <n v="0.45221355351671338"/>
    <s v="Delayed"/>
    <x v="0"/>
  </r>
  <r>
    <s v="ORD-2025-898843"/>
    <d v="2025-02-02T00:00:00"/>
    <s v="Q1-2025"/>
    <d v="2025-03-04T00:00:00"/>
    <n v="30"/>
    <x v="1"/>
    <x v="2"/>
    <s v="Osaka"/>
    <s v="Education"/>
    <s v="Distributor"/>
    <x v="4"/>
    <s v="Accessories"/>
    <s v="ACC-9591"/>
    <n v="766.59"/>
    <n v="1912.8"/>
    <s v="High"/>
    <n v="0.19600000000000001"/>
    <n v="5"/>
    <n v="7689.4560000000001"/>
    <n v="3832.9500000000003"/>
    <n v="3856.5059999999999"/>
    <n v="0.50153170783472845"/>
    <s v="Delayed"/>
    <x v="0"/>
  </r>
  <r>
    <s v="ORD-2023-334213"/>
    <d v="2023-08-19T00:00:00"/>
    <s v="Q3-2023"/>
    <d v="2023-08-23T00:00:00"/>
    <n v="4"/>
    <x v="0"/>
    <x v="1"/>
    <s v="Abuja"/>
    <s v="Small Business"/>
    <s v="Online"/>
    <x v="1"/>
    <s v="Monitors"/>
    <s v="MON-5517"/>
    <n v="790.63"/>
    <n v="1382.31"/>
    <s v="High"/>
    <n v="0.10100000000000001"/>
    <n v="7"/>
    <n v="8698.8768300000011"/>
    <n v="5534.41"/>
    <n v="3164.4668300000012"/>
    <n v="0.36377878338116448"/>
    <s v="On-time"/>
    <x v="0"/>
  </r>
  <r>
    <s v="ORD-2024-640340"/>
    <d v="2024-10-22T00:00:00"/>
    <s v="Q4-2024"/>
    <d v="2024-10-29T00:00:00"/>
    <n v="7"/>
    <x v="0"/>
    <x v="1"/>
    <s v="Port Harcourt"/>
    <s v="Enterprise"/>
    <s v="Distributor"/>
    <x v="12"/>
    <s v="Monitors"/>
    <s v="MON-8758"/>
    <n v="1023.06"/>
    <n v="1355.61"/>
    <s v="High"/>
    <n v="0.153"/>
    <n v="23"/>
    <n v="26408.63841"/>
    <n v="23530.379999999997"/>
    <n v="2878.2584100000022"/>
    <n v="0.10898927711888809"/>
    <s v="On-time"/>
    <x v="0"/>
  </r>
  <r>
    <s v="ORD-2023-399631"/>
    <d v="2023-06-22T00:00:00"/>
    <s v="Q2-2023"/>
    <d v="2023-07-21T00:00:00"/>
    <n v="29"/>
    <x v="3"/>
    <x v="7"/>
    <s v="Lyon"/>
    <s v="Corporate"/>
    <s v="Retail"/>
    <x v="1"/>
    <s v="Accessories"/>
    <s v="ACC-3385"/>
    <n v="734.34"/>
    <n v="887.9"/>
    <s v="High"/>
    <n v="2.5000000000000001E-2"/>
    <n v="12"/>
    <n v="10388.429999999998"/>
    <n v="8812.08"/>
    <n v="1576.3499999999985"/>
    <n v="0.15174092716608753"/>
    <s v="Delayed"/>
    <x v="0"/>
  </r>
  <r>
    <s v="ORD-2025-542939"/>
    <d v="2025-01-13T00:00:00"/>
    <s v="Q1-2025"/>
    <d v="2025-02-08T00:00:00"/>
    <n v="26"/>
    <x v="3"/>
    <x v="7"/>
    <s v="Paris"/>
    <s v="Non-Profit"/>
    <s v="Unknown"/>
    <x v="6"/>
    <s v="Monitors"/>
    <s v="MON-1593"/>
    <n v="594.74"/>
    <n v="1020.69"/>
    <s v="High"/>
    <n v="0.21099999999999999"/>
    <n v="6"/>
    <n v="4831.9464600000001"/>
    <n v="3568.44"/>
    <n v="1263.5064600000001"/>
    <n v="0.26149016146176424"/>
    <s v="Delayed"/>
    <x v="1"/>
  </r>
  <r>
    <s v="ORD-2023-825836"/>
    <d v="2023-07-19T00:00:00"/>
    <s v="Q3-2023"/>
    <d v="2023-07-31T00:00:00"/>
    <n v="12"/>
    <x v="2"/>
    <x v="5"/>
    <s v="Rio de Janeiro"/>
    <s v="Corporate"/>
    <s v="Retail"/>
    <x v="0"/>
    <s v="Monitors"/>
    <s v="MON-7869"/>
    <n v="1334.64"/>
    <n v="2273.42"/>
    <s v="High"/>
    <n v="0.11799999999999999"/>
    <n v="14"/>
    <n v="28072.190160000002"/>
    <n v="18684.960000000003"/>
    <n v="9387.2301599999992"/>
    <n v="0.33439607335575267"/>
    <s v="Delayed"/>
    <x v="0"/>
  </r>
  <r>
    <s v="ORD-2024-503082"/>
    <d v="2024-05-19T00:00:00"/>
    <s v="Q2-2024"/>
    <d v="2024-06-08T00:00:00"/>
    <n v="20"/>
    <x v="2"/>
    <x v="5"/>
    <s v="Brasília"/>
    <s v="Small Business"/>
    <s v="Retail"/>
    <x v="6"/>
    <s v="Monitors"/>
    <s v="MON-4271"/>
    <n v="1075.9000000000001"/>
    <n v="1242.1500000000001"/>
    <s v="High"/>
    <n v="1.2E-2"/>
    <n v="7"/>
    <n v="8590.7094000000016"/>
    <n v="7531.3000000000011"/>
    <n v="1059.4094000000005"/>
    <n v="0.12332036280961853"/>
    <s v="Delayed"/>
    <x v="0"/>
  </r>
  <r>
    <s v="ORD-2024-760799"/>
    <d v="2024-02-03T00:00:00"/>
    <s v="Q1-2024"/>
    <d v="2024-02-19T00:00:00"/>
    <n v="16"/>
    <x v="1"/>
    <x v="9"/>
    <s v="Shenzhen"/>
    <s v="Small Business"/>
    <s v="Online"/>
    <x v="10"/>
    <s v="Laptops"/>
    <s v="LAP-5531"/>
    <n v="993.75"/>
    <n v="1310.29"/>
    <s v="High"/>
    <n v="0.215"/>
    <n v="19"/>
    <n v="19542.975350000001"/>
    <n v="18881.25"/>
    <n v="661.72535000000062"/>
    <n v="3.3860010471742245E-2"/>
    <s v="Delayed"/>
    <x v="1"/>
  </r>
  <r>
    <s v="ORD-2023-197661"/>
    <d v="2023-08-08T00:00:00"/>
    <s v="Q3-2023"/>
    <d v="2023-08-22T00:00:00"/>
    <n v="14"/>
    <x v="3"/>
    <x v="8"/>
    <s v="Birmingham"/>
    <s v="Non-Profit"/>
    <s v="Direct"/>
    <x v="13"/>
    <s v="Monitors"/>
    <s v="MON-7511"/>
    <n v="446.69"/>
    <n v="967.25"/>
    <s v="High"/>
    <n v="9.4E-2"/>
    <n v="10"/>
    <n v="8763.2849999999999"/>
    <n v="4466.8999999999996"/>
    <n v="4296.3850000000002"/>
    <n v="0.49027105702941309"/>
    <s v="Delayed"/>
    <x v="0"/>
  </r>
  <r>
    <s v="ORD-2024-212990"/>
    <d v="2024-08-12T00:00:00"/>
    <s v="Q3-2024"/>
    <d v="2024-09-03T00:00:00"/>
    <n v="22"/>
    <x v="2"/>
    <x v="10"/>
    <s v="Austin"/>
    <s v="Consumer"/>
    <s v="Distributor"/>
    <x v="2"/>
    <s v="Laptops"/>
    <s v="LAP-7979"/>
    <n v="797.8"/>
    <n v="886.22"/>
    <s v="High"/>
    <n v="0.23599999999999999"/>
    <n v="36"/>
    <n v="24374.594880000001"/>
    <n v="28720.799999999999"/>
    <n v="-4346.2051199999987"/>
    <n v="-0.17830881462428633"/>
    <s v="Delayed"/>
    <x v="1"/>
  </r>
  <r>
    <s v="ORD-2023-925146"/>
    <d v="2023-10-15T00:00:00"/>
    <s v="Q4-2023"/>
    <d v="2023-11-13T00:00:00"/>
    <n v="29"/>
    <x v="1"/>
    <x v="9"/>
    <s v="Shenzhen"/>
    <s v="Non-Profit"/>
    <s v="Distributor"/>
    <x v="1"/>
    <s v="Printers"/>
    <s v="PRN-4983"/>
    <n v="986.44"/>
    <n v="790.61"/>
    <s v="High"/>
    <n v="7.1999999999999995E-2"/>
    <n v="6"/>
    <n v="4402.1164799999997"/>
    <n v="5918.64"/>
    <n v="-1516.5235200000006"/>
    <n v="-0.34449872621271499"/>
    <s v="Delayed"/>
    <x v="0"/>
  </r>
  <r>
    <s v="ORD-2023-177794"/>
    <d v="2023-05-04T00:00:00"/>
    <s v="Q2-2023"/>
    <d v="2023-05-26T00:00:00"/>
    <n v="22"/>
    <x v="2"/>
    <x v="10"/>
    <s v="San Francisco"/>
    <s v="Enterprise"/>
    <s v="Online"/>
    <x v="1"/>
    <s v="Networking"/>
    <s v="NET-5941"/>
    <n v="249.71"/>
    <n v="361.33"/>
    <s v="High"/>
    <n v="9.4E-2"/>
    <n v="12"/>
    <n v="3928.3797600000003"/>
    <n v="2996.52"/>
    <n v="931.85976000000028"/>
    <n v="0.23721223937881206"/>
    <s v="Delayed"/>
    <x v="0"/>
  </r>
  <r>
    <s v="ORD-2024-444710"/>
    <d v="2024-09-22T00:00:00"/>
    <s v="Q3-2024"/>
    <d v="2024-10-01T00:00:00"/>
    <n v="9"/>
    <x v="2"/>
    <x v="5"/>
    <s v="São Paulo"/>
    <s v="Non-Profit"/>
    <s v="Online"/>
    <x v="11"/>
    <s v="Monitors"/>
    <s v="MON-6341"/>
    <n v="1378.8"/>
    <n v="1952.04"/>
    <s v="High"/>
    <n v="0.159"/>
    <n v="19"/>
    <n v="31191.64716"/>
    <n v="26197.200000000001"/>
    <n v="4994.4471599999997"/>
    <n v="0.16012130216723058"/>
    <s v="Delayed"/>
    <x v="0"/>
  </r>
  <r>
    <s v="ORD-2024-668926"/>
    <d v="2024-10-23T00:00:00"/>
    <s v="Q4-2024"/>
    <d v="2024-11-14T00:00:00"/>
    <n v="22"/>
    <x v="1"/>
    <x v="2"/>
    <s v="Osaka"/>
    <s v="Non-Profit"/>
    <s v="Direct"/>
    <x v="5"/>
    <s v="Phones"/>
    <s v="PHN-9789"/>
    <n v="1406.4"/>
    <n v="1564.76"/>
    <s v="High"/>
    <n v="0.185"/>
    <n v="17"/>
    <n v="21679.749799999998"/>
    <n v="23908.800000000003"/>
    <n v="-2229.0502000000051"/>
    <n v="-0.10281715520536151"/>
    <s v="Delayed"/>
    <x v="0"/>
  </r>
  <r>
    <s v="ORD-2024-968374"/>
    <d v="2024-02-11T00:00:00"/>
    <s v="Q1-2024"/>
    <d v="2024-03-03T00:00:00"/>
    <n v="21"/>
    <x v="0"/>
    <x v="0"/>
    <s v="Kisumu"/>
    <s v="Enterprise"/>
    <s v="Online"/>
    <x v="5"/>
    <s v="Phones"/>
    <s v="PHN-5082"/>
    <n v="516.86"/>
    <n v="852.54"/>
    <s v="High"/>
    <n v="5.0999999999999997E-2"/>
    <n v="14"/>
    <n v="11326.846439999999"/>
    <n v="7236.04"/>
    <n v="4090.8064399999994"/>
    <n v="0.36116022775355994"/>
    <s v="Delayed"/>
    <x v="0"/>
  </r>
  <r>
    <s v="ORD-2023-575584"/>
    <d v="2023-01-30T00:00:00"/>
    <s v="Q1-2023"/>
    <d v="2023-02-21T00:00:00"/>
    <n v="22"/>
    <x v="3"/>
    <x v="6"/>
    <s v="Munich"/>
    <s v="Small Business"/>
    <s v="Marketplace"/>
    <x v="3"/>
    <s v="Networking"/>
    <s v="NET-3460"/>
    <n v="1142.8800000000001"/>
    <n v="1465.29"/>
    <s v="High"/>
    <n v="0.186"/>
    <n v="7"/>
    <n v="8349.2224200000001"/>
    <n v="8000.1600000000008"/>
    <n v="349.06241999999929"/>
    <n v="4.1807775915017401E-2"/>
    <s v="Delayed"/>
    <x v="0"/>
  </r>
  <r>
    <s v="ORD-2023-701153"/>
    <d v="2023-04-14T00:00:00"/>
    <s v="Q2-2023"/>
    <d v="2023-05-13T00:00:00"/>
    <n v="29"/>
    <x v="3"/>
    <x v="6"/>
    <s v="Frankfurt"/>
    <s v="Consumer"/>
    <s v="Direct"/>
    <x v="1"/>
    <s v="Printers"/>
    <s v="PRN-7019"/>
    <n v="1320.33"/>
    <n v="2645.23"/>
    <s v="High"/>
    <n v="0.155"/>
    <n v="25"/>
    <n v="55880.483749999999"/>
    <n v="33008.25"/>
    <n v="22872.233749999999"/>
    <n v="0.40930629470436536"/>
    <s v="Delayed"/>
    <x v="0"/>
  </r>
  <r>
    <s v="ORD-2023-382017"/>
    <d v="2023-01-13T00:00:00"/>
    <s v="Q1-2023"/>
    <d v="2023-01-19T00:00:00"/>
    <n v="6"/>
    <x v="2"/>
    <x v="10"/>
    <s v="Chicago"/>
    <s v="Corporate"/>
    <s v="Direct"/>
    <x v="10"/>
    <s v="Phones"/>
    <s v="PHN-3159"/>
    <n v="833.57"/>
    <n v="881.57"/>
    <s v="High"/>
    <n v="5.7000000000000002E-2"/>
    <n v="18"/>
    <n v="14963.769179999999"/>
    <n v="15004.26"/>
    <n v="-40.490820000000895"/>
    <n v="-2.7059238560107821E-3"/>
    <s v="On-time"/>
    <x v="0"/>
  </r>
  <r>
    <s v="ORD-2024-999607"/>
    <d v="2024-01-12T00:00:00"/>
    <s v="Q1-2024"/>
    <d v="2024-01-29T00:00:00"/>
    <n v="17"/>
    <x v="2"/>
    <x v="10"/>
    <s v="Chicago"/>
    <s v="Education"/>
    <s v="Distributor"/>
    <x v="8"/>
    <s v="Printers"/>
    <s v="PRN-8604"/>
    <n v="493.76"/>
    <n v="625.04"/>
    <s v="High"/>
    <n v="0.25800000000000001"/>
    <n v="10"/>
    <n v="4637.7968000000001"/>
    <n v="4937.6000000000004"/>
    <n v="-299.80320000000029"/>
    <n v="-6.464345311549663E-2"/>
    <s v="Delayed"/>
    <x v="1"/>
  </r>
  <r>
    <s v="ORD-2023-133848"/>
    <d v="2023-08-15T00:00:00"/>
    <s v="Q3-2023"/>
    <d v="2023-09-07T00:00:00"/>
    <n v="23"/>
    <x v="2"/>
    <x v="10"/>
    <s v="New York"/>
    <s v="Enterprise"/>
    <s v="Online"/>
    <x v="11"/>
    <s v="Phones"/>
    <s v="PHN-2013"/>
    <n v="590.33000000000004"/>
    <n v="973.04"/>
    <s v="High"/>
    <n v="0"/>
    <n v="26"/>
    <n v="25299.040000000001"/>
    <n v="15348.580000000002"/>
    <n v="9950.4599999999991"/>
    <n v="0.39331373838691108"/>
    <s v="Delayed"/>
    <x v="0"/>
  </r>
  <r>
    <s v="ORD-2023-586275"/>
    <d v="2023-01-20T00:00:00"/>
    <s v="Q1-2023"/>
    <d v="2023-02-03T00:00:00"/>
    <n v="14"/>
    <x v="0"/>
    <x v="0"/>
    <s v="Kisumu"/>
    <s v="Corporate"/>
    <s v="Retail"/>
    <x v="12"/>
    <s v="Networking"/>
    <s v="NET-6036"/>
    <n v="884.36"/>
    <n v="1545.34"/>
    <s v="High"/>
    <n v="0.24299999999999999"/>
    <n v="41"/>
    <n v="47962.717579999997"/>
    <n v="36258.76"/>
    <n v="11703.957579999995"/>
    <n v="0.24402198562827965"/>
    <s v="Delayed"/>
    <x v="1"/>
  </r>
  <r>
    <s v="ORD-2025-964661"/>
    <d v="2025-02-04T00:00:00"/>
    <s v="Q1-2025"/>
    <d v="2025-02-25T00:00:00"/>
    <n v="21"/>
    <x v="3"/>
    <x v="8"/>
    <s v="Birmingham"/>
    <s v="Corporate"/>
    <s v="Marketplace"/>
    <x v="14"/>
    <s v="Monitors"/>
    <s v="MON-4959"/>
    <n v="1016.32"/>
    <n v="2253.42"/>
    <s v="High"/>
    <n v="5.5E-2"/>
    <n v="12"/>
    <n v="25553.782800000001"/>
    <n v="12195.84"/>
    <n v="13357.942800000001"/>
    <n v="0.52273837124419797"/>
    <s v="Delayed"/>
    <x v="0"/>
  </r>
  <r>
    <s v="ORD-2023-390998"/>
    <d v="2023-04-19T00:00:00"/>
    <s v="Q2-2023"/>
    <d v="2023-04-28T00:00:00"/>
    <n v="9"/>
    <x v="3"/>
    <x v="6"/>
    <s v="Berlin"/>
    <s v="Education"/>
    <s v="Online"/>
    <x v="6"/>
    <s v="Monitors"/>
    <s v="MON-1663"/>
    <n v="1178.42"/>
    <n v="2446.56"/>
    <s v="High"/>
    <n v="2.9000000000000001E-2"/>
    <n v="11"/>
    <n v="26131.70736"/>
    <n v="12962.62"/>
    <n v="13169.08736"/>
    <n v="0.5039505141618883"/>
    <s v="Delayed"/>
    <x v="0"/>
  </r>
  <r>
    <s v="ORD-2023-920483"/>
    <d v="2023-07-02T00:00:00"/>
    <s v="Q3-2023"/>
    <d v="2023-08-01T00:00:00"/>
    <n v="30"/>
    <x v="3"/>
    <x v="8"/>
    <s v="Birmingham"/>
    <s v="Small Business"/>
    <s v="Retail"/>
    <x v="5"/>
    <s v="Components"/>
    <s v="CMP-7256"/>
    <n v="137.46"/>
    <n v="188.3"/>
    <s v="High"/>
    <n v="3.7999999999999999E-2"/>
    <n v="37"/>
    <n v="6702.3501999999999"/>
    <n v="5086.0200000000004"/>
    <n v="1616.3301999999994"/>
    <n v="0.24115872071262398"/>
    <s v="Delayed"/>
    <x v="0"/>
  </r>
  <r>
    <s v="ORD-2025-146850"/>
    <d v="2025-01-21T00:00:00"/>
    <s v="Q1-2025"/>
    <d v="2025-02-14T00:00:00"/>
    <n v="24"/>
    <x v="0"/>
    <x v="0"/>
    <s v="Nairobi"/>
    <s v="Small Business"/>
    <s v="Retail"/>
    <x v="1"/>
    <s v="Accessories"/>
    <s v="ACC-1659"/>
    <n v="1030.44"/>
    <n v="2562.84"/>
    <s v="High"/>
    <n v="0.14799999999999999"/>
    <n v="13"/>
    <n v="28386.015839999996"/>
    <n v="13395.720000000001"/>
    <n v="14990.295839999995"/>
    <n v="0.52808734852027039"/>
    <s v="Delayed"/>
    <x v="0"/>
  </r>
  <r>
    <s v="ORD-2024-687100"/>
    <d v="2024-09-10T00:00:00"/>
    <s v="Q3-2024"/>
    <d v="2024-10-07T00:00:00"/>
    <n v="27"/>
    <x v="0"/>
    <x v="0"/>
    <s v="Kisumu"/>
    <s v="Consumer"/>
    <s v="Retail"/>
    <x v="4"/>
    <s v="Printers"/>
    <s v="PRN-6068"/>
    <n v="1248.3900000000001"/>
    <n v="1805.11"/>
    <s v="High"/>
    <n v="0.20300000000000001"/>
    <n v="11"/>
    <n v="15825.399369999997"/>
    <n v="13732.29"/>
    <n v="2093.1093699999965"/>
    <n v="0.13226265707820786"/>
    <s v="Delayed"/>
    <x v="1"/>
  </r>
  <r>
    <s v="ORD-2025-629393"/>
    <d v="2025-07-21T00:00:00"/>
    <s v="Q3-2025"/>
    <d v="2025-08-07T00:00:00"/>
    <n v="17"/>
    <x v="0"/>
    <x v="1"/>
    <s v="Lagos"/>
    <s v="Enterprise"/>
    <s v="Direct"/>
    <x v="12"/>
    <s v="Accessories"/>
    <s v="ACC-8999"/>
    <n v="1204.95"/>
    <n v="2065.73"/>
    <s v="High"/>
    <n v="0.13600000000000001"/>
    <n v="10"/>
    <n v="17847.907199999998"/>
    <n v="12049.5"/>
    <n v="5798.4071999999978"/>
    <n v="0.32487882949100039"/>
    <s v="Delayed"/>
    <x v="0"/>
  </r>
  <r>
    <s v="ORD-2024-686712"/>
    <d v="2024-10-02T00:00:00"/>
    <s v="Q4-2024"/>
    <d v="2024-10-23T00:00:00"/>
    <n v="21"/>
    <x v="0"/>
    <x v="11"/>
    <s v="Durban"/>
    <s v="Corporate"/>
    <s v="Marketplace"/>
    <x v="8"/>
    <s v="Components"/>
    <s v="CMP-3978"/>
    <n v="1095.6099999999999"/>
    <n v="2366.5100000000002"/>
    <s v="High"/>
    <n v="0.152"/>
    <n v="9"/>
    <n v="18061.204320000004"/>
    <n v="9860.49"/>
    <n v="8200.7143200000046"/>
    <n v="0.4540513564158607"/>
    <s v="Delayed"/>
    <x v="0"/>
  </r>
  <r>
    <s v="ORD-2025-586799"/>
    <d v="2025-07-14T00:00:00"/>
    <s v="Q3-2025"/>
    <d v="2025-08-04T00:00:00"/>
    <n v="21"/>
    <x v="2"/>
    <x v="3"/>
    <s v="Montreal"/>
    <s v="Consumer"/>
    <s v="Online"/>
    <x v="10"/>
    <s v="Monitors"/>
    <s v="MON-7868"/>
    <n v="90.3"/>
    <n v="131.76"/>
    <s v="High"/>
    <n v="0.10199999999999999"/>
    <n v="15"/>
    <n v="1774.8072"/>
    <n v="1354.5"/>
    <n v="420.30719999999997"/>
    <n v="0.23681851189244668"/>
    <s v="Delayed"/>
    <x v="0"/>
  </r>
  <r>
    <s v="ORD-2024-988736"/>
    <d v="2024-09-09T00:00:00"/>
    <s v="Q3-2024"/>
    <d v="2024-10-01T00:00:00"/>
    <n v="22"/>
    <x v="1"/>
    <x v="9"/>
    <s v="Shenzhen"/>
    <s v="Consumer"/>
    <s v="Direct"/>
    <x v="4"/>
    <s v="Printers"/>
    <s v="PRN-3014"/>
    <n v="1166.18"/>
    <n v="1335.02"/>
    <s v="High"/>
    <n v="0.128"/>
    <n v="6"/>
    <n v="6984.8246399999998"/>
    <n v="6997.08"/>
    <n v="-12.25536000000011"/>
    <n v="-1.7545694604582242E-3"/>
    <s v="Delayed"/>
    <x v="0"/>
  </r>
  <r>
    <s v="ORD-2025-564184"/>
    <d v="2025-01-29T00:00:00"/>
    <s v="Q1-2025"/>
    <d v="2025-02-06T00:00:00"/>
    <n v="8"/>
    <x v="0"/>
    <x v="0"/>
    <s v="Kisumu"/>
    <s v="Education"/>
    <s v="Retail"/>
    <x v="5"/>
    <s v="Phones"/>
    <s v="PHN-1671"/>
    <n v="1445.27"/>
    <n v="2691.45"/>
    <s v="High"/>
    <n v="0"/>
    <n v="9"/>
    <n v="24223.05"/>
    <n v="13007.43"/>
    <n v="11215.619999999999"/>
    <n v="0.46301436028906351"/>
    <s v="Delayed"/>
    <x v="0"/>
  </r>
  <r>
    <s v="ORD-2023-653343"/>
    <d v="2023-11-10T00:00:00"/>
    <s v="Q4-2023"/>
    <d v="2023-11-28T00:00:00"/>
    <n v="18"/>
    <x v="2"/>
    <x v="5"/>
    <s v="Brasília"/>
    <s v="Education"/>
    <s v="Marketplace"/>
    <x v="4"/>
    <s v="Accessories"/>
    <s v="ACC-5260"/>
    <n v="388.51"/>
    <n v="776.46"/>
    <s v="High"/>
    <n v="0.157"/>
    <n v="12"/>
    <n v="7854.6693599999999"/>
    <n v="4662.12"/>
    <n v="3192.54936"/>
    <n v="0.40645241876864946"/>
    <s v="Delayed"/>
    <x v="0"/>
  </r>
  <r>
    <s v="ORD-2024-197852"/>
    <d v="2024-02-29T00:00:00"/>
    <s v="Q1-2024"/>
    <d v="2024-03-30T00:00:00"/>
    <n v="30"/>
    <x v="1"/>
    <x v="2"/>
    <s v="Nagoya"/>
    <s v="Small Business"/>
    <s v="Direct"/>
    <x v="2"/>
    <s v="Networking"/>
    <s v="NET-7588"/>
    <n v="231.11"/>
    <n v="318.17"/>
    <s v="High"/>
    <n v="0.20100000000000001"/>
    <n v="60"/>
    <n v="15253.069799999999"/>
    <n v="13866.6"/>
    <n v="1386.4697999999989"/>
    <n v="9.0897754889969692E-2"/>
    <s v="Delayed"/>
    <x v="1"/>
  </r>
  <r>
    <s v="ORD-2023-431328"/>
    <d v="2023-12-20T00:00:00"/>
    <s v="Q4-2023"/>
    <d v="2024-01-14T00:00:00"/>
    <n v="25"/>
    <x v="1"/>
    <x v="4"/>
    <s v="Mumbai"/>
    <s v="Non-Profit"/>
    <s v="Marketplace"/>
    <x v="4"/>
    <s v="Monitors"/>
    <s v="MON-1572"/>
    <n v="1085.6099999999999"/>
    <n v="1246.4100000000001"/>
    <s v="High"/>
    <n v="0.113"/>
    <n v="7"/>
    <n v="7738.9596900000006"/>
    <n v="7599.2699999999995"/>
    <n v="139.68969000000106"/>
    <n v="1.8050189637310417E-2"/>
    <s v="Delayed"/>
    <x v="0"/>
  </r>
  <r>
    <s v="ORD-2023-613317"/>
    <d v="2023-01-22T00:00:00"/>
    <s v="Q1-2023"/>
    <d v="2023-01-29T00:00:00"/>
    <n v="7"/>
    <x v="3"/>
    <x v="6"/>
    <s v="Munich"/>
    <s v="Corporate"/>
    <s v="Direct"/>
    <x v="9"/>
    <s v="Monitors"/>
    <s v="MON-2537"/>
    <n v="150.86000000000001"/>
    <n v="346.96"/>
    <s v="High"/>
    <n v="0.19600000000000001"/>
    <n v="8"/>
    <n v="2231.6467200000002"/>
    <n v="1206.8800000000001"/>
    <n v="1024.7667200000001"/>
    <n v="0.45919755614365343"/>
    <s v="On-time"/>
    <x v="0"/>
  </r>
  <r>
    <s v="ORD-2024-720756"/>
    <d v="2024-10-11T00:00:00"/>
    <s v="Q4-2024"/>
    <d v="2024-11-09T00:00:00"/>
    <n v="29"/>
    <x v="1"/>
    <x v="9"/>
    <s v="Shanghai"/>
    <s v="Non-Profit"/>
    <s v="Online"/>
    <x v="9"/>
    <s v="Printers"/>
    <s v="PRN-5666"/>
    <n v="391.64"/>
    <n v="504.76"/>
    <s v="High"/>
    <n v="4.0000000000000001E-3"/>
    <n v="13"/>
    <n v="6535.6324800000002"/>
    <n v="5091.32"/>
    <n v="1444.3124800000005"/>
    <n v="0.22099046793402319"/>
    <s v="Delayed"/>
    <x v="0"/>
  </r>
  <r>
    <s v="ORD-2024-777623"/>
    <d v="2024-09-19T00:00:00"/>
    <s v="Q3-2024"/>
    <d v="2024-10-14T00:00:00"/>
    <n v="25"/>
    <x v="2"/>
    <x v="5"/>
    <s v="Rio de Janeiro"/>
    <s v="Small Business"/>
    <s v="Retail"/>
    <x v="11"/>
    <s v="Printers"/>
    <s v="PRN-2749"/>
    <n v="386.96"/>
    <n v="937.46"/>
    <s v="High"/>
    <n v="0.26600000000000001"/>
    <n v="41"/>
    <n v="28211.92124"/>
    <n v="15865.359999999999"/>
    <n v="12346.561240000001"/>
    <n v="0.43763631462626335"/>
    <s v="Delayed"/>
    <x v="1"/>
  </r>
  <r>
    <s v="ORD-2025-762212"/>
    <d v="2025-08-25T00:00:00"/>
    <s v="Q3-2025"/>
    <d v="2025-09-24T00:00:00"/>
    <n v="30"/>
    <x v="0"/>
    <x v="0"/>
    <s v="Nairobi"/>
    <s v="Consumer"/>
    <s v="Direct"/>
    <x v="5"/>
    <s v="Components"/>
    <s v="CMP-4970"/>
    <n v="589.14"/>
    <n v="1300.58"/>
    <s v="High"/>
    <n v="5.5E-2"/>
    <n v="11"/>
    <n v="13519.529099999998"/>
    <n v="6480.54"/>
    <n v="7038.989099999998"/>
    <n v="0.52065342275863724"/>
    <s v="Delayed"/>
    <x v="0"/>
  </r>
  <r>
    <s v="ORD-2023-271918"/>
    <d v="2023-09-25T00:00:00"/>
    <s v="Q3-2023"/>
    <d v="2023-10-02T00:00:00"/>
    <n v="7"/>
    <x v="2"/>
    <x v="10"/>
    <s v="New York"/>
    <s v="Education"/>
    <s v="Marketplace"/>
    <x v="2"/>
    <s v="Accessories"/>
    <s v="ACC-3551"/>
    <n v="145.58000000000001"/>
    <n v="228.15"/>
    <s v="High"/>
    <n v="0.20399999999999999"/>
    <n v="5"/>
    <n v="908.03700000000003"/>
    <n v="727.90000000000009"/>
    <n v="180.13699999999994"/>
    <n v="0.19838068272548359"/>
    <s v="On-time"/>
    <x v="1"/>
  </r>
  <r>
    <s v="ORD-2023-713375"/>
    <d v="2023-08-26T00:00:00"/>
    <s v="Q3-2023"/>
    <d v="2023-09-10T00:00:00"/>
    <n v="15"/>
    <x v="0"/>
    <x v="11"/>
    <s v="Cape Town"/>
    <s v="Non-Profit"/>
    <s v="Direct"/>
    <x v="13"/>
    <s v="Components"/>
    <s v="CMP-7063"/>
    <n v="241.14"/>
    <n v="496.52"/>
    <s v="High"/>
    <n v="9.2999999999999999E-2"/>
    <n v="10"/>
    <n v="4503.4363999999996"/>
    <n v="2411.3999999999996"/>
    <n v="2092.0364"/>
    <n v="0.46454223268257994"/>
    <s v="Delayed"/>
    <x v="0"/>
  </r>
  <r>
    <s v="ORD-2025-678688"/>
    <d v="2025-07-16T00:00:00"/>
    <s v="Q3-2025"/>
    <d v="2025-07-17T00:00:00"/>
    <n v="1"/>
    <x v="0"/>
    <x v="11"/>
    <s v="Durban"/>
    <s v="Small Business"/>
    <s v="Distributor"/>
    <x v="5"/>
    <s v="Networking"/>
    <s v="NET-1612"/>
    <n v="1198.9000000000001"/>
    <n v="2941.2"/>
    <s v="High"/>
    <n v="5.0999999999999997E-2"/>
    <n v="24"/>
    <n v="66988.771199999988"/>
    <n v="28773.600000000002"/>
    <n v="38215.171199999982"/>
    <n v="0.57047129713583977"/>
    <s v="On-time"/>
    <x v="0"/>
  </r>
  <r>
    <s v="ORD-2023-501220"/>
    <d v="2023-04-19T00:00:00"/>
    <s v="Q2-2023"/>
    <d v="2023-05-07T00:00:00"/>
    <n v="18"/>
    <x v="3"/>
    <x v="8"/>
    <s v="Birmingham"/>
    <s v="Enterprise"/>
    <s v="Retail"/>
    <x v="13"/>
    <s v="Laptops"/>
    <s v="LAP-9766"/>
    <n v="1089.1500000000001"/>
    <n v="1088.2"/>
    <s v="High"/>
    <n v="5.0999999999999997E-2"/>
    <n v="15"/>
    <n v="15490.527"/>
    <n v="16337.250000000002"/>
    <n v="-846.72300000000178"/>
    <n v="-5.4660696824582002E-2"/>
    <s v="Delayed"/>
    <x v="0"/>
  </r>
  <r>
    <s v="ORD-2023-195665"/>
    <d v="2023-12-19T00:00:00"/>
    <s v="Q4-2023"/>
    <d v="2023-12-20T00:00:00"/>
    <n v="1"/>
    <x v="2"/>
    <x v="5"/>
    <s v="Rio de Janeiro"/>
    <s v="Consumer"/>
    <s v="Distributor"/>
    <x v="1"/>
    <s v="Phones"/>
    <s v="PHN-7274"/>
    <n v="1080.43"/>
    <n v="2529.15"/>
    <s v="High"/>
    <n v="0.14699999999999999"/>
    <n v="10"/>
    <n v="21573.6495"/>
    <n v="10804.300000000001"/>
    <n v="10769.349499999998"/>
    <n v="0.49918997247081437"/>
    <s v="On-time"/>
    <x v="0"/>
  </r>
  <r>
    <s v="ORD-2023-290237"/>
    <d v="2023-07-30T00:00:00"/>
    <s v="Q3-2023"/>
    <d v="2023-08-07T00:00:00"/>
    <n v="8"/>
    <x v="1"/>
    <x v="2"/>
    <s v="Nagoya"/>
    <s v="Education"/>
    <s v="Marketplace"/>
    <x v="8"/>
    <s v="Networking"/>
    <s v="NET-1645"/>
    <n v="1352.44"/>
    <n v="2698.01"/>
    <s v="High"/>
    <n v="0.13100000000000001"/>
    <n v="13"/>
    <n v="30479.418970000002"/>
    <n v="17581.72"/>
    <n v="12897.698970000001"/>
    <n v="0.42316091992090887"/>
    <s v="Delayed"/>
    <x v="0"/>
  </r>
  <r>
    <s v="ORD-2023-302041"/>
    <d v="2023-10-04T00:00:00"/>
    <s v="Q4-2023"/>
    <d v="2023-10-29T00:00:00"/>
    <n v="25"/>
    <x v="2"/>
    <x v="10"/>
    <s v="San Francisco"/>
    <s v="Small Business"/>
    <s v="Distributor"/>
    <x v="7"/>
    <s v="Accessories"/>
    <s v="ACC-5079"/>
    <n v="1239.8399999999999"/>
    <n v="1482.75"/>
    <s v="High"/>
    <n v="6.7000000000000004E-2"/>
    <n v="4"/>
    <n v="5533.6230000000005"/>
    <n v="4959.3599999999997"/>
    <n v="574.26300000000083"/>
    <n v="0.10377703721413634"/>
    <s v="Delayed"/>
    <x v="0"/>
  </r>
  <r>
    <s v="ORD-2025-289139"/>
    <d v="2025-08-10T00:00:00"/>
    <s v="Q3-2025"/>
    <d v="2025-08-30T00:00:00"/>
    <n v="20"/>
    <x v="2"/>
    <x v="10"/>
    <s v="San Francisco"/>
    <s v="Corporate"/>
    <s v="Marketplace"/>
    <x v="11"/>
    <s v="Printers"/>
    <s v="PRN-2098"/>
    <n v="933.29"/>
    <n v="1456.81"/>
    <s v="High"/>
    <n v="0.123"/>
    <n v="13"/>
    <n v="16609.090809999998"/>
    <n v="12132.77"/>
    <n v="4476.3208099999974"/>
    <n v="0.26951028573489977"/>
    <s v="Delayed"/>
    <x v="0"/>
  </r>
  <r>
    <s v="ORD-2023-949710"/>
    <d v="2023-03-07T00:00:00"/>
    <s v="Q1-2023"/>
    <d v="2023-04-01T00:00:00"/>
    <n v="25"/>
    <x v="0"/>
    <x v="0"/>
    <s v="Nairobi"/>
    <s v="Consumer"/>
    <s v="Marketplace"/>
    <x v="14"/>
    <s v="Printers"/>
    <s v="PRN-7049"/>
    <n v="1024.0999999999999"/>
    <n v="918.19"/>
    <s v="High"/>
    <n v="0.189"/>
    <n v="10"/>
    <n v="7446.5209000000004"/>
    <n v="10241"/>
    <n v="-2794.4790999999996"/>
    <n v="-0.37527311579827827"/>
    <s v="Delayed"/>
    <x v="0"/>
  </r>
  <r>
    <s v="ORD-2023-603650"/>
    <d v="2023-05-23T00:00:00"/>
    <s v="Q2-2023"/>
    <d v="2023-06-10T00:00:00"/>
    <n v="18"/>
    <x v="1"/>
    <x v="9"/>
    <s v="Shanghai"/>
    <s v="Corporate"/>
    <s v="Distributor"/>
    <x v="6"/>
    <s v="Components"/>
    <s v="CMP-6925"/>
    <n v="54.62"/>
    <n v="48.94"/>
    <s v="High"/>
    <n v="0.14799999999999999"/>
    <n v="16"/>
    <n v="667.15008"/>
    <n v="873.92"/>
    <n v="-206.76991999999996"/>
    <n v="-0.3099301434543783"/>
    <s v="Delayed"/>
    <x v="0"/>
  </r>
  <r>
    <s v="ORD-2025-757957"/>
    <d v="2025-04-24T00:00:00"/>
    <s v="Q2-2025"/>
    <d v="2025-05-06T00:00:00"/>
    <n v="12"/>
    <x v="2"/>
    <x v="5"/>
    <s v="Brasília"/>
    <s v="Consumer"/>
    <s v="Online"/>
    <x v="0"/>
    <s v="Phones"/>
    <s v="PHN-2787"/>
    <n v="394.13"/>
    <n v="932.29"/>
    <s v="High"/>
    <n v="0.109"/>
    <n v="7"/>
    <n v="5814.6927299999998"/>
    <n v="2758.91"/>
    <n v="3055.7827299999999"/>
    <n v="0.5255278089303268"/>
    <s v="Delayed"/>
    <x v="0"/>
  </r>
  <r>
    <s v="ORD-2024-423853"/>
    <d v="2024-09-03T00:00:00"/>
    <s v="Q3-2024"/>
    <d v="2024-09-08T00:00:00"/>
    <n v="5"/>
    <x v="0"/>
    <x v="1"/>
    <s v="Lagos"/>
    <s v="Small Business"/>
    <s v="Direct"/>
    <x v="11"/>
    <s v="Printers"/>
    <s v="PRN-1141"/>
    <n v="197.63"/>
    <n v="325.79000000000002"/>
    <s v="High"/>
    <n v="0.11600000000000001"/>
    <n v="10"/>
    <n v="2879.9836"/>
    <n v="1976.3"/>
    <n v="903.68360000000007"/>
    <n v="0.31378081458519419"/>
    <s v="On-time"/>
    <x v="0"/>
  </r>
  <r>
    <s v="ORD-2024-569164"/>
    <d v="2024-09-05T00:00:00"/>
    <s v="Q3-2024"/>
    <d v="2024-09-25T00:00:00"/>
    <n v="20"/>
    <x v="1"/>
    <x v="2"/>
    <s v="Osaka"/>
    <s v="Enterprise"/>
    <s v="Distributor"/>
    <x v="14"/>
    <s v="Monitors"/>
    <s v="MON-5249"/>
    <n v="195.54"/>
    <n v="405.97"/>
    <s v="High"/>
    <n v="0.187"/>
    <n v="16"/>
    <n v="5280.8577599999999"/>
    <n v="3128.64"/>
    <n v="2152.21776"/>
    <n v="0.40755079152141377"/>
    <s v="Delayed"/>
    <x v="0"/>
  </r>
  <r>
    <s v="ORD-2023-946143"/>
    <d v="2023-03-14T00:00:00"/>
    <s v="Q1-2023"/>
    <d v="2023-03-30T00:00:00"/>
    <n v="16"/>
    <x v="0"/>
    <x v="11"/>
    <s v="Cape Town"/>
    <s v="Consumer"/>
    <s v="Distributor"/>
    <x v="11"/>
    <s v="Components"/>
    <s v="CMP-8230"/>
    <n v="1309.77"/>
    <n v="1589.07"/>
    <s v="High"/>
    <n v="0.10199999999999999"/>
    <n v="10"/>
    <n v="14269.848599999999"/>
    <n v="13097.7"/>
    <n v="1172.1485999999986"/>
    <n v="8.2141628328137886E-2"/>
    <s v="Delayed"/>
    <x v="0"/>
  </r>
  <r>
    <s v="ORD-2024-281211"/>
    <d v="2024-01-11T00:00:00"/>
    <s v="Q1-2024"/>
    <d v="2024-02-02T00:00:00"/>
    <n v="22"/>
    <x v="1"/>
    <x v="2"/>
    <s v="Nagoya"/>
    <s v="Small Business"/>
    <s v="Online"/>
    <x v="15"/>
    <s v="Printers"/>
    <s v="PRN-7816"/>
    <n v="1237.68"/>
    <n v="1432.8"/>
    <s v="High"/>
    <n v="6.8000000000000005E-2"/>
    <n v="13"/>
    <n v="17359.804799999998"/>
    <n v="16089.84"/>
    <n v="1269.9647999999979"/>
    <n v="7.315547695559331E-2"/>
    <s v="Delayed"/>
    <x v="0"/>
  </r>
  <r>
    <s v="ORD-2024-805860"/>
    <d v="2024-09-13T00:00:00"/>
    <s v="Q3-2024"/>
    <d v="2024-10-02T00:00:00"/>
    <n v="19"/>
    <x v="0"/>
    <x v="0"/>
    <s v="Mombasa"/>
    <s v="Small Business"/>
    <s v="Retail"/>
    <x v="12"/>
    <s v="Phones"/>
    <s v="PHN-8804"/>
    <n v="1338.99"/>
    <n v="1765.76"/>
    <s v="High"/>
    <n v="0.126"/>
    <n v="24"/>
    <n v="37038.581760000001"/>
    <n v="32135.760000000002"/>
    <n v="4902.8217599999989"/>
    <n v="0.1323706666677725"/>
    <s v="Delayed"/>
    <x v="0"/>
  </r>
  <r>
    <s v="ORD-2025-132174"/>
    <d v="2025-07-17T00:00:00"/>
    <s v="Q3-2025"/>
    <d v="2025-07-23T00:00:00"/>
    <n v="6"/>
    <x v="2"/>
    <x v="3"/>
    <s v="Vancouver"/>
    <s v="Consumer"/>
    <s v="Online"/>
    <x v="10"/>
    <s v="Components"/>
    <s v="CMP-8851"/>
    <n v="1364.89"/>
    <n v="2757.54"/>
    <s v="High"/>
    <n v="0.17199999999999999"/>
    <n v="61"/>
    <n v="139277.83032000001"/>
    <n v="83258.290000000008"/>
    <n v="56019.54032"/>
    <n v="0.4022143379983118"/>
    <s v="On-time"/>
    <x v="0"/>
  </r>
  <r>
    <s v="ORD-2023-964434"/>
    <d v="2023-11-28T00:00:00"/>
    <s v="Q4-2023"/>
    <d v="2023-12-07T00:00:00"/>
    <n v="9"/>
    <x v="1"/>
    <x v="4"/>
    <s v="Delhi"/>
    <s v="Enterprise"/>
    <s v="Marketplace"/>
    <x v="4"/>
    <s v="Phones"/>
    <s v="PHN-2447"/>
    <n v="699.33"/>
    <n v="873.75"/>
    <s v="High"/>
    <n v="0.23499999999999999"/>
    <n v="10"/>
    <n v="6684.1875"/>
    <n v="6993.3"/>
    <n v="-309.11250000000018"/>
    <n v="-4.6245336475076469E-2"/>
    <s v="Delayed"/>
    <x v="1"/>
  </r>
  <r>
    <s v="ORD-2024-897622"/>
    <d v="2024-03-30T00:00:00"/>
    <s v="Q1-2024"/>
    <d v="2024-04-24T00:00:00"/>
    <n v="25"/>
    <x v="2"/>
    <x v="10"/>
    <s v="Austin"/>
    <s v="Non-Profit"/>
    <s v="Online"/>
    <x v="3"/>
    <s v="Laptops"/>
    <s v="LAP-2846"/>
    <n v="160.82"/>
    <n v="258.52"/>
    <s v="High"/>
    <n v="0.13"/>
    <n v="17"/>
    <n v="3823.5108"/>
    <n v="2733.94"/>
    <n v="1089.5708"/>
    <n v="0.28496605789631874"/>
    <s v="Delayed"/>
    <x v="0"/>
  </r>
  <r>
    <s v="ORD-2023-517216"/>
    <d v="2023-09-19T00:00:00"/>
    <s v="Q3-2023"/>
    <d v="2023-10-08T00:00:00"/>
    <n v="19"/>
    <x v="1"/>
    <x v="4"/>
    <s v="Bengaluru"/>
    <s v="Education"/>
    <s v="Direct"/>
    <x v="1"/>
    <s v="Printers"/>
    <s v="PRN-5005"/>
    <n v="385.32"/>
    <n v="606.76"/>
    <s v="High"/>
    <n v="8.5999999999999993E-2"/>
    <n v="8"/>
    <n v="4436.6291200000005"/>
    <n v="3082.56"/>
    <n v="1354.0691200000006"/>
    <n v="0.30520223425842735"/>
    <s v="Delayed"/>
    <x v="0"/>
  </r>
  <r>
    <s v="ORD-2025-509940"/>
    <d v="2025-05-16T00:00:00"/>
    <s v="Q2-2025"/>
    <d v="2025-05-27T00:00:00"/>
    <n v="11"/>
    <x v="1"/>
    <x v="9"/>
    <s v="Beijing"/>
    <s v="Enterprise"/>
    <s v="Online"/>
    <x v="9"/>
    <s v="Phones"/>
    <s v="PHN-3800"/>
    <n v="918.12"/>
    <n v="1337.69"/>
    <s v="High"/>
    <n v="9.5000000000000001E-2"/>
    <n v="8"/>
    <n v="9684.8756000000012"/>
    <n v="7344.96"/>
    <n v="2339.9156000000012"/>
    <n v="0.24160512707050164"/>
    <s v="Delayed"/>
    <x v="0"/>
  </r>
  <r>
    <s v="ORD-2025-646342"/>
    <d v="2025-08-02T00:00:00"/>
    <s v="Q3-2025"/>
    <d v="2025-08-08T00:00:00"/>
    <n v="6"/>
    <x v="1"/>
    <x v="2"/>
    <s v="Osaka"/>
    <s v="Consumer"/>
    <s v="Direct"/>
    <x v="13"/>
    <s v="Laptops"/>
    <s v="LAP-4828"/>
    <n v="1225.94"/>
    <n v="1793.08"/>
    <s v="High"/>
    <n v="0.13600000000000001"/>
    <n v="22"/>
    <n v="34082.864639999993"/>
    <n v="26970.68"/>
    <n v="7112.1846399999922"/>
    <n v="0.20867332353434462"/>
    <s v="On-time"/>
    <x v="0"/>
  </r>
  <r>
    <s v="ORD-2024-866535"/>
    <d v="2024-12-04T00:00:00"/>
    <s v="Q4-2024"/>
    <d v="2024-12-12T00:00:00"/>
    <n v="8"/>
    <x v="3"/>
    <x v="6"/>
    <s v="Frankfurt"/>
    <s v="Enterprise"/>
    <s v="Marketplace"/>
    <x v="5"/>
    <s v="Printers"/>
    <s v="PRN-5492"/>
    <n v="72.06"/>
    <n v="122.74"/>
    <s v="High"/>
    <n v="0.23799999999999999"/>
    <n v="8"/>
    <n v="748.22303999999997"/>
    <n v="576.48"/>
    <n v="171.74303999999995"/>
    <n v="0.22953455162246802"/>
    <s v="Delayed"/>
    <x v="1"/>
  </r>
  <r>
    <s v="ORD-2023-747341"/>
    <d v="2023-04-19T00:00:00"/>
    <s v="Q2-2023"/>
    <d v="2023-04-28T00:00:00"/>
    <n v="9"/>
    <x v="2"/>
    <x v="5"/>
    <s v="Rio de Janeiro"/>
    <s v="Corporate"/>
    <s v="Distributor"/>
    <x v="12"/>
    <s v="Phones"/>
    <s v="PHN-7132"/>
    <n v="1013.54"/>
    <n v="927.93"/>
    <s v="High"/>
    <n v="0.17499999999999999"/>
    <n v="16"/>
    <n v="12248.675999999999"/>
    <n v="16216.64"/>
    <n v="-3967.9639999999999"/>
    <n v="-0.32395044166406234"/>
    <s v="Delayed"/>
    <x v="0"/>
  </r>
  <r>
    <s v="ORD-2024-853298"/>
    <d v="2024-03-06T00:00:00"/>
    <s v="Q1-2024"/>
    <d v="2024-03-26T00:00:00"/>
    <n v="20"/>
    <x v="0"/>
    <x v="1"/>
    <s v="Port Harcourt"/>
    <s v="Consumer"/>
    <s v="Marketplace"/>
    <x v="2"/>
    <s v="Phones"/>
    <s v="PHN-4741"/>
    <n v="65.64"/>
    <n v="151.88"/>
    <s v="High"/>
    <n v="0.16700000000000001"/>
    <n v="23"/>
    <n v="2909.8689199999999"/>
    <n v="1509.72"/>
    <n v="1400.1489199999999"/>
    <n v="0.48117250587356353"/>
    <s v="Delayed"/>
    <x v="0"/>
  </r>
  <r>
    <s v="ORD-2024-544865"/>
    <d v="2024-02-16T00:00:00"/>
    <s v="Q1-2024"/>
    <d v="2024-03-04T00:00:00"/>
    <n v="17"/>
    <x v="2"/>
    <x v="3"/>
    <s v="Montreal"/>
    <s v="Non-Profit"/>
    <s v="Retail"/>
    <x v="14"/>
    <s v="Laptops"/>
    <s v="LAP-2774"/>
    <n v="1350.98"/>
    <n v="2210.4"/>
    <s v="High"/>
    <n v="0.26300000000000001"/>
    <n v="6"/>
    <n v="9774.3888000000006"/>
    <n v="8105.88"/>
    <n v="1668.5088000000005"/>
    <n v="0.17070211080615091"/>
    <s v="Delayed"/>
    <x v="1"/>
  </r>
  <r>
    <s v="ORD-2025-946490"/>
    <d v="2025-04-22T00:00:00"/>
    <s v="Q2-2025"/>
    <d v="2025-05-02T00:00:00"/>
    <n v="10"/>
    <x v="3"/>
    <x v="6"/>
    <s v="Berlin"/>
    <s v="Corporate"/>
    <s v="Marketplace"/>
    <x v="0"/>
    <s v="Monitors"/>
    <s v="MON-2842"/>
    <n v="20.149999999999999"/>
    <n v="39.74"/>
    <s v="High"/>
    <n v="0.151"/>
    <n v="18"/>
    <n v="607.30668000000003"/>
    <n v="362.7"/>
    <n v="244.60668000000004"/>
    <n v="0.4027729120318585"/>
    <s v="Delayed"/>
    <x v="0"/>
  </r>
  <r>
    <s v="ORD-2024-320972"/>
    <d v="2024-11-08T00:00:00"/>
    <s v="Q4-2024"/>
    <d v="2024-11-08T00:00:00"/>
    <n v="0"/>
    <x v="0"/>
    <x v="0"/>
    <s v="Nakuru"/>
    <s v="Enterprise"/>
    <s v="Marketplace"/>
    <x v="12"/>
    <s v="Networking"/>
    <s v="NET-2628"/>
    <n v="803.28"/>
    <n v="1009"/>
    <s v="High"/>
    <n v="0.11"/>
    <n v="4"/>
    <n v="3592.04"/>
    <n v="3213.12"/>
    <n v="378.92000000000007"/>
    <n v="0.10548880302001093"/>
    <s v="On-time"/>
    <x v="0"/>
  </r>
  <r>
    <s v="ORD-2025-248586"/>
    <d v="2025-09-12T00:00:00"/>
    <s v="Q3-2025"/>
    <d v="2025-09-30T00:00:00"/>
    <n v="18"/>
    <x v="1"/>
    <x v="2"/>
    <s v="Nagoya"/>
    <s v="Non-Profit"/>
    <s v="Marketplace"/>
    <x v="9"/>
    <s v="Monitors"/>
    <s v="MON-2998"/>
    <n v="1212.99"/>
    <n v="1653.64"/>
    <s v="High"/>
    <n v="0.107"/>
    <n v="8"/>
    <n v="11813.604160000001"/>
    <n v="9703.92"/>
    <n v="2109.6841600000007"/>
    <n v="0.17858090819931455"/>
    <s v="Delayed"/>
    <x v="0"/>
  </r>
  <r>
    <s v="ORD-2024-664046"/>
    <d v="2024-09-02T00:00:00"/>
    <s v="Q3-2024"/>
    <d v="2024-09-08T00:00:00"/>
    <n v="6"/>
    <x v="2"/>
    <x v="10"/>
    <s v="Austin"/>
    <s v="Consumer"/>
    <s v="Direct"/>
    <x v="10"/>
    <s v="Components"/>
    <s v="CMP-7563"/>
    <n v="462.94"/>
    <n v="1015.7"/>
    <s v="High"/>
    <n v="0.14299999999999999"/>
    <n v="14"/>
    <n v="12186.368600000002"/>
    <n v="6481.16"/>
    <n v="5705.2086000000018"/>
    <n v="0.46816314090483041"/>
    <s v="On-time"/>
    <x v="0"/>
  </r>
  <r>
    <s v="ORD-2023-276806"/>
    <d v="2023-03-04T00:00:00"/>
    <s v="Q1-2023"/>
    <d v="2023-03-24T00:00:00"/>
    <n v="20"/>
    <x v="2"/>
    <x v="3"/>
    <s v="Montreal"/>
    <s v="Consumer"/>
    <s v="Distributor"/>
    <x v="2"/>
    <s v="Laptops"/>
    <s v="LAP-6160"/>
    <n v="481.71"/>
    <n v="912.45"/>
    <s v="High"/>
    <n v="0.20300000000000001"/>
    <n v="24"/>
    <n v="17453.3436"/>
    <n v="11561.039999999999"/>
    <n v="5892.3036000000011"/>
    <n v="0.33760313983619739"/>
    <s v="Delayed"/>
    <x v="1"/>
  </r>
  <r>
    <s v="ORD-2024-220234"/>
    <d v="2024-03-15T00:00:00"/>
    <s v="Q1-2024"/>
    <d v="2024-04-09T00:00:00"/>
    <n v="25"/>
    <x v="2"/>
    <x v="3"/>
    <s v="Vancouver"/>
    <s v="Consumer"/>
    <s v="Online"/>
    <x v="9"/>
    <s v="Monitors"/>
    <s v="MON-4361"/>
    <n v="648.64"/>
    <n v="815.19"/>
    <s v="High"/>
    <n v="0.22500000000000001"/>
    <n v="28"/>
    <n v="17689.623"/>
    <n v="18161.919999999998"/>
    <n v="-472.29699999999866"/>
    <n v="-2.6699099240272032E-2"/>
    <s v="Delayed"/>
    <x v="1"/>
  </r>
  <r>
    <s v="ORD-2024-301260"/>
    <d v="2024-07-29T00:00:00"/>
    <s v="Q3-2024"/>
    <d v="2024-07-31T00:00:00"/>
    <n v="2"/>
    <x v="2"/>
    <x v="10"/>
    <s v="New York"/>
    <s v="Education"/>
    <s v="Marketplace"/>
    <x v="2"/>
    <s v="Printers"/>
    <s v="PRN-2829"/>
    <n v="798.97"/>
    <n v="1814.06"/>
    <s v="High"/>
    <n v="0.122"/>
    <n v="16"/>
    <n v="25483.91488"/>
    <n v="12783.52"/>
    <n v="12700.39488"/>
    <n v="0.49836906691159061"/>
    <s v="On-time"/>
    <x v="0"/>
  </r>
  <r>
    <s v="ORD-2024-350100"/>
    <d v="2024-10-27T00:00:00"/>
    <s v="Q4-2024"/>
    <d v="2024-11-20T00:00:00"/>
    <n v="24"/>
    <x v="1"/>
    <x v="2"/>
    <s v="Nagoya"/>
    <s v="Non-Profit"/>
    <s v="Online"/>
    <x v="10"/>
    <s v="Monitors"/>
    <s v="MON-8939"/>
    <n v="317.25"/>
    <n v="758.92"/>
    <s v="High"/>
    <n v="5.2999999999999999E-2"/>
    <n v="9"/>
    <n v="6468.2751599999992"/>
    <n v="2855.25"/>
    <n v="3613.0251599999992"/>
    <n v="0.5585762928489888"/>
    <s v="Delayed"/>
    <x v="0"/>
  </r>
  <r>
    <s v="ORD-2024-855600"/>
    <d v="2024-04-29T00:00:00"/>
    <s v="Q2-2024"/>
    <d v="2024-05-19T00:00:00"/>
    <n v="20"/>
    <x v="3"/>
    <x v="6"/>
    <s v="Frankfurt"/>
    <s v="Enterprise"/>
    <s v="Marketplace"/>
    <x v="0"/>
    <s v="Laptops"/>
    <s v="LAP-5009"/>
    <n v="668.97"/>
    <n v="1667.44"/>
    <s v="High"/>
    <n v="3.4000000000000002E-2"/>
    <n v="15"/>
    <n v="24161.205600000001"/>
    <n v="10034.550000000001"/>
    <n v="14126.6556"/>
    <n v="0.58468339013679016"/>
    <s v="Delayed"/>
    <x v="0"/>
  </r>
  <r>
    <s v="ORD-2023-474313"/>
    <d v="2023-10-05T00:00:00"/>
    <s v="Q4-2023"/>
    <d v="2023-10-06T00:00:00"/>
    <n v="1"/>
    <x v="1"/>
    <x v="4"/>
    <s v="Bengaluru"/>
    <s v="Non-Profit"/>
    <s v="Online"/>
    <x v="2"/>
    <s v="Components"/>
    <s v="CMP-4807"/>
    <n v="1470.26"/>
    <n v="2562.5500000000002"/>
    <s v="High"/>
    <n v="0.17299999999999999"/>
    <n v="9"/>
    <n v="19073.059649999999"/>
    <n v="13232.34"/>
    <n v="5840.7196499999991"/>
    <n v="0.30622877279157462"/>
    <s v="On-time"/>
    <x v="0"/>
  </r>
  <r>
    <s v="ORD-2023-256951"/>
    <d v="2023-04-19T00:00:00"/>
    <s v="Q2-2023"/>
    <d v="2023-05-07T00:00:00"/>
    <n v="18"/>
    <x v="3"/>
    <x v="8"/>
    <s v="London"/>
    <s v="Non-Profit"/>
    <s v="Direct"/>
    <x v="10"/>
    <s v="Networking"/>
    <s v="NET-2439"/>
    <n v="516.96"/>
    <n v="745.38"/>
    <s v="High"/>
    <n v="0.19700000000000001"/>
    <n v="4"/>
    <n v="2394.1605599999998"/>
    <n v="2067.84"/>
    <n v="326.32055999999966"/>
    <n v="0.13629852794835101"/>
    <s v="Delayed"/>
    <x v="0"/>
  </r>
  <r>
    <s v="ORD-2025-184754"/>
    <d v="2025-06-27T00:00:00"/>
    <s v="Q2-2025"/>
    <d v="2025-07-05T00:00:00"/>
    <n v="8"/>
    <x v="3"/>
    <x v="6"/>
    <s v="Munich"/>
    <s v="Small Business"/>
    <s v="Direct"/>
    <x v="3"/>
    <s v="Monitors"/>
    <s v="MON-7626"/>
    <n v="314.93"/>
    <n v="687.95"/>
    <s v="High"/>
    <n v="0.20499999999999999"/>
    <n v="8"/>
    <n v="4375.3620000000001"/>
    <n v="2519.44"/>
    <n v="1855.922"/>
    <n v="0.424175645352316"/>
    <s v="Delayed"/>
    <x v="1"/>
  </r>
  <r>
    <s v="ORD-2023-888140"/>
    <d v="2023-10-11T00:00:00"/>
    <s v="Q4-2023"/>
    <d v="2023-10-13T00:00:00"/>
    <n v="2"/>
    <x v="2"/>
    <x v="5"/>
    <s v="Brasília"/>
    <s v="Consumer"/>
    <s v="Distributor"/>
    <x v="15"/>
    <s v="Accessories"/>
    <s v="ACC-3567"/>
    <n v="715.94"/>
    <n v="550.07000000000005"/>
    <s v="High"/>
    <n v="0.14000000000000001"/>
    <n v="16"/>
    <n v="7568.9632000000001"/>
    <n v="11455.04"/>
    <n v="-3886.0768000000007"/>
    <n v="-0.51342260456491595"/>
    <s v="On-time"/>
    <x v="0"/>
  </r>
  <r>
    <s v="ORD-2023-638181"/>
    <d v="2023-05-20T00:00:00"/>
    <s v="Q2-2023"/>
    <d v="2023-06-07T00:00:00"/>
    <n v="18"/>
    <x v="0"/>
    <x v="1"/>
    <s v="Port Harcourt"/>
    <s v="Enterprise"/>
    <s v="Distributor"/>
    <x v="6"/>
    <s v="Components"/>
    <s v="CMP-4630"/>
    <n v="1120.06"/>
    <n v="2068.21"/>
    <s v="High"/>
    <n v="7.8E-2"/>
    <n v="12"/>
    <n v="22882.675440000003"/>
    <n v="13440.72"/>
    <n v="9441.9554400000034"/>
    <n v="0.41262462795303284"/>
    <s v="Delayed"/>
    <x v="0"/>
  </r>
  <r>
    <s v="ORD-2023-521280"/>
    <d v="2023-05-27T00:00:00"/>
    <s v="Q2-2023"/>
    <d v="2023-06-19T00:00:00"/>
    <n v="23"/>
    <x v="3"/>
    <x v="6"/>
    <s v="Berlin"/>
    <s v="Education"/>
    <s v="Retail"/>
    <x v="7"/>
    <s v="Accessories"/>
    <s v="ACC-1882"/>
    <n v="1471.58"/>
    <n v="2576.65"/>
    <s v="High"/>
    <n v="4.0000000000000001E-3"/>
    <n v="7"/>
    <n v="17964.4038"/>
    <n v="10301.06"/>
    <n v="7663.3438000000006"/>
    <n v="0.4265849223451546"/>
    <s v="Delayed"/>
    <x v="0"/>
  </r>
  <r>
    <s v="ORD-2023-630430"/>
    <d v="2023-08-04T00:00:00"/>
    <s v="Q3-2023"/>
    <d v="2023-08-24T00:00:00"/>
    <n v="20"/>
    <x v="2"/>
    <x v="5"/>
    <s v="Brasília"/>
    <s v="Non-Profit"/>
    <s v="Direct"/>
    <x v="15"/>
    <s v="Networking"/>
    <s v="NET-9125"/>
    <n v="582.88"/>
    <n v="1044.1400000000001"/>
    <s v="High"/>
    <n v="0.216"/>
    <n v="10"/>
    <n v="8186.057600000001"/>
    <n v="5828.8"/>
    <n v="2357.2576000000008"/>
    <n v="0.28796005539956138"/>
    <s v="Delayed"/>
    <x v="1"/>
  </r>
  <r>
    <s v="ORD-2025-908258"/>
    <d v="2025-06-21T00:00:00"/>
    <s v="Q2-2025"/>
    <d v="2025-06-27T00:00:00"/>
    <n v="6"/>
    <x v="0"/>
    <x v="11"/>
    <s v="Durban"/>
    <s v="Enterprise"/>
    <s v="Distributor"/>
    <x v="13"/>
    <s v="Phones"/>
    <s v="PHN-3819"/>
    <n v="93.91"/>
    <n v="99.04"/>
    <s v="High"/>
    <n v="5.7000000000000002E-2"/>
    <n v="6"/>
    <n v="560.36831999999993"/>
    <n v="563.46"/>
    <n v="-3.0916800000001103"/>
    <n v="-5.5172283829323376E-3"/>
    <s v="On-time"/>
    <x v="0"/>
  </r>
  <r>
    <s v="ORD-2025-440093"/>
    <d v="2025-04-16T00:00:00"/>
    <s v="Q2-2025"/>
    <d v="2025-04-26T00:00:00"/>
    <n v="10"/>
    <x v="0"/>
    <x v="1"/>
    <s v="Port Harcourt"/>
    <s v="Enterprise"/>
    <s v="Marketplace"/>
    <x v="9"/>
    <s v="Laptops"/>
    <s v="LAP-3490"/>
    <n v="1457.44"/>
    <n v="1996.81"/>
    <s v="High"/>
    <n v="0.126"/>
    <n v="23"/>
    <n v="40139.874619999995"/>
    <n v="33521.120000000003"/>
    <n v="6618.7546199999924"/>
    <n v="0.16489225944672353"/>
    <s v="Delayed"/>
    <x v="0"/>
  </r>
  <r>
    <s v="ORD-2025-898022"/>
    <d v="2025-09-02T00:00:00"/>
    <s v="Q3-2025"/>
    <d v="2025-09-11T00:00:00"/>
    <n v="9"/>
    <x v="2"/>
    <x v="3"/>
    <s v="Toronto"/>
    <s v="Corporate"/>
    <s v="Distributor"/>
    <x v="12"/>
    <s v="Printers"/>
    <s v="PRN-1276"/>
    <n v="1207.6300000000001"/>
    <n v="921.68"/>
    <s v="High"/>
    <n v="0.19600000000000001"/>
    <n v="17"/>
    <n v="12597.52224"/>
    <n v="20529.710000000003"/>
    <n v="-7932.1877600000025"/>
    <n v="-0.62966253274897988"/>
    <s v="Delayed"/>
    <x v="0"/>
  </r>
  <r>
    <s v="ORD-2024-500511"/>
    <d v="2024-10-08T00:00:00"/>
    <s v="Q4-2024"/>
    <d v="2024-10-08T00:00:00"/>
    <n v="0"/>
    <x v="3"/>
    <x v="8"/>
    <s v="London"/>
    <s v="Corporate"/>
    <s v="Online"/>
    <x v="6"/>
    <s v="Monitors"/>
    <s v="MON-9733"/>
    <n v="1108.1099999999999"/>
    <n v="2503.79"/>
    <s v="High"/>
    <n v="0.184"/>
    <n v="19"/>
    <n v="38818.760160000005"/>
    <n v="21054.089999999997"/>
    <n v="17764.670160000009"/>
    <n v="0.45763105485025896"/>
    <s v="On-time"/>
    <x v="0"/>
  </r>
  <r>
    <s v="ORD-2023-632893"/>
    <d v="2023-05-07T00:00:00"/>
    <s v="Q2-2023"/>
    <d v="2023-05-14T00:00:00"/>
    <n v="7"/>
    <x v="0"/>
    <x v="1"/>
    <s v="Port Harcourt"/>
    <s v="Non-Profit"/>
    <s v="Marketplace"/>
    <x v="8"/>
    <s v="Components"/>
    <s v="CMP-9392"/>
    <n v="1269.6500000000001"/>
    <n v="2462.77"/>
    <s v="High"/>
    <n v="0.107"/>
    <n v="8"/>
    <n v="17594.028880000002"/>
    <n v="10157.200000000001"/>
    <n v="7436.8288800000009"/>
    <n v="0.42269050089225502"/>
    <s v="On-time"/>
    <x v="0"/>
  </r>
  <r>
    <s v="ORD-2023-967239"/>
    <d v="2023-12-24T00:00:00"/>
    <s v="Q4-2023"/>
    <d v="2024-01-01T00:00:00"/>
    <n v="8"/>
    <x v="2"/>
    <x v="5"/>
    <s v="São Paulo"/>
    <s v="Education"/>
    <s v="Direct"/>
    <x v="0"/>
    <s v="Phones"/>
    <s v="PHN-3014"/>
    <n v="526.49"/>
    <n v="496.2"/>
    <s v="High"/>
    <n v="0"/>
    <n v="14"/>
    <n v="6946.8"/>
    <n v="7370.8600000000006"/>
    <n v="-424.0600000000004"/>
    <n v="-6.1043933897621985E-2"/>
    <s v="Delayed"/>
    <x v="0"/>
  </r>
  <r>
    <s v="ORD-2024-885858"/>
    <d v="2024-01-10T00:00:00"/>
    <s v="Q1-2024"/>
    <d v="2024-01-23T00:00:00"/>
    <n v="13"/>
    <x v="3"/>
    <x v="7"/>
    <s v="Marseille"/>
    <s v="Corporate"/>
    <s v="Direct"/>
    <x v="8"/>
    <s v="Printers"/>
    <s v="PRN-6776"/>
    <n v="720"/>
    <n v="907.59"/>
    <s v="High"/>
    <n v="0.154"/>
    <n v="10"/>
    <n v="7678.2113999999992"/>
    <n v="7200"/>
    <n v="478.21139999999923"/>
    <n v="6.2281614179052078E-2"/>
    <s v="Delayed"/>
    <x v="0"/>
  </r>
  <r>
    <s v="ORD-2023-253245"/>
    <d v="2023-08-03T00:00:00"/>
    <s v="Q3-2023"/>
    <d v="2023-08-14T00:00:00"/>
    <n v="11"/>
    <x v="2"/>
    <x v="5"/>
    <s v="Brasília"/>
    <s v="Corporate"/>
    <s v="Direct"/>
    <x v="1"/>
    <s v="Accessories"/>
    <s v="ACC-3951"/>
    <n v="232.73"/>
    <n v="334.19"/>
    <s v="High"/>
    <n v="0.13400000000000001"/>
    <n v="25"/>
    <n v="7235.2134999999998"/>
    <n v="5818.25"/>
    <n v="1416.9634999999998"/>
    <n v="0.1958426658729559"/>
    <s v="Delayed"/>
    <x v="0"/>
  </r>
  <r>
    <s v="ORD-2025-484073"/>
    <d v="2025-02-19T00:00:00"/>
    <s v="Q1-2025"/>
    <d v="2025-03-09T00:00:00"/>
    <n v="18"/>
    <x v="1"/>
    <x v="4"/>
    <s v="Delhi"/>
    <s v="Small Business"/>
    <s v="Direct"/>
    <x v="7"/>
    <s v="Monitors"/>
    <s v="MON-1436"/>
    <n v="325.87"/>
    <n v="538.79"/>
    <s v="High"/>
    <n v="0.17399999999999999"/>
    <n v="16"/>
    <n v="7120.6486400000003"/>
    <n v="5213.92"/>
    <n v="1906.7286400000003"/>
    <n v="0.26777457172778013"/>
    <s v="Delayed"/>
    <x v="0"/>
  </r>
  <r>
    <s v="ORD-2024-745822"/>
    <d v="2024-03-31T00:00:00"/>
    <s v="Q1-2024"/>
    <d v="2024-04-17T00:00:00"/>
    <n v="17"/>
    <x v="3"/>
    <x v="6"/>
    <s v="Frankfurt"/>
    <s v="Education"/>
    <s v="Direct"/>
    <x v="10"/>
    <s v="Monitors"/>
    <s v="MON-8651"/>
    <n v="1025.51"/>
    <n v="1436.54"/>
    <s v="High"/>
    <n v="0.13900000000000001"/>
    <n v="28"/>
    <n v="34632.106319999999"/>
    <n v="28714.28"/>
    <n v="5917.8263200000001"/>
    <n v="0.17087688127656453"/>
    <s v="Delayed"/>
    <x v="0"/>
  </r>
  <r>
    <s v="ORD-2023-369160"/>
    <d v="2023-07-24T00:00:00"/>
    <s v="Q3-2023"/>
    <d v="2023-08-13T00:00:00"/>
    <n v="20"/>
    <x v="2"/>
    <x v="3"/>
    <s v="Montreal"/>
    <s v="Education"/>
    <s v="Direct"/>
    <x v="0"/>
    <s v="Monitors"/>
    <s v="MON-3307"/>
    <n v="1082.3800000000001"/>
    <n v="1766.55"/>
    <s v="High"/>
    <n v="0.16400000000000001"/>
    <n v="20"/>
    <n v="29536.716"/>
    <n v="21647.600000000002"/>
    <n v="7889.1159999999982"/>
    <n v="0.26709523157550752"/>
    <s v="Delayed"/>
    <x v="0"/>
  </r>
  <r>
    <s v="ORD-2024-834983"/>
    <d v="2024-03-16T00:00:00"/>
    <s v="Q1-2024"/>
    <d v="2024-04-13T00:00:00"/>
    <n v="28"/>
    <x v="3"/>
    <x v="7"/>
    <s v="Paris"/>
    <s v="Small Business"/>
    <s v="Online"/>
    <x v="11"/>
    <s v="Printers"/>
    <s v="PRN-8758"/>
    <n v="287.61"/>
    <n v="628.54"/>
    <s v="High"/>
    <n v="0.13500000000000001"/>
    <n v="21"/>
    <n v="11417.429099999999"/>
    <n v="6039.81"/>
    <n v="5377.619099999999"/>
    <n v="0.47100087531964613"/>
    <s v="Delayed"/>
    <x v="0"/>
  </r>
  <r>
    <s v="ORD-2024-499009"/>
    <d v="2024-01-25T00:00:00"/>
    <s v="Q1-2024"/>
    <d v="2024-01-27T00:00:00"/>
    <n v="2"/>
    <x v="2"/>
    <x v="5"/>
    <s v="São Paulo"/>
    <s v="Non-Profit"/>
    <s v="Marketplace"/>
    <x v="13"/>
    <s v="Laptops"/>
    <s v="LAP-7056"/>
    <n v="1410.97"/>
    <n v="1650.75"/>
    <s v="High"/>
    <n v="0.13500000000000001"/>
    <n v="6"/>
    <n v="8567.3924999999999"/>
    <n v="8465.82"/>
    <n v="101.57250000000022"/>
    <n v="1.1855707556295596E-2"/>
    <s v="On-time"/>
    <x v="0"/>
  </r>
  <r>
    <s v="ORD-2024-948800"/>
    <d v="2024-03-27T00:00:00"/>
    <s v="Q1-2024"/>
    <d v="2024-04-11T00:00:00"/>
    <n v="15"/>
    <x v="2"/>
    <x v="10"/>
    <s v="San Francisco"/>
    <s v="Small Business"/>
    <s v="Direct"/>
    <x v="7"/>
    <s v="Networking"/>
    <s v="NET-5523"/>
    <n v="1338.35"/>
    <n v="2247.14"/>
    <s v="High"/>
    <n v="0.115"/>
    <n v="40"/>
    <n v="79548.755999999994"/>
    <n v="53534"/>
    <n v="26014.755999999994"/>
    <n v="0.32702907384246205"/>
    <s v="Delayed"/>
    <x v="0"/>
  </r>
  <r>
    <s v="ORD-2025-678328"/>
    <d v="2025-06-24T00:00:00"/>
    <s v="Q2-2025"/>
    <d v="2025-07-14T00:00:00"/>
    <n v="20"/>
    <x v="3"/>
    <x v="6"/>
    <s v="Berlin"/>
    <s v="Corporate"/>
    <s v="Direct"/>
    <x v="7"/>
    <s v="Accessories"/>
    <s v="ACC-8094"/>
    <n v="385.08"/>
    <n v="893.19"/>
    <s v="High"/>
    <n v="0.151"/>
    <n v="8"/>
    <n v="6066.54648"/>
    <n v="3080.64"/>
    <n v="2985.9064800000001"/>
    <n v="0.49219213762621666"/>
    <s v="Delayed"/>
    <x v="0"/>
  </r>
  <r>
    <s v="ORD-2024-580808"/>
    <d v="2024-06-16T00:00:00"/>
    <s v="Q2-2024"/>
    <d v="2024-07-03T00:00:00"/>
    <n v="17"/>
    <x v="0"/>
    <x v="11"/>
    <s v="Johannesburg"/>
    <s v="Enterprise"/>
    <s v="Marketplace"/>
    <x v="9"/>
    <s v="Phones"/>
    <s v="PHN-6832"/>
    <n v="1173.83"/>
    <n v="2328.9"/>
    <s v="High"/>
    <n v="0.12"/>
    <n v="17"/>
    <n v="34840.344000000005"/>
    <n v="19955.11"/>
    <n v="14885.234000000004"/>
    <n v="0.42724130393201637"/>
    <s v="Delayed"/>
    <x v="0"/>
  </r>
  <r>
    <s v="ORD-2023-211715"/>
    <d v="2023-10-30T00:00:00"/>
    <s v="Q4-2023"/>
    <d v="2023-11-14T00:00:00"/>
    <n v="15"/>
    <x v="1"/>
    <x v="4"/>
    <s v="Bengaluru"/>
    <s v="Corporate"/>
    <s v="Online"/>
    <x v="9"/>
    <s v="Laptops"/>
    <s v="LAP-2378"/>
    <n v="953.46"/>
    <n v="2066.75"/>
    <s v="High"/>
    <n v="0.13800000000000001"/>
    <n v="5"/>
    <n v="8907.6924999999992"/>
    <n v="4767.3"/>
    <n v="4140.392499999999"/>
    <n v="0.46481089238318446"/>
    <s v="Delayed"/>
    <x v="0"/>
  </r>
  <r>
    <s v="ORD-2023-715175"/>
    <d v="2023-06-15T00:00:00"/>
    <s v="Q2-2023"/>
    <d v="2023-06-23T00:00:00"/>
    <n v="8"/>
    <x v="2"/>
    <x v="10"/>
    <s v="San Francisco"/>
    <s v="Consumer"/>
    <s v="Distributor"/>
    <x v="7"/>
    <s v="Monitors"/>
    <s v="MON-5424"/>
    <n v="1097.0899999999999"/>
    <n v="2182.31"/>
    <s v="High"/>
    <n v="0.112"/>
    <n v="9"/>
    <n v="17441.021520000002"/>
    <n v="9873.81"/>
    <n v="7567.2115200000026"/>
    <n v="0.43387432962699546"/>
    <s v="Delayed"/>
    <x v="0"/>
  </r>
  <r>
    <s v="ORD-2025-685236"/>
    <d v="2025-03-14T00:00:00"/>
    <s v="Q1-2025"/>
    <d v="2025-03-29T00:00:00"/>
    <n v="15"/>
    <x v="1"/>
    <x v="2"/>
    <s v="Tokyo"/>
    <s v="Non-Profit"/>
    <s v="Direct"/>
    <x v="10"/>
    <s v="Networking"/>
    <s v="NET-8430"/>
    <n v="1106.96"/>
    <n v="2726.62"/>
    <s v="High"/>
    <n v="0.3"/>
    <n v="7"/>
    <n v="13360.438"/>
    <n v="7748.72"/>
    <n v="5611.7179999999998"/>
    <n v="0.42002500217432992"/>
    <s v="Delayed"/>
    <x v="1"/>
  </r>
  <r>
    <s v="ORD-2023-274037"/>
    <d v="2023-08-15T00:00:00"/>
    <s v="Q3-2023"/>
    <d v="2023-08-25T00:00:00"/>
    <n v="10"/>
    <x v="0"/>
    <x v="0"/>
    <s v="Nairobi"/>
    <s v="Small Business"/>
    <s v="Retail"/>
    <x v="13"/>
    <s v="Phones"/>
    <s v="PHN-1234"/>
    <n v="91.85"/>
    <n v="111.29"/>
    <s v="High"/>
    <n v="0"/>
    <n v="6"/>
    <n v="667.74"/>
    <n v="551.09999999999991"/>
    <n v="116.6400000000001"/>
    <n v="0.17467876718483258"/>
    <s v="Delayed"/>
    <x v="0"/>
  </r>
  <r>
    <s v="ORD-2025-983096"/>
    <d v="2025-05-17T00:00:00"/>
    <s v="Q2-2025"/>
    <d v="2025-05-28T00:00:00"/>
    <n v="11"/>
    <x v="1"/>
    <x v="4"/>
    <s v="Bengaluru"/>
    <s v="Corporate"/>
    <s v="Distributor"/>
    <x v="5"/>
    <s v="Laptops"/>
    <s v="LAP-9016"/>
    <n v="623.4"/>
    <n v="1100.0899999999999"/>
    <s v="High"/>
    <n v="0.114"/>
    <n v="12"/>
    <n v="11696.156879999999"/>
    <n v="7480.7999999999993"/>
    <n v="4215.3568799999994"/>
    <n v="0.36040529579490388"/>
    <s v="Delayed"/>
    <x v="0"/>
  </r>
  <r>
    <s v="ORD-2024-366010"/>
    <d v="2024-01-13T00:00:00"/>
    <s v="Q1-2024"/>
    <d v="2024-02-05T00:00:00"/>
    <n v="23"/>
    <x v="3"/>
    <x v="6"/>
    <s v="Frankfurt"/>
    <s v="Education"/>
    <s v="Direct"/>
    <x v="5"/>
    <s v="Laptops"/>
    <s v="LAP-9931"/>
    <n v="1017.93"/>
    <n v="1529.14"/>
    <s v="High"/>
    <n v="0.155"/>
    <n v="12"/>
    <n v="15505.479600000001"/>
    <n v="12215.16"/>
    <n v="3290.3196000000007"/>
    <n v="0.21220366508366503"/>
    <s v="Delayed"/>
    <x v="0"/>
  </r>
  <r>
    <s v="ORD-2023-610470"/>
    <d v="2023-06-24T00:00:00"/>
    <s v="Q2-2023"/>
    <d v="2023-07-21T00:00:00"/>
    <n v="27"/>
    <x v="1"/>
    <x v="2"/>
    <s v="Nagoya"/>
    <s v="Consumer"/>
    <s v="Marketplace"/>
    <x v="1"/>
    <s v="Phones"/>
    <s v="PHN-6818"/>
    <n v="554.76"/>
    <n v="728.69"/>
    <s v="High"/>
    <n v="0.22"/>
    <n v="7"/>
    <n v="3978.6474000000003"/>
    <n v="3883.3199999999997"/>
    <n v="95.32740000000058"/>
    <n v="2.395975074343119E-2"/>
    <s v="Delayed"/>
    <x v="1"/>
  </r>
  <r>
    <s v="ORD-2025-541048"/>
    <d v="2025-04-04T00:00:00"/>
    <s v="Q2-2025"/>
    <d v="2025-04-13T00:00:00"/>
    <n v="9"/>
    <x v="3"/>
    <x v="6"/>
    <s v="Munich"/>
    <s v="Consumer"/>
    <s v="Marketplace"/>
    <x v="9"/>
    <s v="Phones"/>
    <s v="PHN-3803"/>
    <n v="7.02"/>
    <n v="6.28"/>
    <s v="High"/>
    <n v="0.13400000000000001"/>
    <n v="14"/>
    <n v="76.138720000000006"/>
    <n v="98.28"/>
    <n v="-22.141279999999995"/>
    <n v="-0.29080184169106066"/>
    <s v="Delayed"/>
    <x v="0"/>
  </r>
  <r>
    <s v="ORD-2024-862371"/>
    <d v="2024-09-07T00:00:00"/>
    <s v="Q3-2024"/>
    <d v="2024-09-07T00:00:00"/>
    <n v="0"/>
    <x v="1"/>
    <x v="4"/>
    <s v="Mumbai"/>
    <s v="Education"/>
    <s v="Distributor"/>
    <x v="5"/>
    <s v="Networking"/>
    <s v="NET-9835"/>
    <n v="1066.6500000000001"/>
    <n v="2569.77"/>
    <s v="High"/>
    <n v="0.13400000000000001"/>
    <n v="9"/>
    <n v="20028.787380000002"/>
    <n v="9599.85"/>
    <n v="10428.937380000001"/>
    <n v="0.52069739331368348"/>
    <s v="On-time"/>
    <x v="0"/>
  </r>
  <r>
    <s v="ORD-2024-277241"/>
    <d v="2024-01-28T00:00:00"/>
    <s v="Q1-2024"/>
    <d v="2024-01-30T00:00:00"/>
    <n v="2"/>
    <x v="0"/>
    <x v="11"/>
    <s v="Cape Town"/>
    <s v="Consumer"/>
    <s v="Direct"/>
    <x v="9"/>
    <s v="Accessories"/>
    <s v="ACC-6223"/>
    <n v="798.45"/>
    <n v="1592.02"/>
    <s v="High"/>
    <n v="6.6000000000000003E-2"/>
    <n v="18"/>
    <n v="26765.040239999998"/>
    <n v="14372.1"/>
    <n v="12392.940239999998"/>
    <n v="0.46302714768494585"/>
    <s v="On-time"/>
    <x v="0"/>
  </r>
  <r>
    <s v="ORD-2023-369150"/>
    <d v="2023-07-18T00:00:00"/>
    <s v="Q3-2023"/>
    <d v="2023-08-10T00:00:00"/>
    <n v="23"/>
    <x v="0"/>
    <x v="11"/>
    <s v="Johannesburg"/>
    <s v="Small Business"/>
    <s v="Retail"/>
    <x v="4"/>
    <s v="Components"/>
    <s v="CMP-8659"/>
    <n v="1271.56"/>
    <n v="995.47"/>
    <s v="High"/>
    <n v="0.192"/>
    <n v="13"/>
    <n v="10456.416880000001"/>
    <n v="16530.28"/>
    <n v="-6073.8631199999982"/>
    <n v="-0.58087423155607754"/>
    <s v="Delayed"/>
    <x v="0"/>
  </r>
  <r>
    <s v="ORD-2025-922513"/>
    <d v="2025-08-28T00:00:00"/>
    <s v="Q3-2025"/>
    <d v="2025-09-04T00:00:00"/>
    <n v="7"/>
    <x v="0"/>
    <x v="1"/>
    <s v="Port Harcourt"/>
    <s v="Small Business"/>
    <s v="Retail"/>
    <x v="8"/>
    <s v="Accessories"/>
    <s v="ACC-4483"/>
    <n v="521.05999999999995"/>
    <n v="1240.31"/>
    <s v="High"/>
    <n v="0.14599999999999999"/>
    <n v="18"/>
    <n v="19066.045319999997"/>
    <n v="9379.0799999999981"/>
    <n v="9686.9653199999993"/>
    <n v="0.50807417885650974"/>
    <s v="On-time"/>
    <x v="0"/>
  </r>
  <r>
    <s v="ORD-2025-752845"/>
    <d v="2025-03-30T00:00:00"/>
    <s v="Q1-2025"/>
    <d v="2025-04-07T00:00:00"/>
    <n v="8"/>
    <x v="2"/>
    <x v="5"/>
    <s v="São Paulo"/>
    <s v="Non-Profit"/>
    <s v="Direct"/>
    <x v="4"/>
    <s v="Printers"/>
    <s v="PRN-8763"/>
    <n v="71.62"/>
    <n v="118.37"/>
    <s v="High"/>
    <n v="0.156"/>
    <n v="11"/>
    <n v="1098.9470800000001"/>
    <n v="787.82"/>
    <n v="311.12708000000009"/>
    <n v="0.28311379652603474"/>
    <s v="Delayed"/>
    <x v="0"/>
  </r>
  <r>
    <s v="ORD-2023-667815"/>
    <d v="2023-10-21T00:00:00"/>
    <s v="Q4-2023"/>
    <d v="2023-11-09T00:00:00"/>
    <n v="19"/>
    <x v="3"/>
    <x v="8"/>
    <s v="London"/>
    <s v="Non-Profit"/>
    <s v="Direct"/>
    <x v="8"/>
    <s v="Accessories"/>
    <s v="ACC-8557"/>
    <n v="1142.48"/>
    <n v="2105.5300000000002"/>
    <s v="High"/>
    <n v="0.20699999999999999"/>
    <n v="14"/>
    <n v="23375.594060000003"/>
    <n v="15994.720000000001"/>
    <n v="7380.8740600000019"/>
    <n v="0.31575129346680658"/>
    <s v="Delayed"/>
    <x v="1"/>
  </r>
  <r>
    <s v="ORD-2023-375011"/>
    <d v="2023-08-23T00:00:00"/>
    <s v="Q3-2023"/>
    <d v="2023-09-22T00:00:00"/>
    <n v="30"/>
    <x v="3"/>
    <x v="8"/>
    <s v="London"/>
    <s v="Consumer"/>
    <s v="Distributor"/>
    <x v="7"/>
    <s v="Accessories"/>
    <s v="ACC-1492"/>
    <n v="209.81"/>
    <n v="523"/>
    <s v="High"/>
    <n v="5.8999999999999997E-2"/>
    <n v="15"/>
    <n v="7382.1450000000004"/>
    <n v="3147.15"/>
    <n v="4234.9950000000008"/>
    <n v="0.57368082041195356"/>
    <s v="Delayed"/>
    <x v="0"/>
  </r>
  <r>
    <s v="ORD-2025-487025"/>
    <d v="2025-04-11T00:00:00"/>
    <s v="Q2-2025"/>
    <d v="2025-05-04T00:00:00"/>
    <n v="23"/>
    <x v="1"/>
    <x v="2"/>
    <s v="Osaka"/>
    <s v="Small Business"/>
    <s v="Online"/>
    <x v="12"/>
    <s v="Components"/>
    <s v="CMP-3743"/>
    <n v="786.2"/>
    <n v="1075.3"/>
    <s v="High"/>
    <n v="0.08"/>
    <n v="9"/>
    <n v="8903.4839999999986"/>
    <n v="7075.8"/>
    <n v="1827.6839999999984"/>
    <n v="0.20527739478163815"/>
    <s v="Delayed"/>
    <x v="0"/>
  </r>
  <r>
    <s v="ORD-2025-398335"/>
    <d v="2025-06-01T00:00:00"/>
    <s v="Q2-2025"/>
    <d v="2025-06-27T00:00:00"/>
    <n v="26"/>
    <x v="3"/>
    <x v="6"/>
    <s v="Munich"/>
    <s v="Consumer"/>
    <s v="Distributor"/>
    <x v="6"/>
    <s v="Laptops"/>
    <s v="LAP-1619"/>
    <n v="1362.31"/>
    <n v="3294.57"/>
    <s v="High"/>
    <n v="0.113"/>
    <n v="7"/>
    <n v="20455.985130000001"/>
    <n v="9536.17"/>
    <n v="10919.815130000001"/>
    <n v="0.5338200561157721"/>
    <s v="Delayed"/>
    <x v="0"/>
  </r>
  <r>
    <s v="ORD-2024-792137"/>
    <d v="2024-03-02T00:00:00"/>
    <s v="Q1-2024"/>
    <d v="2024-03-16T00:00:00"/>
    <n v="14"/>
    <x v="2"/>
    <x v="3"/>
    <s v="Vancouver"/>
    <s v="Non-Profit"/>
    <s v="Direct"/>
    <x v="7"/>
    <s v="Printers"/>
    <s v="PRN-7976"/>
    <n v="248.24"/>
    <n v="464.05"/>
    <s v="High"/>
    <n v="0.16900000000000001"/>
    <n v="11"/>
    <n v="4241.88105"/>
    <n v="2730.6400000000003"/>
    <n v="1511.2410499999996"/>
    <n v="0.3562667203975462"/>
    <s v="Delayed"/>
    <x v="0"/>
  </r>
  <r>
    <s v="ORD-2023-602648"/>
    <d v="2023-06-20T00:00:00"/>
    <s v="Q2-2023"/>
    <d v="2023-07-08T00:00:00"/>
    <n v="18"/>
    <x v="2"/>
    <x v="10"/>
    <s v="Austin"/>
    <s v="Non-Profit"/>
    <s v="Direct"/>
    <x v="9"/>
    <s v="Monitors"/>
    <s v="MON-4326"/>
    <n v="337"/>
    <n v="511.03"/>
    <s v="High"/>
    <n v="0.108"/>
    <n v="7"/>
    <n v="3190.8713200000002"/>
    <n v="2359"/>
    <n v="831.8713200000002"/>
    <n v="0.26070349963219458"/>
    <s v="Delayed"/>
    <x v="0"/>
  </r>
  <r>
    <s v="ORD-2024-207096"/>
    <d v="2024-03-26T00:00:00"/>
    <s v="Q1-2024"/>
    <d v="2024-04-05T00:00:00"/>
    <n v="10"/>
    <x v="2"/>
    <x v="10"/>
    <s v="Austin"/>
    <s v="Consumer"/>
    <s v="Direct"/>
    <x v="1"/>
    <s v="Monitors"/>
    <s v="MON-5444"/>
    <n v="5.66"/>
    <n v="4.22"/>
    <s v="High"/>
    <n v="0.11899999999999999"/>
    <n v="18"/>
    <n v="66.920760000000001"/>
    <n v="101.88"/>
    <n v="-34.959239999999994"/>
    <n v="-0.52239753403876454"/>
    <s v="Delayed"/>
    <x v="0"/>
  </r>
  <r>
    <s v="ORD-2025-939953"/>
    <d v="2025-01-22T00:00:00"/>
    <s v="Q1-2025"/>
    <d v="2025-01-22T00:00:00"/>
    <n v="0"/>
    <x v="3"/>
    <x v="7"/>
    <s v="Lyon"/>
    <s v="Small Business"/>
    <s v="Online"/>
    <x v="5"/>
    <s v="Accessories"/>
    <s v="ACC-5422"/>
    <n v="591.72"/>
    <n v="577.24"/>
    <s v="High"/>
    <n v="0"/>
    <n v="22"/>
    <n v="12699.28"/>
    <n v="13017.84"/>
    <n v="-318.55999999999949"/>
    <n v="-2.5084886702238195E-2"/>
    <s v="On-time"/>
    <x v="0"/>
  </r>
  <r>
    <s v="ORD-2025-191328"/>
    <d v="2025-05-10T00:00:00"/>
    <s v="Q2-2025"/>
    <d v="2025-05-27T00:00:00"/>
    <n v="17"/>
    <x v="2"/>
    <x v="3"/>
    <s v="Vancouver"/>
    <s v="Education"/>
    <s v="Direct"/>
    <x v="0"/>
    <s v="Components"/>
    <s v="CMP-9307"/>
    <n v="862.89"/>
    <n v="1426.03"/>
    <s v="High"/>
    <n v="5.6000000000000001E-2"/>
    <n v="19"/>
    <n v="25577.274079999999"/>
    <n v="16394.91"/>
    <n v="9182.3640799999994"/>
    <n v="0.35900479665188778"/>
    <s v="Delayed"/>
    <x v="0"/>
  </r>
  <r>
    <s v="ORD-2023-166668"/>
    <d v="2023-10-05T00:00:00"/>
    <s v="Q4-2023"/>
    <d v="2023-10-31T00:00:00"/>
    <n v="26"/>
    <x v="1"/>
    <x v="9"/>
    <s v="Shanghai"/>
    <s v="Consumer"/>
    <s v="Unknown"/>
    <x v="1"/>
    <s v="Printers"/>
    <s v="PRN-6520"/>
    <n v="649.91"/>
    <n v="1360.12"/>
    <s v="High"/>
    <n v="0.19400000000000001"/>
    <n v="9"/>
    <n v="9866.3104799999983"/>
    <n v="5849.19"/>
    <n v="4017.1204799999987"/>
    <n v="0.40715528749506769"/>
    <s v="Delayed"/>
    <x v="0"/>
  </r>
  <r>
    <s v="ORD-2023-594700"/>
    <d v="2023-07-18T00:00:00"/>
    <s v="Q3-2023"/>
    <d v="2023-07-22T00:00:00"/>
    <n v="4"/>
    <x v="2"/>
    <x v="5"/>
    <s v="São Paulo"/>
    <s v="Consumer"/>
    <s v="Direct"/>
    <x v="9"/>
    <s v="Networking"/>
    <s v="NET-1699"/>
    <n v="1269.55"/>
    <n v="2071.1"/>
    <s v="High"/>
    <n v="0.129"/>
    <n v="22"/>
    <n v="39686.4182"/>
    <n v="27930.1"/>
    <n v="11756.318200000002"/>
    <n v="0.29623026549672354"/>
    <s v="On-time"/>
    <x v="0"/>
  </r>
  <r>
    <s v="ORD-2025-278048"/>
    <d v="2025-06-22T00:00:00"/>
    <s v="Q2-2025"/>
    <d v="2025-07-08T00:00:00"/>
    <n v="16"/>
    <x v="3"/>
    <x v="8"/>
    <s v="London"/>
    <s v="Education"/>
    <s v="Direct"/>
    <x v="8"/>
    <s v="Phones"/>
    <s v="PHN-5316"/>
    <n v="892.73"/>
    <n v="979.84"/>
    <s v="High"/>
    <n v="0.17399999999999999"/>
    <n v="10"/>
    <n v="8093.4784"/>
    <n v="8927.2999999999993"/>
    <n v="-833.82159999999931"/>
    <n v="-0.10302388649112838"/>
    <s v="Delayed"/>
    <x v="0"/>
  </r>
  <r>
    <s v="ORD-2024-878493"/>
    <d v="2024-06-19T00:00:00"/>
    <s v="Q2-2024"/>
    <d v="2024-06-20T00:00:00"/>
    <n v="1"/>
    <x v="0"/>
    <x v="0"/>
    <s v="Kisumu"/>
    <s v="Small Business"/>
    <s v="Direct"/>
    <x v="1"/>
    <s v="Laptops"/>
    <s v="LAP-4607"/>
    <n v="231.63"/>
    <n v="537.39"/>
    <s v="High"/>
    <n v="0.08"/>
    <n v="12"/>
    <n v="5932.7856000000002"/>
    <n v="2779.56"/>
    <n v="3153.2256000000002"/>
    <n v="0.53149158129024587"/>
    <s v="On-time"/>
    <x v="0"/>
  </r>
  <r>
    <s v="ORD-2025-138578"/>
    <d v="2025-04-09T00:00:00"/>
    <s v="Q2-2025"/>
    <d v="2025-04-12T00:00:00"/>
    <n v="3"/>
    <x v="3"/>
    <x v="7"/>
    <s v="Lyon"/>
    <s v="Small Business"/>
    <s v="Distributor"/>
    <x v="10"/>
    <s v="Monitors"/>
    <s v="MON-5276"/>
    <n v="86.68"/>
    <n v="213.32"/>
    <s v="High"/>
    <n v="3.7999999999999999E-2"/>
    <n v="8"/>
    <n v="1641.7107199999998"/>
    <n v="693.44"/>
    <n v="948.27071999999976"/>
    <n v="0.57761133459614611"/>
    <s v="On-time"/>
    <x v="0"/>
  </r>
  <r>
    <s v="ORD-2025-944081"/>
    <d v="2025-03-25T00:00:00"/>
    <s v="Q1-2025"/>
    <d v="2025-03-26T00:00:00"/>
    <n v="1"/>
    <x v="0"/>
    <x v="1"/>
    <s v="Lagos"/>
    <s v="Education"/>
    <s v="Distributor"/>
    <x v="3"/>
    <s v="Accessories"/>
    <s v="ACC-9533"/>
    <n v="1450.43"/>
    <n v="1994.67"/>
    <s v="High"/>
    <n v="0.1"/>
    <n v="24"/>
    <n v="43084.872000000003"/>
    <n v="34810.32"/>
    <n v="8274.5520000000033"/>
    <n v="0.19205237513529116"/>
    <s v="On-time"/>
    <x v="0"/>
  </r>
  <r>
    <s v="ORD-2025-364852"/>
    <d v="2025-05-18T00:00:00"/>
    <s v="Q2-2025"/>
    <d v="2025-06-09T00:00:00"/>
    <n v="22"/>
    <x v="2"/>
    <x v="10"/>
    <s v="New York"/>
    <s v="Consumer"/>
    <s v="Retail"/>
    <x v="10"/>
    <s v="Networking"/>
    <s v="NET-3749"/>
    <n v="382.96"/>
    <n v="552.84"/>
    <s v="High"/>
    <n v="0.17599999999999999"/>
    <n v="8"/>
    <n v="3644.3212800000006"/>
    <n v="3063.68"/>
    <n v="580.64128000000073"/>
    <n v="0.15932768693763483"/>
    <s v="Delayed"/>
    <x v="0"/>
  </r>
  <r>
    <s v="ORD-2025-415018"/>
    <d v="2025-01-22T00:00:00"/>
    <s v="Q1-2025"/>
    <d v="2025-02-04T00:00:00"/>
    <n v="13"/>
    <x v="1"/>
    <x v="2"/>
    <s v="Tokyo"/>
    <s v="Small Business"/>
    <s v="Distributor"/>
    <x v="4"/>
    <s v="Printers"/>
    <s v="PRN-2991"/>
    <n v="122.29"/>
    <n v="224.95"/>
    <s v="High"/>
    <n v="0.153"/>
    <n v="28"/>
    <n v="5334.9141999999993"/>
    <n v="3424.1200000000003"/>
    <n v="1910.7941999999989"/>
    <n v="0.3581677471026618"/>
    <s v="Delayed"/>
    <x v="0"/>
  </r>
  <r>
    <s v="ORD-2023-884192"/>
    <d v="2023-01-10T00:00:00"/>
    <s v="Q1-2023"/>
    <d v="2023-01-29T00:00:00"/>
    <n v="19"/>
    <x v="3"/>
    <x v="7"/>
    <s v="Lyon"/>
    <s v="Non-Profit"/>
    <s v="Direct"/>
    <x v="14"/>
    <s v="Laptops"/>
    <s v="LAP-4551"/>
    <n v="401.66"/>
    <n v="772.09"/>
    <s v="High"/>
    <n v="8.8999999999999996E-2"/>
    <n v="14"/>
    <n v="9847.2358600000007"/>
    <n v="5623.2400000000007"/>
    <n v="4223.99586"/>
    <n v="0.42895244107619046"/>
    <s v="Delayed"/>
    <x v="0"/>
  </r>
  <r>
    <s v="ORD-2024-165942"/>
    <d v="2024-12-29T00:00:00"/>
    <s v="Q4-2024"/>
    <d v="2025-01-12T00:00:00"/>
    <n v="14"/>
    <x v="3"/>
    <x v="8"/>
    <s v="Manchester"/>
    <s v="Corporate"/>
    <s v="Direct"/>
    <x v="5"/>
    <s v="Monitors"/>
    <s v="MON-6310"/>
    <n v="1399.72"/>
    <n v="3149.21"/>
    <s v="High"/>
    <n v="0.185"/>
    <n v="12"/>
    <n v="30799.273800000003"/>
    <n v="16796.64"/>
    <n v="14002.633800000003"/>
    <n v="0.45464168703873797"/>
    <s v="Delayed"/>
    <x v="0"/>
  </r>
  <r>
    <s v="ORD-2024-403664"/>
    <d v="2024-05-23T00:00:00"/>
    <s v="Q2-2024"/>
    <d v="2024-06-06T00:00:00"/>
    <n v="14"/>
    <x v="2"/>
    <x v="5"/>
    <s v="Rio de Janeiro"/>
    <s v="Non-Profit"/>
    <s v="Online"/>
    <x v="2"/>
    <s v="Networking"/>
    <s v="NET-1166"/>
    <n v="51.13"/>
    <n v="57.53"/>
    <s v="High"/>
    <n v="4.4999999999999998E-2"/>
    <n v="16"/>
    <n v="879.05840000000001"/>
    <n v="818.08"/>
    <n v="60.978399999999965"/>
    <n v="6.9367859973808302E-2"/>
    <s v="Delayed"/>
    <x v="0"/>
  </r>
  <r>
    <s v="ORD-2023-890605"/>
    <d v="2023-06-24T00:00:00"/>
    <s v="Q2-2023"/>
    <d v="2023-07-01T00:00:00"/>
    <n v="7"/>
    <x v="2"/>
    <x v="3"/>
    <s v="Toronto"/>
    <s v="Non-Profit"/>
    <s v="Retail"/>
    <x v="12"/>
    <s v="Accessories"/>
    <s v="ACC-2903"/>
    <n v="471.42"/>
    <n v="824.81"/>
    <s v="High"/>
    <n v="8.7999999999999995E-2"/>
    <n v="15"/>
    <n v="11283.400799999999"/>
    <n v="7071.3"/>
    <n v="4212.1007999999993"/>
    <n v="0.37330064531608231"/>
    <s v="On-time"/>
    <x v="0"/>
  </r>
  <r>
    <s v="ORD-2024-925626"/>
    <d v="2024-11-04T00:00:00"/>
    <s v="Q4-2024"/>
    <d v="2024-11-05T00:00:00"/>
    <n v="1"/>
    <x v="3"/>
    <x v="8"/>
    <s v="London"/>
    <s v="Corporate"/>
    <s v="Retail"/>
    <x v="12"/>
    <s v="Printers"/>
    <s v="PRN-2293"/>
    <n v="840.68"/>
    <n v="1493.53"/>
    <s v="High"/>
    <n v="0"/>
    <n v="27"/>
    <n v="40325.31"/>
    <n v="22698.359999999997"/>
    <n v="17626.95"/>
    <n v="0.43711877230454027"/>
    <s v="On-time"/>
    <x v="0"/>
  </r>
  <r>
    <s v="ORD-2024-427031"/>
    <d v="2024-06-08T00:00:00"/>
    <s v="Q2-2024"/>
    <d v="2024-06-24T00:00:00"/>
    <n v="16"/>
    <x v="0"/>
    <x v="11"/>
    <s v="Durban"/>
    <s v="Education"/>
    <s v="Distributor"/>
    <x v="10"/>
    <s v="Monitors"/>
    <s v="MON-1389"/>
    <n v="597.85"/>
    <n v="741.92"/>
    <s v="High"/>
    <n v="3.1E-2"/>
    <n v="7"/>
    <n v="5032.4433599999993"/>
    <n v="4184.95"/>
    <n v="847.49335999999948"/>
    <n v="0.16840594108544515"/>
    <s v="Delayed"/>
    <x v="0"/>
  </r>
  <r>
    <s v="ORD-2025-231184"/>
    <d v="2025-06-01T00:00:00"/>
    <s v="Q2-2025"/>
    <d v="2025-06-06T00:00:00"/>
    <n v="5"/>
    <x v="3"/>
    <x v="7"/>
    <s v="Paris"/>
    <s v="Consumer"/>
    <s v="Distributor"/>
    <x v="3"/>
    <s v="Components"/>
    <s v="CMP-4093"/>
    <n v="379.45"/>
    <n v="742.23"/>
    <s v="High"/>
    <n v="0.09"/>
    <n v="13"/>
    <n v="8780.5809000000008"/>
    <n v="4932.8499999999995"/>
    <n v="3847.7309000000014"/>
    <n v="0.43820915083192286"/>
    <s v="On-time"/>
    <x v="0"/>
  </r>
  <r>
    <s v="ORD-2023-363031"/>
    <d v="2023-05-06T00:00:00"/>
    <s v="Q2-2023"/>
    <d v="2023-05-14T00:00:00"/>
    <n v="8"/>
    <x v="1"/>
    <x v="2"/>
    <s v="Osaka"/>
    <s v="Enterprise"/>
    <s v="Marketplace"/>
    <x v="5"/>
    <s v="Phones"/>
    <s v="PHN-6131"/>
    <n v="291.18"/>
    <n v="479.54"/>
    <s v="High"/>
    <n v="0.14099999999999999"/>
    <n v="22"/>
    <n v="9062.34692"/>
    <n v="6405.96"/>
    <n v="2656.3869199999999"/>
    <n v="0.29312350801066001"/>
    <s v="Delayed"/>
    <x v="0"/>
  </r>
  <r>
    <s v="ORD-2023-619570"/>
    <d v="2023-11-14T00:00:00"/>
    <s v="Q4-2023"/>
    <d v="2023-11-30T00:00:00"/>
    <n v="16"/>
    <x v="2"/>
    <x v="5"/>
    <s v="São Paulo"/>
    <s v="Enterprise"/>
    <s v="Direct"/>
    <x v="11"/>
    <s v="Networking"/>
    <s v="NET-4104"/>
    <n v="1017.92"/>
    <n v="1175.25"/>
    <s v="High"/>
    <n v="7.4999999999999997E-2"/>
    <n v="15"/>
    <n v="16306.59375"/>
    <n v="15268.8"/>
    <n v="1037.7937500000007"/>
    <n v="6.3642583234159542E-2"/>
    <s v="Delayed"/>
    <x v="0"/>
  </r>
  <r>
    <s v="ORD-2025-861401"/>
    <d v="2025-04-01T00:00:00"/>
    <s v="Q2-2025"/>
    <d v="2025-04-27T00:00:00"/>
    <n v="26"/>
    <x v="2"/>
    <x v="10"/>
    <s v="San Francisco"/>
    <s v="Corporate"/>
    <s v="Direct"/>
    <x v="2"/>
    <s v="Monitors"/>
    <s v="MON-9319"/>
    <n v="156.55000000000001"/>
    <n v="227.45"/>
    <s v="High"/>
    <n v="1.4E-2"/>
    <n v="13"/>
    <n v="2915.4540999999999"/>
    <n v="2035.15"/>
    <n v="880.30409999999983"/>
    <n v="0.3019440779396938"/>
    <s v="Delayed"/>
    <x v="0"/>
  </r>
  <r>
    <s v="ORD-2023-835010"/>
    <d v="2023-03-23T00:00:00"/>
    <s v="Q1-2023"/>
    <d v="2023-04-15T00:00:00"/>
    <n v="23"/>
    <x v="0"/>
    <x v="0"/>
    <s v="Mombasa"/>
    <s v="Small Business"/>
    <s v="Retail"/>
    <x v="0"/>
    <s v="Accessories"/>
    <s v="ACC-2988"/>
    <n v="875.36"/>
    <n v="1178.6199999999999"/>
    <s v="High"/>
    <n v="0.151"/>
    <n v="53"/>
    <n v="53034.364139999991"/>
    <n v="46394.080000000002"/>
    <n v="6640.2841399999888"/>
    <n v="0.12520719815685888"/>
    <s v="Delayed"/>
    <x v="0"/>
  </r>
  <r>
    <s v="ORD-2024-819979"/>
    <d v="2024-05-28T00:00:00"/>
    <s v="Q2-2024"/>
    <d v="2024-06-18T00:00:00"/>
    <n v="21"/>
    <x v="3"/>
    <x v="6"/>
    <s v="Frankfurt"/>
    <s v="Small Business"/>
    <s v="Online"/>
    <x v="6"/>
    <s v="Phones"/>
    <s v="PHN-9399"/>
    <n v="986.85"/>
    <n v="2422.1"/>
    <s v="High"/>
    <n v="7.5999999999999998E-2"/>
    <n v="10"/>
    <n v="22380.204000000002"/>
    <n v="9868.5"/>
    <n v="12511.704000000002"/>
    <n v="0.55905227673527913"/>
    <s v="Delayed"/>
    <x v="0"/>
  </r>
  <r>
    <s v="ORD-2024-719055"/>
    <d v="2024-01-02T00:00:00"/>
    <s v="Q1-2024"/>
    <d v="2024-01-09T00:00:00"/>
    <n v="7"/>
    <x v="2"/>
    <x v="10"/>
    <s v="Chicago"/>
    <s v="Education"/>
    <s v="Marketplace"/>
    <x v="5"/>
    <s v="Networking"/>
    <s v="NET-4554"/>
    <n v="404.77"/>
    <n v="433.88"/>
    <s v="High"/>
    <n v="0.215"/>
    <n v="22"/>
    <n v="7493.1076000000012"/>
    <n v="8904.9399999999987"/>
    <n v="-1411.8323999999975"/>
    <n v="-0.18841747314558746"/>
    <s v="On-time"/>
    <x v="1"/>
  </r>
  <r>
    <s v="ORD-2023-888245"/>
    <d v="2023-02-28T00:00:00"/>
    <s v="Q1-2023"/>
    <d v="2023-03-07T00:00:00"/>
    <n v="7"/>
    <x v="3"/>
    <x v="7"/>
    <s v="Marseille"/>
    <s v="Corporate"/>
    <s v="Retail"/>
    <x v="11"/>
    <s v="Networking"/>
    <s v="NET-5195"/>
    <n v="1299.81"/>
    <n v="3149.13"/>
    <s v="High"/>
    <n v="0.10299999999999999"/>
    <n v="14"/>
    <n v="39546.774539999999"/>
    <n v="18197.34"/>
    <n v="21349.434539999998"/>
    <n v="0.53985273864511729"/>
    <s v="On-time"/>
    <x v="0"/>
  </r>
  <r>
    <s v="ORD-2024-206121"/>
    <d v="2024-02-18T00:00:00"/>
    <s v="Q1-2024"/>
    <d v="2024-03-11T00:00:00"/>
    <n v="22"/>
    <x v="2"/>
    <x v="5"/>
    <s v="São Paulo"/>
    <s v="Consumer"/>
    <s v="Online"/>
    <x v="8"/>
    <s v="Components"/>
    <s v="CMP-9801"/>
    <n v="80.48"/>
    <n v="65.650000000000006"/>
    <s v="High"/>
    <n v="0.17599999999999999"/>
    <n v="13"/>
    <n v="703.2428000000001"/>
    <n v="1046.24"/>
    <n v="-342.99719999999991"/>
    <n v="-0.48773652570634191"/>
    <s v="Delayed"/>
    <x v="0"/>
  </r>
  <r>
    <s v="ORD-2024-500890"/>
    <d v="2024-09-09T00:00:00"/>
    <s v="Q3-2024"/>
    <d v="2024-10-08T00:00:00"/>
    <n v="29"/>
    <x v="2"/>
    <x v="5"/>
    <s v="São Paulo"/>
    <s v="Education"/>
    <s v="Direct"/>
    <x v="1"/>
    <s v="Components"/>
    <s v="CMP-3093"/>
    <n v="1010.33"/>
    <n v="2492.14"/>
    <s v="High"/>
    <n v="5.0999999999999997E-2"/>
    <n v="11"/>
    <n v="26015.449459999996"/>
    <n v="11113.630000000001"/>
    <n v="14901.819459999995"/>
    <n v="0.57280653493656752"/>
    <s v="Delayed"/>
    <x v="0"/>
  </r>
  <r>
    <s v="ORD-2023-144816"/>
    <d v="2023-05-07T00:00:00"/>
    <s v="Q2-2023"/>
    <d v="2023-05-29T00:00:00"/>
    <n v="22"/>
    <x v="0"/>
    <x v="11"/>
    <s v="Durban"/>
    <s v="Education"/>
    <s v="Distributor"/>
    <x v="11"/>
    <s v="Accessories"/>
    <s v="ACC-2364"/>
    <n v="653.86"/>
    <n v="931.84"/>
    <s v="High"/>
    <n v="0.121"/>
    <n v="12"/>
    <n v="9829.0483199999999"/>
    <n v="7846.32"/>
    <n v="1982.7283200000002"/>
    <n v="0.20172129136506273"/>
    <s v="Delayed"/>
    <x v="0"/>
  </r>
  <r>
    <s v="ORD-2024-153053"/>
    <d v="2024-01-12T00:00:00"/>
    <s v="Q1-2024"/>
    <d v="2024-01-29T00:00:00"/>
    <n v="17"/>
    <x v="1"/>
    <x v="4"/>
    <s v="Hyderabad"/>
    <s v="Small Business"/>
    <s v="Direct"/>
    <x v="5"/>
    <s v="Components"/>
    <s v="CMP-5138"/>
    <n v="310.02"/>
    <n v="619.51"/>
    <s v="High"/>
    <n v="4.2000000000000003E-2"/>
    <n v="4"/>
    <n v="2373.9623200000001"/>
    <n v="1240.08"/>
    <n v="1133.8823200000002"/>
    <n v="0.47763282106347843"/>
    <s v="Delayed"/>
    <x v="0"/>
  </r>
  <r>
    <s v="ORD-2023-536542"/>
    <d v="2023-06-10T00:00:00"/>
    <s v="Q2-2023"/>
    <d v="2023-06-18T00:00:00"/>
    <n v="8"/>
    <x v="0"/>
    <x v="0"/>
    <s v="Nakuru"/>
    <s v="Enterprise"/>
    <s v="Direct"/>
    <x v="10"/>
    <s v="Phones"/>
    <s v="PHN-2337"/>
    <n v="894.23"/>
    <n v="1421.55"/>
    <s v="High"/>
    <n v="0.109"/>
    <n v="3"/>
    <n v="3799.8031499999997"/>
    <n v="2682.69"/>
    <n v="1117.1131499999997"/>
    <n v="0.29399237431549574"/>
    <s v="Delayed"/>
    <x v="0"/>
  </r>
  <r>
    <s v="ORD-2025-779530"/>
    <d v="2025-05-19T00:00:00"/>
    <s v="Q2-2025"/>
    <d v="2025-05-26T00:00:00"/>
    <n v="7"/>
    <x v="2"/>
    <x v="5"/>
    <s v="São Paulo"/>
    <s v="Small Business"/>
    <s v="Distributor"/>
    <x v="4"/>
    <s v="Monitors"/>
    <s v="MON-2993"/>
    <n v="383.77"/>
    <n v="952.56"/>
    <s v="High"/>
    <n v="0.3"/>
    <n v="10"/>
    <n v="6667.9199999999983"/>
    <n v="3837.7"/>
    <n v="2830.2199999999984"/>
    <n v="0.42445320279787385"/>
    <s v="On-time"/>
    <x v="1"/>
  </r>
  <r>
    <s v="ORD-2023-163610"/>
    <d v="2023-10-22T00:00:00"/>
    <s v="Q4-2023"/>
    <d v="2023-11-16T00:00:00"/>
    <n v="25"/>
    <x v="2"/>
    <x v="3"/>
    <s v="Toronto"/>
    <s v="Small Business"/>
    <s v="Marketplace"/>
    <x v="2"/>
    <s v="Laptops"/>
    <s v="LAP-9024"/>
    <n v="1373.31"/>
    <n v="3154.14"/>
    <s v="High"/>
    <n v="0.2"/>
    <n v="11"/>
    <n v="27756.432000000001"/>
    <n v="15106.41"/>
    <n v="12650.022000000001"/>
    <n v="0.45575101295440279"/>
    <s v="Delayed"/>
    <x v="0"/>
  </r>
  <r>
    <s v="ORD-2025-653781"/>
    <d v="2025-01-11T00:00:00"/>
    <s v="Q1-2025"/>
    <d v="2025-01-23T00:00:00"/>
    <n v="12"/>
    <x v="2"/>
    <x v="10"/>
    <s v="Austin"/>
    <s v="Consumer"/>
    <s v="Distributor"/>
    <x v="10"/>
    <s v="Phones"/>
    <s v="PHN-6307"/>
    <n v="100.69"/>
    <n v="226.14"/>
    <s v="High"/>
    <n v="6.5000000000000002E-2"/>
    <n v="12"/>
    <n v="2537.2908000000002"/>
    <n v="1208.28"/>
    <n v="1329.0108000000002"/>
    <n v="0.52379128162999689"/>
    <s v="Delayed"/>
    <x v="0"/>
  </r>
  <r>
    <s v="ORD-2025-737787"/>
    <d v="2025-09-14T00:00:00"/>
    <s v="Q3-2025"/>
    <d v="2025-09-26T00:00:00"/>
    <n v="12"/>
    <x v="3"/>
    <x v="8"/>
    <s v="London"/>
    <s v="Small Business"/>
    <s v="Direct"/>
    <x v="13"/>
    <s v="Networking"/>
    <s v="NET-9003"/>
    <n v="425.15"/>
    <n v="885.92"/>
    <s v="High"/>
    <n v="0.23899999999999999"/>
    <n v="13"/>
    <n v="8764.4065599999994"/>
    <n v="5526.95"/>
    <n v="3237.4565599999996"/>
    <n v="0.3693868532725848"/>
    <s v="Delayed"/>
    <x v="1"/>
  </r>
  <r>
    <s v="ORD-2023-944052"/>
    <d v="2023-08-30T00:00:00"/>
    <s v="Q3-2023"/>
    <d v="2023-09-03T00:00:00"/>
    <n v="4"/>
    <x v="1"/>
    <x v="4"/>
    <s v="Delhi"/>
    <s v="Small Business"/>
    <s v="Marketplace"/>
    <x v="4"/>
    <s v="Accessories"/>
    <s v="ACC-3068"/>
    <n v="1082.25"/>
    <n v="2433.34"/>
    <s v="High"/>
    <n v="0.27"/>
    <n v="4"/>
    <n v="7105.3528000000006"/>
    <n v="4329"/>
    <n v="2776.3528000000006"/>
    <n v="0.3907410199251472"/>
    <s v="On-time"/>
    <x v="1"/>
  </r>
  <r>
    <s v="ORD-2023-181257"/>
    <d v="2023-11-15T00:00:00"/>
    <s v="Q4-2023"/>
    <d v="2023-12-06T00:00:00"/>
    <n v="21"/>
    <x v="3"/>
    <x v="8"/>
    <s v="Manchester"/>
    <s v="Education"/>
    <s v="Direct"/>
    <x v="10"/>
    <s v="Accessories"/>
    <s v="ACC-1060"/>
    <n v="1184.99"/>
    <n v="1154.3399999999999"/>
    <s v="High"/>
    <n v="2.8000000000000001E-2"/>
    <n v="5"/>
    <n v="5610.0923999999995"/>
    <n v="5924.95"/>
    <n v="-314.85760000000028"/>
    <n v="-5.6123424990290764E-2"/>
    <s v="Delayed"/>
    <x v="0"/>
  </r>
  <r>
    <s v="ORD-2025-323492"/>
    <d v="2025-04-27T00:00:00"/>
    <s v="Q2-2025"/>
    <d v="2025-05-27T00:00:00"/>
    <n v="30"/>
    <x v="1"/>
    <x v="4"/>
    <s v="Unknown"/>
    <s v="Enterprise"/>
    <s v="Marketplace"/>
    <x v="10"/>
    <s v="Phones"/>
    <s v="PHN-3854"/>
    <n v="481.32"/>
    <n v="1135.99"/>
    <s v="High"/>
    <n v="0.14499999999999999"/>
    <n v="5"/>
    <n v="4856.35725"/>
    <n v="2406.6"/>
    <n v="2449.7572500000001"/>
    <n v="0.50444337677175621"/>
    <s v="Delayed"/>
    <x v="0"/>
  </r>
  <r>
    <s v="ORD-2024-332076"/>
    <d v="2024-04-09T00:00:00"/>
    <s v="Q2-2024"/>
    <d v="2024-04-18T00:00:00"/>
    <n v="9"/>
    <x v="3"/>
    <x v="7"/>
    <s v="Lyon"/>
    <s v="Consumer"/>
    <s v="Online"/>
    <x v="6"/>
    <s v="Printers"/>
    <s v="PRN-1086"/>
    <n v="1288.8499999999999"/>
    <n v="2751.84"/>
    <s v="High"/>
    <n v="0.158"/>
    <n v="7"/>
    <n v="16219.34496"/>
    <n v="9021.9499999999989"/>
    <n v="7197.3949600000014"/>
    <n v="0.44375373837538756"/>
    <s v="Delayed"/>
    <x v="0"/>
  </r>
  <r>
    <s v="ORD-2024-571797"/>
    <d v="2024-07-11T00:00:00"/>
    <s v="Q3-2024"/>
    <d v="2024-07-31T00:00:00"/>
    <n v="20"/>
    <x v="1"/>
    <x v="9"/>
    <s v="Shenzhen"/>
    <s v="Consumer"/>
    <s v="Online"/>
    <x v="3"/>
    <s v="Phones"/>
    <s v="PHN-7815"/>
    <n v="647.26"/>
    <n v="1374.72"/>
    <s v="High"/>
    <n v="6.6000000000000003E-2"/>
    <n v="22"/>
    <n v="28247.74656"/>
    <n v="14239.72"/>
    <n v="14008.02656"/>
    <n v="0.49589890401508901"/>
    <s v="Delayed"/>
    <x v="0"/>
  </r>
  <r>
    <s v="ORD-2024-129345"/>
    <d v="2024-02-18T00:00:00"/>
    <s v="Q1-2024"/>
    <d v="2024-03-03T00:00:00"/>
    <n v="14"/>
    <x v="2"/>
    <x v="5"/>
    <s v="Unknown"/>
    <s v="Enterprise"/>
    <s v="Distributor"/>
    <x v="8"/>
    <s v="Printers"/>
    <s v="PRN-5384"/>
    <n v="624.23"/>
    <n v="1318.37"/>
    <s v="High"/>
    <n v="0.21"/>
    <n v="37"/>
    <n v="38535.955099999999"/>
    <n v="23096.510000000002"/>
    <n v="15439.445099999997"/>
    <n v="0.40065038118128793"/>
    <s v="Delayed"/>
    <x v="1"/>
  </r>
  <r>
    <s v="ORD-2023-660608"/>
    <d v="2023-07-25T00:00:00"/>
    <s v="Q3-2023"/>
    <d v="2023-08-10T00:00:00"/>
    <n v="16"/>
    <x v="0"/>
    <x v="1"/>
    <s v="Port Harcourt"/>
    <s v="Corporate"/>
    <s v="Distributor"/>
    <x v="2"/>
    <s v="Accessories"/>
    <s v="ACC-8178"/>
    <n v="506.83"/>
    <n v="441.74"/>
    <s v="High"/>
    <n v="0.24"/>
    <n v="9"/>
    <n v="3021.5016000000001"/>
    <n v="4561.47"/>
    <n v="-1539.9684000000002"/>
    <n v="-0.50966989393618067"/>
    <s v="Delayed"/>
    <x v="1"/>
  </r>
  <r>
    <s v="ORD-2023-825084"/>
    <d v="2023-07-14T00:00:00"/>
    <s v="Q3-2023"/>
    <d v="2023-07-21T00:00:00"/>
    <n v="7"/>
    <x v="0"/>
    <x v="11"/>
    <s v="Durban"/>
    <s v="Enterprise"/>
    <s v="Marketplace"/>
    <x v="15"/>
    <s v="Monitors"/>
    <s v="MON-1018"/>
    <n v="620.74"/>
    <n v="1330.07"/>
    <s v="High"/>
    <n v="0.29899999999999999"/>
    <n v="28"/>
    <n v="26106.613960000002"/>
    <n v="17380.72"/>
    <n v="8725.8939600000012"/>
    <n v="0.33424073965967516"/>
    <s v="On-time"/>
    <x v="1"/>
  </r>
  <r>
    <s v="ORD-2023-261081"/>
    <d v="2023-07-24T00:00:00"/>
    <s v="Q3-2023"/>
    <d v="2023-08-19T00:00:00"/>
    <n v="26"/>
    <x v="0"/>
    <x v="0"/>
    <s v="Nairobi"/>
    <s v="Enterprise"/>
    <s v="Distributor"/>
    <x v="12"/>
    <s v="Accessories"/>
    <s v="ACC-1238"/>
    <n v="661.45"/>
    <n v="1634.86"/>
    <s v="High"/>
    <n v="0.3"/>
    <n v="24"/>
    <n v="27465.647999999997"/>
    <n v="15874.800000000001"/>
    <n v="11590.847999999996"/>
    <n v="0.42201254454291404"/>
    <s v="Delayed"/>
    <x v="1"/>
  </r>
  <r>
    <s v="ORD-2023-766015"/>
    <d v="2023-04-13T00:00:00"/>
    <s v="Q2-2023"/>
    <d v="2023-04-20T00:00:00"/>
    <n v="7"/>
    <x v="2"/>
    <x v="10"/>
    <s v="San Francisco"/>
    <s v="Education"/>
    <s v="Marketplace"/>
    <x v="3"/>
    <s v="Networking"/>
    <s v="NET-1816"/>
    <n v="32.1"/>
    <n v="70.599999999999994"/>
    <s v="High"/>
    <n v="0.28199999999999997"/>
    <n v="22"/>
    <n v="1115.1975999999997"/>
    <n v="706.2"/>
    <n v="408.99759999999969"/>
    <n v="0.36674899587301818"/>
    <s v="On-time"/>
    <x v="1"/>
  </r>
  <r>
    <s v="ORD-2024-333192"/>
    <d v="2024-10-29T00:00:00"/>
    <s v="Q4-2024"/>
    <d v="2024-11-04T00:00:00"/>
    <n v="6"/>
    <x v="0"/>
    <x v="0"/>
    <s v="Nairobi"/>
    <s v="Corporate"/>
    <s v="Distributor"/>
    <x v="12"/>
    <s v="Printers"/>
    <s v="PRN-4893"/>
    <n v="805.81"/>
    <n v="1823.04"/>
    <s v="High"/>
    <n v="0"/>
    <n v="11"/>
    <n v="20053.439999999999"/>
    <n v="8863.91"/>
    <n v="11189.529999999999"/>
    <n v="0.55798556257679477"/>
    <s v="On-time"/>
    <x v="0"/>
  </r>
  <r>
    <s v="ORD-2024-647473"/>
    <d v="2024-02-17T00:00:00"/>
    <s v="Q1-2024"/>
    <d v="2024-03-04T00:00:00"/>
    <n v="16"/>
    <x v="1"/>
    <x v="4"/>
    <s v="Delhi"/>
    <s v="Small Business"/>
    <s v="Marketplace"/>
    <x v="9"/>
    <s v="Phones"/>
    <s v="PHN-1717"/>
    <n v="1231.8"/>
    <n v="2015.99"/>
    <s v="High"/>
    <n v="0.26100000000000001"/>
    <n v="6"/>
    <n v="8938.8996600000009"/>
    <n v="7390.7999999999993"/>
    <n v="1548.0996600000017"/>
    <n v="0.17318682599464391"/>
    <s v="Delayed"/>
    <x v="1"/>
  </r>
  <r>
    <s v="ORD-2024-892908"/>
    <d v="2024-07-13T00:00:00"/>
    <s v="Q3-2024"/>
    <d v="2024-07-20T00:00:00"/>
    <n v="7"/>
    <x v="1"/>
    <x v="2"/>
    <s v="Nagoya"/>
    <s v="Small Business"/>
    <s v="Marketplace"/>
    <x v="9"/>
    <s v="Networking"/>
    <s v="NET-9575"/>
    <n v="105.13"/>
    <n v="244.13"/>
    <s v="High"/>
    <n v="7.0999999999999994E-2"/>
    <n v="14"/>
    <n v="3175.1547799999998"/>
    <n v="1471.82"/>
    <n v="1703.3347799999999"/>
    <n v="0.53645724319618837"/>
    <s v="On-time"/>
    <x v="0"/>
  </r>
  <r>
    <s v="ORD-2023-573146"/>
    <d v="2023-12-01T00:00:00"/>
    <s v="Q4-2023"/>
    <d v="2023-12-18T00:00:00"/>
    <n v="17"/>
    <x v="1"/>
    <x v="2"/>
    <s v="Nagoya"/>
    <s v="Small Business"/>
    <s v="Direct"/>
    <x v="13"/>
    <s v="Laptops"/>
    <s v="LAP-3604"/>
    <n v="1495.79"/>
    <n v="2783.12"/>
    <s v="High"/>
    <n v="0.02"/>
    <n v="5"/>
    <n v="13637.287999999999"/>
    <n v="7478.95"/>
    <n v="6158.3379999999988"/>
    <n v="0.45158084217331185"/>
    <s v="Delayed"/>
    <x v="0"/>
  </r>
  <r>
    <s v="ORD-2024-901115"/>
    <d v="2024-07-25T00:00:00"/>
    <s v="Q3-2024"/>
    <d v="2024-08-02T00:00:00"/>
    <n v="8"/>
    <x v="2"/>
    <x v="3"/>
    <s v="Montreal"/>
    <s v="Consumer"/>
    <s v="Direct"/>
    <x v="1"/>
    <s v="Accessories"/>
    <s v="ACC-6626"/>
    <n v="986.81"/>
    <n v="2050.31"/>
    <s v="High"/>
    <n v="0.10299999999999999"/>
    <n v="43"/>
    <n v="79082.507010000001"/>
    <n v="42432.829999999994"/>
    <n v="36649.677010000007"/>
    <n v="0.46343595310358138"/>
    <s v="Delayed"/>
    <x v="0"/>
  </r>
  <r>
    <s v="ORD-2023-898009"/>
    <d v="2023-05-04T00:00:00"/>
    <s v="Q2-2023"/>
    <d v="2023-05-16T00:00:00"/>
    <n v="12"/>
    <x v="0"/>
    <x v="1"/>
    <s v="Abuja"/>
    <s v="Small Business"/>
    <s v="Marketplace"/>
    <x v="1"/>
    <s v="Phones"/>
    <s v="PHN-1670"/>
    <n v="77.739999999999995"/>
    <n v="147.12"/>
    <s v="High"/>
    <n v="0"/>
    <n v="15"/>
    <n v="2206.8000000000002"/>
    <n v="1166.0999999999999"/>
    <n v="1040.7000000000003"/>
    <n v="0.47158781946710177"/>
    <s v="Delayed"/>
    <x v="0"/>
  </r>
  <r>
    <s v="ORD-2023-208944"/>
    <d v="2023-12-21T00:00:00"/>
    <s v="Q4-2023"/>
    <d v="2024-01-06T00:00:00"/>
    <n v="16"/>
    <x v="0"/>
    <x v="1"/>
    <s v="Unknown"/>
    <s v="Corporate"/>
    <s v="Marketplace"/>
    <x v="11"/>
    <s v="Components"/>
    <s v="CMP-4792"/>
    <n v="932.61"/>
    <n v="1982.98"/>
    <s v="High"/>
    <n v="0.14399999999999999"/>
    <n v="16"/>
    <n v="27158.894079999998"/>
    <n v="14921.76"/>
    <n v="12237.134079999998"/>
    <n v="0.45057556629345635"/>
    <s v="Delayed"/>
    <x v="0"/>
  </r>
  <r>
    <s v="ORD-2025-480172"/>
    <d v="2025-06-17T00:00:00"/>
    <s v="Q2-2025"/>
    <d v="2025-07-05T00:00:00"/>
    <n v="18"/>
    <x v="1"/>
    <x v="4"/>
    <s v="Delhi"/>
    <s v="Consumer"/>
    <s v="Marketplace"/>
    <x v="4"/>
    <s v="Laptops"/>
    <s v="LAP-1990"/>
    <n v="982.93"/>
    <n v="2299.3000000000002"/>
    <s v="High"/>
    <n v="0.113"/>
    <n v="6"/>
    <n v="12236.874600000001"/>
    <n v="5897.58"/>
    <n v="6339.2946000000011"/>
    <n v="0.51804850562087157"/>
    <s v="Delayed"/>
    <x v="0"/>
  </r>
  <r>
    <s v="ORD-2023-735274"/>
    <d v="2023-02-23T00:00:00"/>
    <s v="Q1-2023"/>
    <d v="2023-03-08T00:00:00"/>
    <n v="13"/>
    <x v="3"/>
    <x v="8"/>
    <s v="Manchester"/>
    <s v="Small Business"/>
    <s v="Direct"/>
    <x v="0"/>
    <s v="Printers"/>
    <s v="PRN-7410"/>
    <n v="307.37"/>
    <n v="462.61"/>
    <s v="High"/>
    <n v="0.188"/>
    <n v="11"/>
    <n v="4132.0325200000007"/>
    <n v="3381.07"/>
    <n v="750.9625200000005"/>
    <n v="0.18174167709599739"/>
    <s v="Delayed"/>
    <x v="0"/>
  </r>
  <r>
    <s v="ORD-2023-212701"/>
    <d v="2023-12-02T00:00:00"/>
    <s v="Q4-2023"/>
    <d v="2023-12-16T00:00:00"/>
    <n v="14"/>
    <x v="3"/>
    <x v="6"/>
    <s v="Frankfurt"/>
    <s v="Education"/>
    <s v="Direct"/>
    <x v="13"/>
    <s v="Monitors"/>
    <s v="MON-4278"/>
    <n v="879.08"/>
    <n v="1093.3900000000001"/>
    <s v="High"/>
    <n v="0.113"/>
    <n v="17"/>
    <n v="16487.22781"/>
    <n v="14944.36"/>
    <n v="1542.8678099999997"/>
    <n v="9.3579577341935186E-2"/>
    <s v="Delayed"/>
    <x v="0"/>
  </r>
  <r>
    <s v="ORD-2023-479747"/>
    <d v="2023-07-14T00:00:00"/>
    <s v="Q3-2023"/>
    <d v="2023-07-14T00:00:00"/>
    <n v="0"/>
    <x v="0"/>
    <x v="1"/>
    <s v="Lagos"/>
    <s v="Education"/>
    <s v="Retail"/>
    <x v="2"/>
    <s v="Accessories"/>
    <s v="ACC-5334"/>
    <n v="956.38"/>
    <n v="1454.22"/>
    <s v="High"/>
    <n v="3.9E-2"/>
    <n v="19"/>
    <n v="26552.60298"/>
    <n v="18171.22"/>
    <n v="8381.3829799999985"/>
    <n v="0.31565202802576603"/>
    <s v="On-time"/>
    <x v="0"/>
  </r>
  <r>
    <s v="ORD-2024-915495"/>
    <d v="2024-08-08T00:00:00"/>
    <s v="Q3-2024"/>
    <d v="2024-08-20T00:00:00"/>
    <n v="12"/>
    <x v="1"/>
    <x v="2"/>
    <s v="Osaka"/>
    <s v="Small Business"/>
    <s v="Retail"/>
    <x v="10"/>
    <s v="Networking"/>
    <s v="NET-8957"/>
    <n v="1233.3599999999999"/>
    <n v="2120.4"/>
    <s v="High"/>
    <n v="0.17899999999999999"/>
    <n v="20"/>
    <n v="34816.968000000001"/>
    <n v="24667.199999999997"/>
    <n v="10149.768000000004"/>
    <n v="0.29151785991244278"/>
    <s v="Delayed"/>
    <x v="0"/>
  </r>
  <r>
    <s v="ORD-2024-225829"/>
    <d v="2024-11-07T00:00:00"/>
    <s v="Q4-2024"/>
    <d v="2024-11-26T00:00:00"/>
    <n v="19"/>
    <x v="2"/>
    <x v="5"/>
    <s v="Rio de Janeiro"/>
    <s v="Non-Profit"/>
    <s v="Distributor"/>
    <x v="1"/>
    <s v="Printers"/>
    <s v="PRN-9960"/>
    <n v="55.35"/>
    <n v="128.68"/>
    <s v="High"/>
    <n v="0.128"/>
    <n v="10"/>
    <n v="1122.0896000000002"/>
    <n v="553.5"/>
    <n v="568.58960000000025"/>
    <n v="0.50672388372550647"/>
    <s v="Delayed"/>
    <x v="0"/>
  </r>
  <r>
    <s v="ORD-2024-921935"/>
    <d v="2024-01-01T00:00:00"/>
    <s v="Q1-2024"/>
    <d v="2024-01-27T00:00:00"/>
    <n v="26"/>
    <x v="3"/>
    <x v="8"/>
    <s v="Manchester"/>
    <s v="Education"/>
    <s v="Distributor"/>
    <x v="14"/>
    <s v="Accessories"/>
    <s v="ACC-3103"/>
    <n v="657.45"/>
    <n v="1325.96"/>
    <s v="High"/>
    <n v="0.16700000000000001"/>
    <n v="21"/>
    <n v="23195.01828"/>
    <n v="13806.45"/>
    <n v="9388.5682799999995"/>
    <n v="0.40476658249048808"/>
    <s v="Delayed"/>
    <x v="0"/>
  </r>
  <r>
    <s v="ORD-2025-949776"/>
    <d v="2025-08-14T00:00:00"/>
    <s v="Q3-2025"/>
    <d v="2025-09-11T00:00:00"/>
    <n v="28"/>
    <x v="2"/>
    <x v="5"/>
    <s v="São Paulo"/>
    <s v="Non-Profit"/>
    <s v="Direct"/>
    <x v="9"/>
    <s v="Printers"/>
    <s v="PRN-9490"/>
    <n v="1203.02"/>
    <n v="2439.33"/>
    <s v="High"/>
    <n v="0"/>
    <n v="18"/>
    <n v="43907.94"/>
    <n v="21654.36"/>
    <n v="22253.58"/>
    <n v="0.50682359500354612"/>
    <s v="Delayed"/>
    <x v="0"/>
  </r>
  <r>
    <s v="ORD-2024-510591"/>
    <d v="2024-04-03T00:00:00"/>
    <s v="Q2-2024"/>
    <d v="2024-04-21T00:00:00"/>
    <n v="18"/>
    <x v="2"/>
    <x v="5"/>
    <s v="Brasília"/>
    <s v="Small Business"/>
    <s v="Distributor"/>
    <x v="5"/>
    <s v="Networking"/>
    <s v="NET-3850"/>
    <n v="1176.69"/>
    <n v="2201.54"/>
    <s v="High"/>
    <n v="0.17"/>
    <n v="27"/>
    <n v="49336.511399999996"/>
    <n v="31770.63"/>
    <n v="17565.881399999995"/>
    <n v="0.35604222717701106"/>
    <s v="Delayed"/>
    <x v="0"/>
  </r>
  <r>
    <s v="ORD-2024-961756"/>
    <d v="2024-11-25T00:00:00"/>
    <s v="Q4-2024"/>
    <d v="2024-12-07T00:00:00"/>
    <n v="12"/>
    <x v="1"/>
    <x v="9"/>
    <s v="Shanghai"/>
    <s v="Corporate"/>
    <s v="Distributor"/>
    <x v="8"/>
    <s v="Accessories"/>
    <s v="ACC-7047"/>
    <n v="769.9"/>
    <n v="814.36"/>
    <s v="High"/>
    <n v="0"/>
    <n v="5"/>
    <n v="4071.8"/>
    <n v="3849.5"/>
    <n v="222.30000000000018"/>
    <n v="5.4595019401738831E-2"/>
    <s v="Delayed"/>
    <x v="0"/>
  </r>
  <r>
    <s v="ORD-2024-892173"/>
    <d v="2024-01-18T00:00:00"/>
    <s v="Q1-2024"/>
    <d v="2024-02-03T00:00:00"/>
    <n v="16"/>
    <x v="0"/>
    <x v="11"/>
    <s v="Cape Town"/>
    <s v="Non-Profit"/>
    <s v="Distributor"/>
    <x v="4"/>
    <s v="Printers"/>
    <s v="PRN-6660"/>
    <n v="666.23"/>
    <n v="1382.91"/>
    <s v="High"/>
    <n v="0.17599999999999999"/>
    <n v="13"/>
    <n v="14813.731920000002"/>
    <n v="8660.99"/>
    <n v="6152.7419200000022"/>
    <n v="0.41534043907553048"/>
    <s v="Delayed"/>
    <x v="0"/>
  </r>
  <r>
    <s v="ORD-2024-704056"/>
    <d v="2024-06-23T00:00:00"/>
    <s v="Q2-2024"/>
    <d v="2024-06-25T00:00:00"/>
    <n v="2"/>
    <x v="3"/>
    <x v="8"/>
    <s v="Birmingham"/>
    <s v="Small Business"/>
    <s v="Marketplace"/>
    <x v="4"/>
    <s v="Accessories"/>
    <s v="ACC-7838"/>
    <n v="951.44"/>
    <n v="1646.43"/>
    <s v="High"/>
    <n v="0.11"/>
    <n v="24"/>
    <n v="35167.7448"/>
    <n v="22834.560000000001"/>
    <n v="12333.184799999999"/>
    <n v="0.35069592520473475"/>
    <s v="On-time"/>
    <x v="0"/>
  </r>
  <r>
    <s v="ORD-2025-591006"/>
    <d v="2025-06-25T00:00:00"/>
    <s v="Q2-2025"/>
    <d v="2025-07-10T00:00:00"/>
    <n v="15"/>
    <x v="3"/>
    <x v="8"/>
    <s v="Birmingham"/>
    <s v="Non-Profit"/>
    <s v="Marketplace"/>
    <x v="14"/>
    <s v="Phones"/>
    <s v="PHN-5383"/>
    <n v="546.83000000000004"/>
    <n v="400.84"/>
    <s v="High"/>
    <n v="7.8E-2"/>
    <n v="13"/>
    <n v="4804.4682400000002"/>
    <n v="7108.7900000000009"/>
    <n v="-2304.3217600000007"/>
    <n v="-0.47962056254533608"/>
    <s v="Delayed"/>
    <x v="0"/>
  </r>
  <r>
    <s v="ORD-2023-159821"/>
    <d v="2023-07-01T00:00:00"/>
    <s v="Q3-2023"/>
    <d v="2023-07-08T00:00:00"/>
    <n v="7"/>
    <x v="0"/>
    <x v="1"/>
    <s v="Port Harcourt"/>
    <s v="Corporate"/>
    <s v="Retail"/>
    <x v="8"/>
    <s v="Laptops"/>
    <s v="LAP-3904"/>
    <n v="834.26"/>
    <n v="1780.56"/>
    <s v="High"/>
    <n v="1.4E-2"/>
    <n v="47"/>
    <n v="82514.711519999997"/>
    <n v="39210.22"/>
    <n v="43304.491519999996"/>
    <n v="0.5248093427497933"/>
    <s v="On-time"/>
    <x v="0"/>
  </r>
  <r>
    <s v="ORD-2024-343877"/>
    <d v="2024-03-09T00:00:00"/>
    <s v="Q1-2024"/>
    <d v="2024-03-26T00:00:00"/>
    <n v="17"/>
    <x v="1"/>
    <x v="9"/>
    <s v="Shenzhen"/>
    <s v="Enterprise"/>
    <s v="Online"/>
    <x v="11"/>
    <s v="Monitors"/>
    <s v="MON-5749"/>
    <n v="1029.67"/>
    <n v="1118.43"/>
    <s v="High"/>
    <n v="0.27200000000000002"/>
    <n v="9"/>
    <n v="7327.9533600000004"/>
    <n v="9267.0300000000007"/>
    <n v="-1939.0766400000002"/>
    <n v="-0.26461367106736061"/>
    <s v="Delayed"/>
    <x v="1"/>
  </r>
  <r>
    <s v="ORD-2023-386663"/>
    <d v="2023-06-05T00:00:00"/>
    <s v="Q2-2023"/>
    <d v="2023-06-28T00:00:00"/>
    <n v="23"/>
    <x v="3"/>
    <x v="8"/>
    <s v="Birmingham"/>
    <s v="Corporate"/>
    <s v="Direct"/>
    <x v="11"/>
    <s v="Printers"/>
    <s v="PRN-3690"/>
    <n v="605.82000000000005"/>
    <n v="771.12"/>
    <s v="High"/>
    <n v="0.13200000000000001"/>
    <n v="19"/>
    <n v="12717.311040000001"/>
    <n v="11510.580000000002"/>
    <n v="1206.7310399999988"/>
    <n v="9.4888851597986767E-2"/>
    <s v="Delayed"/>
    <x v="0"/>
  </r>
  <r>
    <s v="ORD-2025-125517"/>
    <d v="2025-03-21T00:00:00"/>
    <s v="Q1-2025"/>
    <d v="2025-04-09T00:00:00"/>
    <n v="19"/>
    <x v="1"/>
    <x v="2"/>
    <s v="Tokyo"/>
    <s v="Small Business"/>
    <s v="Distributor"/>
    <x v="6"/>
    <s v="Components"/>
    <s v="CMP-7055"/>
    <n v="1055.45"/>
    <n v="1210.04"/>
    <s v="High"/>
    <n v="8.9999999999999993E-3"/>
    <n v="18"/>
    <n v="21584.693520000001"/>
    <n v="18998.100000000002"/>
    <n v="2586.5935199999985"/>
    <n v="0.1198346188053727"/>
    <s v="Delayed"/>
    <x v="0"/>
  </r>
  <r>
    <s v="ORD-2024-819778"/>
    <d v="2024-06-02T00:00:00"/>
    <s v="Q2-2024"/>
    <d v="2024-06-15T00:00:00"/>
    <n v="13"/>
    <x v="0"/>
    <x v="0"/>
    <s v="Mombasa"/>
    <s v="Education"/>
    <s v="Online"/>
    <x v="7"/>
    <s v="Phones"/>
    <s v="PHN-6866"/>
    <n v="1295.18"/>
    <n v="3024.03"/>
    <s v="High"/>
    <n v="0.192"/>
    <n v="8"/>
    <n v="19547.329920000004"/>
    <n v="10361.44"/>
    <n v="9185.8899200000033"/>
    <n v="0.46993067378483178"/>
    <s v="Delayed"/>
    <x v="0"/>
  </r>
  <r>
    <s v="ORD-2025-624006"/>
    <d v="2025-03-15T00:00:00"/>
    <s v="Q1-2025"/>
    <d v="2025-03-29T00:00:00"/>
    <n v="14"/>
    <x v="1"/>
    <x v="4"/>
    <s v="Mumbai"/>
    <s v="Enterprise"/>
    <s v="Direct"/>
    <x v="0"/>
    <s v="Components"/>
    <s v="CMP-3259"/>
    <n v="935.83"/>
    <n v="2303.46"/>
    <s v="High"/>
    <n v="0.105"/>
    <n v="9"/>
    <n v="18554.370299999999"/>
    <n v="8422.4700000000012"/>
    <n v="10131.900299999998"/>
    <n v="0.54606543559174292"/>
    <s v="Delayed"/>
    <x v="0"/>
  </r>
  <r>
    <s v="ORD-2023-132101"/>
    <d v="2023-09-25T00:00:00"/>
    <s v="Q3-2023"/>
    <d v="2023-10-09T00:00:00"/>
    <n v="14"/>
    <x v="2"/>
    <x v="10"/>
    <s v="New York"/>
    <s v="Small Business"/>
    <s v="Marketplace"/>
    <x v="1"/>
    <s v="Laptops"/>
    <s v="LAP-6750"/>
    <n v="1279.56"/>
    <n v="3083.8"/>
    <s v="High"/>
    <n v="0.106"/>
    <n v="5"/>
    <n v="13784.586000000001"/>
    <n v="6397.7999999999993"/>
    <n v="7386.7860000000019"/>
    <n v="0.53587289455047848"/>
    <s v="Delayed"/>
    <x v="0"/>
  </r>
  <r>
    <s v="ORD-2025-306903"/>
    <d v="2025-06-24T00:00:00"/>
    <s v="Q2-2025"/>
    <d v="2025-07-23T00:00:00"/>
    <n v="29"/>
    <x v="2"/>
    <x v="3"/>
    <s v="Vancouver"/>
    <s v="Non-Profit"/>
    <s v="Marketplace"/>
    <x v="2"/>
    <s v="Printers"/>
    <s v="PRN-3775"/>
    <n v="255.4"/>
    <n v="322.70999999999998"/>
    <s v="High"/>
    <n v="0.115"/>
    <n v="16"/>
    <n v="4569.5735999999997"/>
    <n v="4086.4"/>
    <n v="483.17359999999962"/>
    <n v="0.10573713048412212"/>
    <s v="Delayed"/>
    <x v="0"/>
  </r>
  <r>
    <s v="ORD-2023-813340"/>
    <d v="2023-12-26T00:00:00"/>
    <s v="Q4-2023"/>
    <d v="2024-01-03T00:00:00"/>
    <n v="8"/>
    <x v="3"/>
    <x v="7"/>
    <s v="Lyon"/>
    <s v="Small Business"/>
    <s v="Retail"/>
    <x v="12"/>
    <s v="Laptops"/>
    <s v="LAP-2942"/>
    <n v="492.75"/>
    <n v="731.29"/>
    <s v="High"/>
    <n v="5.8000000000000003E-2"/>
    <n v="6"/>
    <n v="4133.25108"/>
    <n v="2956.5"/>
    <n v="1176.75108"/>
    <n v="0.28470350753528384"/>
    <s v="Delayed"/>
    <x v="0"/>
  </r>
  <r>
    <s v="ORD-2023-855675"/>
    <d v="2023-02-05T00:00:00"/>
    <s v="Q1-2023"/>
    <d v="2023-02-28T00:00:00"/>
    <n v="23"/>
    <x v="2"/>
    <x v="10"/>
    <s v="Austin"/>
    <s v="Non-Profit"/>
    <s v="Distributor"/>
    <x v="4"/>
    <s v="Phones"/>
    <s v="PHN-2036"/>
    <n v="1214.49"/>
    <n v="1533.95"/>
    <s v="High"/>
    <n v="0"/>
    <n v="11"/>
    <n v="16873.45"/>
    <n v="13359.39"/>
    <n v="3514.0600000000013"/>
    <n v="0.20825972163369086"/>
    <s v="Delayed"/>
    <x v="0"/>
  </r>
  <r>
    <s v="ORD-2023-545150"/>
    <d v="2023-04-06T00:00:00"/>
    <s v="Q2-2023"/>
    <d v="2023-04-08T00:00:00"/>
    <n v="2"/>
    <x v="0"/>
    <x v="1"/>
    <s v="Abuja"/>
    <s v="Small Business"/>
    <s v="Marketplace"/>
    <x v="11"/>
    <s v="Monitors"/>
    <s v="MON-4373"/>
    <n v="720.35"/>
    <n v="1571.66"/>
    <s v="High"/>
    <n v="0.107"/>
    <n v="23"/>
    <n v="32280.32474"/>
    <n v="16568.05"/>
    <n v="15712.274740000001"/>
    <n v="0.4867446305622265"/>
    <s v="On-time"/>
    <x v="0"/>
  </r>
  <r>
    <s v="ORD-2025-269934"/>
    <d v="2025-04-04T00:00:00"/>
    <s v="Q2-2025"/>
    <d v="2025-04-10T00:00:00"/>
    <n v="6"/>
    <x v="3"/>
    <x v="8"/>
    <s v="Birmingham"/>
    <s v="Non-Profit"/>
    <s v="Direct"/>
    <x v="13"/>
    <s v="Printers"/>
    <s v="PRN-8657"/>
    <n v="290.14"/>
    <n v="250.73"/>
    <s v="High"/>
    <n v="3.4000000000000002E-2"/>
    <n v="17"/>
    <n v="4117.4880599999997"/>
    <n v="4932.38"/>
    <n v="-814.89194000000043"/>
    <n v="-0.19790997038131072"/>
    <s v="On-time"/>
    <x v="0"/>
  </r>
  <r>
    <s v="ORD-2024-690270"/>
    <d v="2024-05-17T00:00:00"/>
    <s v="Q2-2024"/>
    <d v="2024-05-27T00:00:00"/>
    <n v="10"/>
    <x v="2"/>
    <x v="10"/>
    <s v="Austin"/>
    <s v="Non-Profit"/>
    <s v="Online"/>
    <x v="0"/>
    <s v="Phones"/>
    <s v="PHN-7974"/>
    <n v="1484.23"/>
    <n v="3472.81"/>
    <s v="High"/>
    <n v="0.25600000000000001"/>
    <n v="12"/>
    <n v="31005.24768"/>
    <n v="17810.760000000002"/>
    <n v="13194.487679999998"/>
    <n v="0.42555659661803413"/>
    <s v="Delayed"/>
    <x v="1"/>
  </r>
  <r>
    <s v="ORD-2024-868223"/>
    <d v="2024-03-03T00:00:00"/>
    <s v="Q1-2024"/>
    <d v="2024-03-19T00:00:00"/>
    <n v="16"/>
    <x v="1"/>
    <x v="9"/>
    <s v="Beijing"/>
    <s v="Consumer"/>
    <s v="Distributor"/>
    <x v="3"/>
    <s v="Phones"/>
    <s v="PHN-4915"/>
    <n v="988.83"/>
    <n v="1206.04"/>
    <s v="High"/>
    <n v="6.3E-2"/>
    <n v="34"/>
    <n v="38422.022320000004"/>
    <n v="33620.22"/>
    <n v="4801.8023200000025"/>
    <n v="0.12497526236406606"/>
    <s v="Delayed"/>
    <x v="0"/>
  </r>
  <r>
    <s v="ORD-2025-188059"/>
    <d v="2025-06-27T00:00:00"/>
    <s v="Q2-2025"/>
    <d v="2025-07-11T00:00:00"/>
    <n v="14"/>
    <x v="1"/>
    <x v="9"/>
    <s v="Shanghai"/>
    <s v="Small Business"/>
    <s v="Marketplace"/>
    <x v="4"/>
    <s v="Networking"/>
    <s v="NET-3535"/>
    <n v="1227.7"/>
    <n v="2197.23"/>
    <s v="High"/>
    <n v="9.9000000000000005E-2"/>
    <n v="22"/>
    <n v="43553.493060000001"/>
    <n v="27009.4"/>
    <n v="16544.093059999999"/>
    <n v="0.37985685871873898"/>
    <s v="Delayed"/>
    <x v="0"/>
  </r>
  <r>
    <s v="ORD-2023-281890"/>
    <d v="2023-03-13T00:00:00"/>
    <s v="Q1-2023"/>
    <d v="2023-04-04T00:00:00"/>
    <n v="22"/>
    <x v="0"/>
    <x v="11"/>
    <s v="Durban"/>
    <s v="Small Business"/>
    <s v="Retail"/>
    <x v="8"/>
    <s v="Components"/>
    <s v="CMP-2574"/>
    <n v="1113.7"/>
    <n v="1620.6"/>
    <s v="High"/>
    <n v="0.13900000000000001"/>
    <n v="11"/>
    <n v="15348.702599999999"/>
    <n v="12250.7"/>
    <n v="3098.002599999998"/>
    <n v="0.20184133348182787"/>
    <s v="Delayed"/>
    <x v="0"/>
  </r>
  <r>
    <s v="ORD-2025-636162"/>
    <d v="2025-01-07T00:00:00"/>
    <s v="Q1-2025"/>
    <d v="2025-01-20T00:00:00"/>
    <n v="13"/>
    <x v="0"/>
    <x v="11"/>
    <s v="Cape Town"/>
    <s v="Corporate"/>
    <s v="Direct"/>
    <x v="11"/>
    <s v="Networking"/>
    <s v="NET-7901"/>
    <n v="432.13"/>
    <n v="1034.6600000000001"/>
    <s v="High"/>
    <n v="9.1999999999999998E-2"/>
    <n v="7"/>
    <n v="6576.298960000001"/>
    <n v="3024.91"/>
    <n v="3551.3889600000011"/>
    <n v="0.54002851476204794"/>
    <s v="Delayed"/>
    <x v="0"/>
  </r>
  <r>
    <s v="ORD-2025-915869"/>
    <d v="2025-02-06T00:00:00"/>
    <s v="Q1-2025"/>
    <d v="2025-02-15T00:00:00"/>
    <n v="9"/>
    <x v="2"/>
    <x v="5"/>
    <s v="São Paulo"/>
    <s v="Non-Profit"/>
    <s v="Distributor"/>
    <x v="9"/>
    <s v="Networking"/>
    <s v="NET-5482"/>
    <n v="837.39"/>
    <n v="1905.42"/>
    <s v="High"/>
    <n v="3.2000000000000001E-2"/>
    <n v="18"/>
    <n v="33200.038079999998"/>
    <n v="15073.02"/>
    <n v="18127.018079999998"/>
    <n v="0.54599389423350919"/>
    <s v="Delayed"/>
    <x v="0"/>
  </r>
  <r>
    <s v="ORD-2025-192876"/>
    <d v="2025-01-31T00:00:00"/>
    <s v="Q1-2025"/>
    <d v="2025-02-17T00:00:00"/>
    <n v="17"/>
    <x v="3"/>
    <x v="8"/>
    <s v="London"/>
    <s v="Enterprise"/>
    <s v="Retail"/>
    <x v="10"/>
    <s v="Components"/>
    <s v="CMP-5820"/>
    <n v="378.26"/>
    <n v="541.55999999999995"/>
    <s v="High"/>
    <n v="0.16300000000000001"/>
    <n v="25"/>
    <n v="11332.142999999998"/>
    <n v="9456.5"/>
    <n v="1875.6429999999982"/>
    <n v="0.16551529573885526"/>
    <s v="Delayed"/>
    <x v="0"/>
  </r>
  <r>
    <s v="ORD-2025-822030"/>
    <d v="2025-08-07T00:00:00"/>
    <s v="Q3-2025"/>
    <d v="2025-09-06T00:00:00"/>
    <n v="30"/>
    <x v="2"/>
    <x v="3"/>
    <s v="Montreal"/>
    <s v="Education"/>
    <s v="Direct"/>
    <x v="12"/>
    <s v="Networking"/>
    <s v="NET-1336"/>
    <n v="833.73"/>
    <n v="1116.5999999999999"/>
    <s v="High"/>
    <n v="0.17599999999999999"/>
    <n v="14"/>
    <n v="12881.097599999999"/>
    <n v="11672.220000000001"/>
    <n v="1208.877599999998"/>
    <n v="9.3848958958279924E-2"/>
    <s v="Delayed"/>
    <x v="0"/>
  </r>
  <r>
    <s v="ORD-2025-789245"/>
    <d v="2025-07-23T00:00:00"/>
    <s v="Q3-2025"/>
    <d v="2025-08-17T00:00:00"/>
    <n v="25"/>
    <x v="3"/>
    <x v="8"/>
    <s v="Birmingham"/>
    <s v="Education"/>
    <s v="Online"/>
    <x v="2"/>
    <s v="Printers"/>
    <s v="PRN-5876"/>
    <n v="1142.06"/>
    <n v="1455"/>
    <s v="High"/>
    <n v="7.8E-2"/>
    <n v="28"/>
    <n v="37562.28"/>
    <n v="31977.68"/>
    <n v="5584.5999999999985"/>
    <n v="0.1486757459877302"/>
    <s v="Delayed"/>
    <x v="0"/>
  </r>
  <r>
    <s v="ORD-2023-594955"/>
    <d v="2023-06-20T00:00:00"/>
    <s v="Q2-2023"/>
    <d v="2023-07-08T00:00:00"/>
    <n v="18"/>
    <x v="2"/>
    <x v="10"/>
    <s v="New York"/>
    <s v="Consumer"/>
    <s v="Marketplace"/>
    <x v="7"/>
    <s v="Networking"/>
    <s v="NET-3828"/>
    <n v="1145.53"/>
    <n v="1278.3"/>
    <s v="High"/>
    <n v="0.09"/>
    <n v="41"/>
    <n v="47693.373"/>
    <n v="46966.729999999996"/>
    <n v="726.64300000000367"/>
    <n v="1.5235722581416158E-2"/>
    <s v="Delayed"/>
    <x v="0"/>
  </r>
  <r>
    <s v="ORD-2024-398783"/>
    <d v="2024-07-18T00:00:00"/>
    <s v="Q3-2024"/>
    <d v="2024-08-07T00:00:00"/>
    <n v="20"/>
    <x v="3"/>
    <x v="7"/>
    <s v="Marseille"/>
    <s v="Corporate"/>
    <s v="Retail"/>
    <x v="9"/>
    <s v="Monitors"/>
    <s v="MON-7622"/>
    <n v="941.35"/>
    <n v="899.83"/>
    <s v="High"/>
    <n v="5.8000000000000003E-2"/>
    <n v="18"/>
    <n v="15257.51748"/>
    <n v="16944.3"/>
    <n v="-1686.7825199999988"/>
    <n v="-0.11055419220139073"/>
    <s v="Delayed"/>
    <x v="0"/>
  </r>
  <r>
    <s v="ORD-2023-676553"/>
    <d v="2023-05-20T00:00:00"/>
    <s v="Q2-2023"/>
    <d v="2023-06-19T00:00:00"/>
    <n v="30"/>
    <x v="1"/>
    <x v="4"/>
    <s v="Delhi"/>
    <s v="Non-Profit"/>
    <s v="Marketplace"/>
    <x v="10"/>
    <s v="Laptops"/>
    <s v="LAP-2806"/>
    <n v="1161.2"/>
    <n v="878.73"/>
    <s v="High"/>
    <n v="0.19"/>
    <n v="31"/>
    <n v="22064.910300000003"/>
    <n v="35997.200000000004"/>
    <n v="-13932.289700000001"/>
    <n v="-0.63142290227212028"/>
    <s v="Delayed"/>
    <x v="0"/>
  </r>
  <r>
    <s v="ORD-2025-866565"/>
    <d v="2025-05-12T00:00:00"/>
    <s v="Q2-2025"/>
    <d v="2025-05-26T00:00:00"/>
    <n v="14"/>
    <x v="1"/>
    <x v="4"/>
    <s v="Hyderabad"/>
    <s v="Corporate"/>
    <s v="Marketplace"/>
    <x v="3"/>
    <s v="Printers"/>
    <s v="PRN-8850"/>
    <n v="320.12"/>
    <n v="594.41999999999996"/>
    <s v="High"/>
    <n v="0.104"/>
    <n v="18"/>
    <n v="9586.8057599999993"/>
    <n v="5762.16"/>
    <n v="3824.6457599999994"/>
    <n v="0.39894891538931104"/>
    <s v="Delayed"/>
    <x v="0"/>
  </r>
  <r>
    <s v="ORD-2024-527858"/>
    <d v="2024-05-07T00:00:00"/>
    <s v="Q2-2024"/>
    <d v="2024-05-12T00:00:00"/>
    <n v="5"/>
    <x v="0"/>
    <x v="1"/>
    <s v="Abuja"/>
    <s v="Non-Profit"/>
    <s v="Distributor"/>
    <x v="4"/>
    <s v="Laptops"/>
    <s v="LAP-9100"/>
    <n v="1163.99"/>
    <n v="1617.85"/>
    <s v="High"/>
    <n v="0.127"/>
    <n v="14"/>
    <n v="19773.362699999998"/>
    <n v="16295.86"/>
    <n v="3477.5026999999973"/>
    <n v="0.17586804797749436"/>
    <s v="On-time"/>
    <x v="0"/>
  </r>
  <r>
    <s v="ORD-2023-619385"/>
    <d v="2023-09-30T00:00:00"/>
    <s v="Q3-2023"/>
    <d v="2023-10-03T00:00:00"/>
    <n v="3"/>
    <x v="1"/>
    <x v="9"/>
    <s v="Beijing"/>
    <s v="Non-Profit"/>
    <s v="Retail"/>
    <x v="1"/>
    <s v="Laptops"/>
    <s v="LAP-5763"/>
    <n v="1019.36"/>
    <n v="972.91"/>
    <s v="High"/>
    <n v="0.14699999999999999"/>
    <n v="17"/>
    <n v="14108.16791"/>
    <n v="17329.12"/>
    <n v="-3220.9520899999989"/>
    <n v="-0.22830406545678819"/>
    <s v="On-time"/>
    <x v="0"/>
  </r>
  <r>
    <s v="ORD-2023-835226"/>
    <d v="2023-10-26T00:00:00"/>
    <s v="Q4-2023"/>
    <d v="2023-11-05T00:00:00"/>
    <n v="10"/>
    <x v="0"/>
    <x v="11"/>
    <s v="Cape Town"/>
    <s v="Non-Profit"/>
    <s v="Online"/>
    <x v="2"/>
    <s v="Laptops"/>
    <s v="LAP-7320"/>
    <n v="20.38"/>
    <n v="42.56"/>
    <s v="High"/>
    <n v="7.1999999999999995E-2"/>
    <n v="11"/>
    <n v="434.45248000000004"/>
    <n v="224.17999999999998"/>
    <n v="210.27248000000006"/>
    <n v="0.48399419885921713"/>
    <s v="Delayed"/>
    <x v="0"/>
  </r>
  <r>
    <s v="ORD-2025-485946"/>
    <d v="2025-06-15T00:00:00"/>
    <s v="Q2-2025"/>
    <d v="2025-06-30T00:00:00"/>
    <n v="15"/>
    <x v="0"/>
    <x v="11"/>
    <s v="Johannesburg"/>
    <s v="Small Business"/>
    <s v="Direct"/>
    <x v="0"/>
    <s v="Monitors"/>
    <s v="MON-5891"/>
    <n v="1487.59"/>
    <n v="1480.83"/>
    <s v="High"/>
    <n v="8.9999999999999993E-3"/>
    <n v="11"/>
    <n v="16142.527829999999"/>
    <n v="16363.49"/>
    <n v="-220.9621700000007"/>
    <n v="-1.3688201273492908E-2"/>
    <s v="Delayed"/>
    <x v="0"/>
  </r>
  <r>
    <s v="ORD-2024-307849"/>
    <d v="2024-08-10T00:00:00"/>
    <s v="Q3-2024"/>
    <d v="2024-09-07T00:00:00"/>
    <n v="28"/>
    <x v="3"/>
    <x v="7"/>
    <s v="Marseille"/>
    <s v="Non-Profit"/>
    <s v="Direct"/>
    <x v="9"/>
    <s v="Printers"/>
    <s v="PRN-1183"/>
    <n v="229.96"/>
    <n v="564.26"/>
    <s v="High"/>
    <n v="0.105"/>
    <n v="5"/>
    <n v="2525.0635000000002"/>
    <n v="1149.8"/>
    <n v="1375.2635000000002"/>
    <n v="0.54464511486542821"/>
    <s v="Delayed"/>
    <x v="0"/>
  </r>
  <r>
    <s v="ORD-2023-368449"/>
    <d v="2023-10-09T00:00:00"/>
    <s v="Q4-2023"/>
    <d v="2023-10-26T00:00:00"/>
    <n v="17"/>
    <x v="1"/>
    <x v="9"/>
    <s v="Shanghai"/>
    <s v="Consumer"/>
    <s v="Marketplace"/>
    <x v="0"/>
    <s v="Components"/>
    <s v="CMP-2096"/>
    <n v="1132.03"/>
    <n v="2137.21"/>
    <s v="High"/>
    <n v="0.3"/>
    <n v="35"/>
    <n v="52361.645000000004"/>
    <n v="39621.049999999996"/>
    <n v="12740.595000000008"/>
    <n v="0.24331922727026639"/>
    <s v="Delayed"/>
    <x v="1"/>
  </r>
  <r>
    <s v="ORD-2024-251426"/>
    <d v="2024-03-09T00:00:00"/>
    <s v="Q1-2024"/>
    <d v="2024-03-26T00:00:00"/>
    <n v="17"/>
    <x v="2"/>
    <x v="10"/>
    <s v="San Francisco"/>
    <s v="Education"/>
    <s v="Direct"/>
    <x v="2"/>
    <s v="Phones"/>
    <s v="PHN-3398"/>
    <n v="1137.4100000000001"/>
    <n v="1680.93"/>
    <s v="High"/>
    <n v="0.254"/>
    <n v="9"/>
    <n v="11285.764020000001"/>
    <n v="10236.69"/>
    <n v="1049.07402"/>
    <n v="9.2955516183121464E-2"/>
    <s v="Delayed"/>
    <x v="1"/>
  </r>
  <r>
    <s v="ORD-2023-927385"/>
    <d v="2023-05-29T00:00:00"/>
    <s v="Q2-2023"/>
    <d v="2023-06-20T00:00:00"/>
    <n v="22"/>
    <x v="3"/>
    <x v="8"/>
    <s v="London"/>
    <s v="Small Business"/>
    <s v="Direct"/>
    <x v="11"/>
    <s v="Components"/>
    <s v="CMP-8545"/>
    <n v="1295.3900000000001"/>
    <n v="2905.06"/>
    <s v="High"/>
    <n v="0.14799999999999999"/>
    <n v="8"/>
    <n v="19800.88896"/>
    <n v="10363.120000000001"/>
    <n v="9437.7689599999994"/>
    <n v="0.47663359857556614"/>
    <s v="Delayed"/>
    <x v="0"/>
  </r>
  <r>
    <s v="ORD-2025-486350"/>
    <d v="2025-05-27T00:00:00"/>
    <s v="Q2-2025"/>
    <d v="2025-06-08T00:00:00"/>
    <n v="12"/>
    <x v="1"/>
    <x v="2"/>
    <s v="Osaka"/>
    <s v="Corporate"/>
    <s v="Retail"/>
    <x v="10"/>
    <s v="Accessories"/>
    <s v="ACC-1249"/>
    <n v="653.6"/>
    <n v="842.09"/>
    <s v="High"/>
    <n v="9.8000000000000004E-2"/>
    <n v="19"/>
    <n v="14431.738420000001"/>
    <n v="12418.4"/>
    <n v="2013.3384200000019"/>
    <n v="0.13950768517324622"/>
    <s v="Delayed"/>
    <x v="0"/>
  </r>
  <r>
    <s v="ORD-2025-677880"/>
    <d v="2025-08-21T00:00:00"/>
    <s v="Q3-2025"/>
    <d v="2025-09-14T00:00:00"/>
    <n v="24"/>
    <x v="3"/>
    <x v="6"/>
    <s v="Berlin"/>
    <s v="Non-Profit"/>
    <s v="Online"/>
    <x v="8"/>
    <s v="Monitors"/>
    <s v="MON-9662"/>
    <n v="1397.67"/>
    <n v="3131.37"/>
    <s v="High"/>
    <n v="0.10299999999999999"/>
    <n v="20"/>
    <n v="56176.777799999996"/>
    <n v="27953.4"/>
    <n v="28223.377799999995"/>
    <n v="0.50240293062874808"/>
    <s v="Delayed"/>
    <x v="0"/>
  </r>
  <r>
    <s v="ORD-2024-102866"/>
    <d v="2024-12-12T00:00:00"/>
    <s v="Q4-2024"/>
    <d v="2024-12-20T00:00:00"/>
    <n v="8"/>
    <x v="1"/>
    <x v="2"/>
    <s v="Tokyo"/>
    <s v="Corporate"/>
    <s v="Retail"/>
    <x v="5"/>
    <s v="Laptops"/>
    <s v="LAP-8347"/>
    <n v="1202.47"/>
    <n v="1444.72"/>
    <s v="High"/>
    <n v="0.24099999999999999"/>
    <n v="17"/>
    <n v="18641.222160000001"/>
    <n v="20441.990000000002"/>
    <n v="-1800.7678400000004"/>
    <n v="-9.6601382921343834E-2"/>
    <s v="Delayed"/>
    <x v="1"/>
  </r>
  <r>
    <s v="ORD-2025-588029"/>
    <d v="2025-09-14T00:00:00"/>
    <s v="Q3-2025"/>
    <d v="2025-09-23T00:00:00"/>
    <n v="9"/>
    <x v="0"/>
    <x v="11"/>
    <s v="Durban"/>
    <s v="Non-Profit"/>
    <s v="Online"/>
    <x v="14"/>
    <s v="Components"/>
    <s v="CMP-6898"/>
    <n v="1310.3"/>
    <n v="2875.8"/>
    <s v="High"/>
    <n v="8.3000000000000004E-2"/>
    <n v="5"/>
    <n v="13185.543"/>
    <n v="6551.5"/>
    <n v="6634.0429999999997"/>
    <n v="0.50313005691157353"/>
    <s v="Delayed"/>
    <x v="0"/>
  </r>
  <r>
    <s v="ORD-2024-972999"/>
    <d v="2024-09-06T00:00:00"/>
    <s v="Q3-2024"/>
    <d v="2024-10-04T00:00:00"/>
    <n v="28"/>
    <x v="0"/>
    <x v="11"/>
    <s v="Cape Town"/>
    <s v="Corporate"/>
    <s v="Marketplace"/>
    <x v="14"/>
    <s v="Monitors"/>
    <s v="MON-3504"/>
    <n v="1174.17"/>
    <n v="1641.61"/>
    <s v="High"/>
    <n v="0.122"/>
    <n v="9"/>
    <n v="12972.00222"/>
    <n v="10567.53"/>
    <n v="2404.4722199999997"/>
    <n v="0.18535860380079394"/>
    <s v="Delayed"/>
    <x v="0"/>
  </r>
  <r>
    <s v="ORD-2025-608069"/>
    <d v="2025-04-12T00:00:00"/>
    <s v="Q2-2025"/>
    <d v="2025-04-30T00:00:00"/>
    <n v="18"/>
    <x v="0"/>
    <x v="0"/>
    <s v="Kisumu"/>
    <s v="Corporate"/>
    <s v="Marketplace"/>
    <x v="9"/>
    <s v="Networking"/>
    <s v="NET-3432"/>
    <n v="1119.04"/>
    <n v="1299.02"/>
    <s v="High"/>
    <n v="2.5000000000000001E-2"/>
    <n v="14"/>
    <n v="17731.623"/>
    <n v="15666.56"/>
    <n v="2065.0630000000001"/>
    <n v="0.11646215352085933"/>
    <s v="Delayed"/>
    <x v="0"/>
  </r>
  <r>
    <s v="ORD-2024-626750"/>
    <d v="2024-08-12T00:00:00"/>
    <s v="Q3-2024"/>
    <d v="2024-08-15T00:00:00"/>
    <n v="3"/>
    <x v="2"/>
    <x v="10"/>
    <s v="Chicago"/>
    <s v="Corporate"/>
    <s v="Marketplace"/>
    <x v="14"/>
    <s v="Printers"/>
    <s v="PRN-5591"/>
    <n v="850.7"/>
    <n v="1118.56"/>
    <s v="High"/>
    <n v="0.18"/>
    <n v="19"/>
    <n v="17427.164800000002"/>
    <n v="16163.300000000001"/>
    <n v="1263.8648000000012"/>
    <n v="7.2522685962090688E-2"/>
    <s v="On-time"/>
    <x v="0"/>
  </r>
  <r>
    <s v="ORD-2024-170021"/>
    <d v="2024-11-05T00:00:00"/>
    <s v="Q4-2024"/>
    <d v="2024-11-08T00:00:00"/>
    <n v="3"/>
    <x v="2"/>
    <x v="3"/>
    <s v="Toronto"/>
    <s v="Education"/>
    <s v="Marketplace"/>
    <x v="7"/>
    <s v="Components"/>
    <s v="CMP-2015"/>
    <n v="1020.4"/>
    <n v="1184.71"/>
    <s v="High"/>
    <n v="0.106"/>
    <n v="16"/>
    <n v="16946.091840000001"/>
    <n v="16326.4"/>
    <n v="619.69184000000132"/>
    <n v="3.6568422138328345E-2"/>
    <s v="On-time"/>
    <x v="0"/>
  </r>
  <r>
    <s v="ORD-2024-678110"/>
    <d v="2024-07-24T00:00:00"/>
    <s v="Q3-2024"/>
    <d v="2024-08-08T00:00:00"/>
    <n v="15"/>
    <x v="3"/>
    <x v="7"/>
    <s v="Marseille"/>
    <s v="Enterprise"/>
    <s v="Marketplace"/>
    <x v="10"/>
    <s v="Laptops"/>
    <s v="LAP-9901"/>
    <n v="501.5"/>
    <n v="1201.47"/>
    <s v="High"/>
    <n v="0.126"/>
    <n v="5"/>
    <n v="5250.4239000000007"/>
    <n v="2507.5"/>
    <n v="2742.9239000000007"/>
    <n v="0.52241951359394057"/>
    <s v="Delayed"/>
    <x v="0"/>
  </r>
  <r>
    <s v="ORD-2025-909340"/>
    <d v="2025-01-20T00:00:00"/>
    <s v="Q1-2025"/>
    <d v="2025-02-03T00:00:00"/>
    <n v="14"/>
    <x v="2"/>
    <x v="5"/>
    <s v="Brasília"/>
    <s v="Enterprise"/>
    <s v="Marketplace"/>
    <x v="9"/>
    <s v="Components"/>
    <s v="CMP-8658"/>
    <n v="974.11"/>
    <n v="880.99"/>
    <s v="High"/>
    <n v="0.111"/>
    <n v="10"/>
    <n v="7832.0010999999995"/>
    <n v="9741.1"/>
    <n v="-1909.0989000000009"/>
    <n v="-0.2437562093805121"/>
    <s v="Delayed"/>
    <x v="0"/>
  </r>
  <r>
    <s v="ORD-2023-854471"/>
    <d v="2023-03-06T00:00:00"/>
    <s v="Q1-2023"/>
    <d v="2023-04-04T00:00:00"/>
    <n v="29"/>
    <x v="1"/>
    <x v="9"/>
    <s v="Beijing"/>
    <s v="Small Business"/>
    <s v="Direct"/>
    <x v="0"/>
    <s v="Monitors"/>
    <s v="MON-2073"/>
    <n v="1126.29"/>
    <n v="2050.87"/>
    <s v="High"/>
    <n v="6.4000000000000001E-2"/>
    <n v="7"/>
    <n v="13437.300239999999"/>
    <n v="7884.03"/>
    <n v="5553.2702399999989"/>
    <n v="0.41327276616690373"/>
    <s v="Delayed"/>
    <x v="0"/>
  </r>
  <r>
    <s v="ORD-2024-390951"/>
    <d v="2024-12-20T00:00:00"/>
    <s v="Q4-2024"/>
    <d v="2025-01-14T00:00:00"/>
    <n v="25"/>
    <x v="1"/>
    <x v="4"/>
    <s v="Delhi"/>
    <s v="Small Business"/>
    <s v="Retail"/>
    <x v="12"/>
    <s v="Printers"/>
    <s v="PRN-9378"/>
    <n v="1361.34"/>
    <n v="1737.9"/>
    <s v="High"/>
    <n v="7.6999999999999999E-2"/>
    <n v="14"/>
    <n v="22457.143800000002"/>
    <n v="19058.759999999998"/>
    <n v="3398.3838000000032"/>
    <n v="0.15132751654731813"/>
    <s v="Delayed"/>
    <x v="0"/>
  </r>
  <r>
    <s v="ORD-2025-881624"/>
    <d v="2025-02-21T00:00:00"/>
    <s v="Q1-2025"/>
    <d v="2025-03-21T00:00:00"/>
    <n v="28"/>
    <x v="0"/>
    <x v="1"/>
    <s v="Abuja"/>
    <s v="Enterprise"/>
    <s v="Marketplace"/>
    <x v="2"/>
    <s v="Phones"/>
    <s v="PHN-5887"/>
    <n v="1437.39"/>
    <n v="1388.31"/>
    <s v="High"/>
    <n v="0.13800000000000001"/>
    <n v="18"/>
    <n v="21541.017959999997"/>
    <n v="25873.02"/>
    <n v="-4332.002040000003"/>
    <n v="-0.20110479681341872"/>
    <s v="Delayed"/>
    <x v="0"/>
  </r>
  <r>
    <s v="ORD-2025-512310"/>
    <d v="2025-03-08T00:00:00"/>
    <s v="Q1-2025"/>
    <d v="2025-03-15T00:00:00"/>
    <n v="7"/>
    <x v="1"/>
    <x v="4"/>
    <s v="Bengaluru"/>
    <s v="Corporate"/>
    <s v="Distributor"/>
    <x v="11"/>
    <s v="Laptops"/>
    <s v="LAP-8119"/>
    <n v="475.66"/>
    <n v="529.14"/>
    <s v="High"/>
    <n v="0.19600000000000001"/>
    <n v="11"/>
    <n v="4679.7141600000004"/>
    <n v="5232.26"/>
    <n v="-552.54583999999977"/>
    <n v="-0.11807256193613323"/>
    <s v="On-time"/>
    <x v="0"/>
  </r>
  <r>
    <s v="ORD-2023-674887"/>
    <d v="2023-12-16T00:00:00"/>
    <s v="Q4-2023"/>
    <d v="2023-12-19T00:00:00"/>
    <n v="3"/>
    <x v="1"/>
    <x v="9"/>
    <s v="Beijing"/>
    <s v="Education"/>
    <s v="Retail"/>
    <x v="8"/>
    <s v="Accessories"/>
    <s v="ACC-9644"/>
    <n v="1415.05"/>
    <n v="1972.38"/>
    <s v="High"/>
    <n v="0"/>
    <n v="12"/>
    <n v="23668.560000000001"/>
    <n v="16980.599999999999"/>
    <n v="6687.9600000000028"/>
    <n v="0.28256725377462771"/>
    <s v="On-time"/>
    <x v="0"/>
  </r>
  <r>
    <s v="ORD-2024-542244"/>
    <d v="2024-08-30T00:00:00"/>
    <s v="Q3-2024"/>
    <d v="2024-09-05T00:00:00"/>
    <n v="6"/>
    <x v="1"/>
    <x v="2"/>
    <s v="Nagoya"/>
    <s v="Education"/>
    <s v="Online"/>
    <x v="13"/>
    <s v="Laptops"/>
    <s v="LAP-7009"/>
    <n v="466.16"/>
    <n v="876.81"/>
    <s v="High"/>
    <n v="0.24099999999999999"/>
    <n v="8"/>
    <n v="5323.9903199999999"/>
    <n v="3729.28"/>
    <n v="1594.7103199999997"/>
    <n v="0.29953291124691594"/>
    <s v="On-time"/>
    <x v="1"/>
  </r>
  <r>
    <s v="ORD-2024-375848"/>
    <d v="2024-05-18T00:00:00"/>
    <s v="Q2-2024"/>
    <d v="2024-05-21T00:00:00"/>
    <n v="3"/>
    <x v="3"/>
    <x v="7"/>
    <s v="Marseille"/>
    <s v="Non-Profit"/>
    <s v="Marketplace"/>
    <x v="14"/>
    <s v="Printers"/>
    <s v="PRN-1725"/>
    <n v="663.66"/>
    <n v="824.26"/>
    <s v="High"/>
    <n v="0.23899999999999999"/>
    <n v="11"/>
    <n v="6899.8804600000003"/>
    <n v="7300.2599999999993"/>
    <n v="-400.379539999999"/>
    <n v="-5.8027025587048933E-2"/>
    <s v="On-time"/>
    <x v="1"/>
  </r>
  <r>
    <s v="ORD-2023-933238"/>
    <d v="2023-03-17T00:00:00"/>
    <s v="Q1-2023"/>
    <d v="2023-04-06T00:00:00"/>
    <n v="20"/>
    <x v="3"/>
    <x v="6"/>
    <s v="Munich"/>
    <s v="Consumer"/>
    <s v="Retail"/>
    <x v="7"/>
    <s v="Phones"/>
    <s v="PHN-8483"/>
    <n v="692.18"/>
    <n v="1159.3499999999999"/>
    <s v="High"/>
    <n v="0.112"/>
    <n v="2"/>
    <n v="2059.0056"/>
    <n v="1384.36"/>
    <n v="674.64560000000006"/>
    <n v="0.32765602968734037"/>
    <s v="Delayed"/>
    <x v="0"/>
  </r>
  <r>
    <s v="ORD-2023-732585"/>
    <d v="2023-08-25T00:00:00"/>
    <s v="Q3-2023"/>
    <d v="2023-09-16T00:00:00"/>
    <n v="22"/>
    <x v="0"/>
    <x v="1"/>
    <s v="Abuja"/>
    <s v="Corporate"/>
    <s v="Marketplace"/>
    <x v="4"/>
    <s v="Phones"/>
    <s v="PHN-3971"/>
    <n v="1196.83"/>
    <n v="2513.5100000000002"/>
    <s v="High"/>
    <n v="8.3000000000000004E-2"/>
    <n v="7"/>
    <n v="16134.22069"/>
    <n v="8377.81"/>
    <n v="7756.4106900000006"/>
    <n v="0.48074281609445374"/>
    <s v="Delayed"/>
    <x v="0"/>
  </r>
  <r>
    <s v="ORD-2024-465898"/>
    <d v="2024-06-06T00:00:00"/>
    <s v="Q2-2024"/>
    <d v="2024-06-24T00:00:00"/>
    <n v="18"/>
    <x v="1"/>
    <x v="4"/>
    <s v="Bengaluru"/>
    <s v="Small Business"/>
    <s v="Direct"/>
    <x v="10"/>
    <s v="Networking"/>
    <s v="NET-6578"/>
    <n v="1253.25"/>
    <n v="3087.13"/>
    <s v="High"/>
    <n v="7.1999999999999995E-2"/>
    <n v="11"/>
    <n v="31513.423040000001"/>
    <n v="13785.75"/>
    <n v="17727.673040000001"/>
    <n v="0.562543555408064"/>
    <s v="Delayed"/>
    <x v="0"/>
  </r>
  <r>
    <s v="ORD-2023-987081"/>
    <d v="2023-08-29T00:00:00"/>
    <s v="Q3-2023"/>
    <d v="2023-09-13T00:00:00"/>
    <n v="15"/>
    <x v="2"/>
    <x v="3"/>
    <s v="Vancouver"/>
    <s v="Small Business"/>
    <s v="Marketplace"/>
    <x v="7"/>
    <s v="Printers"/>
    <s v="PRN-9975"/>
    <n v="1287.6400000000001"/>
    <n v="2717.15"/>
    <s v="High"/>
    <n v="3.2000000000000001E-2"/>
    <n v="7"/>
    <n v="18411.4084"/>
    <n v="9013.4800000000014"/>
    <n v="9397.9283999999989"/>
    <n v="0.51044049405802105"/>
    <s v="Delayed"/>
    <x v="0"/>
  </r>
  <r>
    <s v="ORD-2024-655710"/>
    <d v="2024-11-30T00:00:00"/>
    <s v="Q4-2024"/>
    <d v="2024-12-10T00:00:00"/>
    <n v="10"/>
    <x v="1"/>
    <x v="4"/>
    <s v="Hyderabad"/>
    <s v="Small Business"/>
    <s v="Retail"/>
    <x v="9"/>
    <s v="Accessories"/>
    <s v="ACC-1075"/>
    <n v="851.49"/>
    <n v="901.79"/>
    <s v="High"/>
    <n v="0.245"/>
    <n v="16"/>
    <n v="10893.6232"/>
    <n v="13623.84"/>
    <n v="-2730.2168000000001"/>
    <n v="-0.25062522816100341"/>
    <s v="Delayed"/>
    <x v="1"/>
  </r>
  <r>
    <s v="ORD-2025-411385"/>
    <d v="2025-06-05T00:00:00"/>
    <s v="Q2-2025"/>
    <d v="2025-06-14T00:00:00"/>
    <n v="9"/>
    <x v="1"/>
    <x v="4"/>
    <s v="Delhi"/>
    <s v="Non-Profit"/>
    <s v="Retail"/>
    <x v="8"/>
    <s v="Accessories"/>
    <s v="ACC-2902"/>
    <n v="618.69000000000005"/>
    <n v="796.15"/>
    <s v="High"/>
    <n v="0.09"/>
    <n v="11"/>
    <n v="7969.4615000000003"/>
    <n v="6805.59"/>
    <n v="1163.8715000000002"/>
    <n v="0.14604142325049191"/>
    <s v="Delayed"/>
    <x v="0"/>
  </r>
  <r>
    <s v="ORD-2025-222035"/>
    <d v="2025-03-14T00:00:00"/>
    <s v="Q1-2025"/>
    <d v="2025-04-08T00:00:00"/>
    <n v="25"/>
    <x v="1"/>
    <x v="9"/>
    <s v="Unknown"/>
    <s v="Corporate"/>
    <s v="Distributor"/>
    <x v="14"/>
    <s v="Printers"/>
    <s v="PRN-5815"/>
    <n v="80.59"/>
    <n v="157.82"/>
    <s v="High"/>
    <n v="0.217"/>
    <n v="6"/>
    <n v="741.43835999999999"/>
    <n v="483.54"/>
    <n v="257.89835999999997"/>
    <n v="0.34783519967863541"/>
    <s v="Delayed"/>
    <x v="1"/>
  </r>
  <r>
    <s v="ORD-2024-749242"/>
    <d v="2024-01-16T00:00:00"/>
    <s v="Q1-2024"/>
    <d v="2024-02-11T00:00:00"/>
    <n v="26"/>
    <x v="3"/>
    <x v="6"/>
    <s v="Frankfurt"/>
    <s v="Non-Profit"/>
    <s v="Distributor"/>
    <x v="6"/>
    <s v="Monitors"/>
    <s v="MON-4195"/>
    <n v="504.93"/>
    <n v="819.06"/>
    <s v="High"/>
    <n v="0.22600000000000001"/>
    <n v="15"/>
    <n v="9509.2865999999995"/>
    <n v="7573.95"/>
    <n v="1935.3365999999996"/>
    <n v="0.20352069312959814"/>
    <s v="Delayed"/>
    <x v="1"/>
  </r>
  <r>
    <s v="ORD-2023-623293"/>
    <d v="2023-10-12T00:00:00"/>
    <s v="Q4-2023"/>
    <d v="2023-10-29T00:00:00"/>
    <n v="17"/>
    <x v="1"/>
    <x v="2"/>
    <s v="Nagoya"/>
    <s v="Non-Profit"/>
    <s v="Direct"/>
    <x v="10"/>
    <s v="Phones"/>
    <s v="PHN-8478"/>
    <n v="1102.19"/>
    <n v="1711.16"/>
    <s v="High"/>
    <n v="0.151"/>
    <n v="10"/>
    <n v="14527.748400000002"/>
    <n v="11021.900000000001"/>
    <n v="3505.8484000000008"/>
    <n v="0.24132083675127525"/>
    <s v="Delayed"/>
    <x v="0"/>
  </r>
  <r>
    <s v="ORD-2025-276968"/>
    <d v="2025-02-25T00:00:00"/>
    <s v="Q1-2025"/>
    <d v="2025-03-17T00:00:00"/>
    <n v="20"/>
    <x v="2"/>
    <x v="10"/>
    <s v="San Francisco"/>
    <s v="Non-Profit"/>
    <s v="Marketplace"/>
    <x v="10"/>
    <s v="Phones"/>
    <s v="PHN-1044"/>
    <n v="1205.26"/>
    <n v="1696.35"/>
    <s v="High"/>
    <n v="1.9E-2"/>
    <n v="6"/>
    <n v="9984.7160999999978"/>
    <n v="7231.5599999999995"/>
    <n v="2753.1560999999983"/>
    <n v="0.27573704374028213"/>
    <s v="Delayed"/>
    <x v="0"/>
  </r>
  <r>
    <s v="ORD-2025-650841"/>
    <d v="2025-07-03T00:00:00"/>
    <s v="Q3-2025"/>
    <d v="2025-07-06T00:00:00"/>
    <n v="3"/>
    <x v="0"/>
    <x v="1"/>
    <s v="Lagos"/>
    <s v="Consumer"/>
    <s v="Online"/>
    <x v="15"/>
    <s v="Laptops"/>
    <s v="LAP-8910"/>
    <n v="1313.3"/>
    <n v="2884.34"/>
    <s v="High"/>
    <n v="0.157"/>
    <n v="42"/>
    <n v="102122.94203999999"/>
    <n v="55158.6"/>
    <n v="46964.342039999996"/>
    <n v="0.45988042551305253"/>
    <s v="On-time"/>
    <x v="0"/>
  </r>
  <r>
    <s v="ORD-2025-831576"/>
    <d v="2025-09-15T00:00:00"/>
    <s v="Q3-2025"/>
    <d v="2025-09-25T00:00:00"/>
    <n v="10"/>
    <x v="1"/>
    <x v="4"/>
    <s v="Delhi"/>
    <s v="Consumer"/>
    <s v="Retail"/>
    <x v="8"/>
    <s v="Phones"/>
    <s v="PHN-2859"/>
    <n v="1488.91"/>
    <n v="1483.74"/>
    <s v="High"/>
    <n v="0.16800000000000001"/>
    <n v="24"/>
    <n v="29627.320319999999"/>
    <n v="35733.840000000004"/>
    <n v="-6106.5196800000049"/>
    <n v="-0.20611110333450519"/>
    <s v="Delayed"/>
    <x v="0"/>
  </r>
  <r>
    <s v="ORD-2024-468655"/>
    <d v="2024-02-19T00:00:00"/>
    <s v="Q1-2024"/>
    <d v="2024-03-06T00:00:00"/>
    <n v="16"/>
    <x v="1"/>
    <x v="9"/>
    <s v="Beijing"/>
    <s v="Education"/>
    <s v="Marketplace"/>
    <x v="7"/>
    <s v="Printers"/>
    <s v="PRN-6308"/>
    <n v="1477.84"/>
    <n v="3197.47"/>
    <s v="High"/>
    <n v="0.24299999999999999"/>
    <n v="24"/>
    <n v="58091.634960000003"/>
    <n v="35468.159999999996"/>
    <n v="22623.474960000007"/>
    <n v="0.38944462443823091"/>
    <s v="Delayed"/>
    <x v="1"/>
  </r>
  <r>
    <s v="ORD-2024-515105"/>
    <d v="2024-02-27T00:00:00"/>
    <s v="Q1-2024"/>
    <d v="2024-03-26T00:00:00"/>
    <n v="28"/>
    <x v="1"/>
    <x v="4"/>
    <s v="Mumbai"/>
    <s v="Education"/>
    <s v="Marketplace"/>
    <x v="3"/>
    <s v="Laptops"/>
    <s v="LAP-8469"/>
    <n v="1035.19"/>
    <n v="2322.6999999999998"/>
    <s v="High"/>
    <n v="0.17299999999999999"/>
    <n v="8"/>
    <n v="15366.983199999999"/>
    <n v="8281.52"/>
    <n v="7085.4631999999983"/>
    <n v="0.46108355217047409"/>
    <s v="Delayed"/>
    <x v="0"/>
  </r>
  <r>
    <s v="ORD-2025-803803"/>
    <d v="2025-08-28T00:00:00"/>
    <s v="Q3-2025"/>
    <d v="2025-09-05T00:00:00"/>
    <n v="8"/>
    <x v="0"/>
    <x v="1"/>
    <s v="Port Harcourt"/>
    <s v="Small Business"/>
    <s v="Marketplace"/>
    <x v="6"/>
    <s v="Laptops"/>
    <s v="LAP-7553"/>
    <n v="1271.0999999999999"/>
    <n v="1932.42"/>
    <s v="High"/>
    <n v="0.25"/>
    <n v="21"/>
    <n v="30435.614999999998"/>
    <n v="26693.1"/>
    <n v="3742.5149999999994"/>
    <n v="0.12296498690760807"/>
    <s v="Delayed"/>
    <x v="1"/>
  </r>
  <r>
    <s v="ORD-2024-993481"/>
    <d v="2024-08-18T00:00:00"/>
    <s v="Q3-2024"/>
    <d v="2024-09-12T00:00:00"/>
    <n v="25"/>
    <x v="1"/>
    <x v="4"/>
    <s v="Mumbai"/>
    <s v="Consumer"/>
    <s v="Marketplace"/>
    <x v="0"/>
    <s v="Phones"/>
    <s v="PHN-3077"/>
    <n v="1154.03"/>
    <n v="1590.36"/>
    <s v="High"/>
    <n v="0.3"/>
    <n v="18"/>
    <n v="20038.536"/>
    <n v="20772.54"/>
    <n v="-734.00400000000081"/>
    <n v="-3.6629622044245191E-2"/>
    <s v="Delayed"/>
    <x v="1"/>
  </r>
  <r>
    <s v="ORD-2024-811752"/>
    <d v="2024-02-25T00:00:00"/>
    <s v="Q1-2024"/>
    <d v="2024-03-09T00:00:00"/>
    <n v="13"/>
    <x v="3"/>
    <x v="7"/>
    <s v="Marseille"/>
    <s v="Small Business"/>
    <s v="Distributor"/>
    <x v="6"/>
    <s v="Monitors"/>
    <s v="MON-3350"/>
    <n v="322.44"/>
    <n v="395.61"/>
    <s v="High"/>
    <n v="0"/>
    <n v="34"/>
    <n v="13450.74"/>
    <n v="10962.96"/>
    <n v="2487.7800000000007"/>
    <n v="0.18495487980586947"/>
    <s v="Delayed"/>
    <x v="0"/>
  </r>
  <r>
    <s v="ORD-2025-673091"/>
    <d v="2025-05-07T00:00:00"/>
    <s v="Q2-2025"/>
    <d v="2025-05-13T00:00:00"/>
    <n v="6"/>
    <x v="1"/>
    <x v="4"/>
    <s v="Bengaluru"/>
    <s v="Enterprise"/>
    <s v="Direct"/>
    <x v="1"/>
    <s v="Phones"/>
    <s v="PHN-5683"/>
    <n v="935.98"/>
    <n v="2077.69"/>
    <s v="High"/>
    <n v="0.17499999999999999"/>
    <n v="24"/>
    <n v="41138.261999999995"/>
    <n v="22463.52"/>
    <n v="18674.741999999995"/>
    <n v="0.45395067978321491"/>
    <s v="On-time"/>
    <x v="0"/>
  </r>
  <r>
    <s v="ORD-2024-381197"/>
    <d v="2024-11-01T00:00:00"/>
    <s v="Q4-2024"/>
    <d v="2024-11-12T00:00:00"/>
    <n v="11"/>
    <x v="3"/>
    <x v="6"/>
    <s v="Frankfurt"/>
    <s v="Consumer"/>
    <s v="Online"/>
    <x v="5"/>
    <s v="Printers"/>
    <s v="PRN-2409"/>
    <n v="599.84"/>
    <n v="1330.85"/>
    <s v="High"/>
    <n v="0.115"/>
    <n v="11"/>
    <n v="12955.824749999998"/>
    <n v="6598.2400000000007"/>
    <n v="6357.5847499999973"/>
    <n v="0.49071246892252063"/>
    <s v="Delayed"/>
    <x v="0"/>
  </r>
  <r>
    <s v="ORD-2024-651852"/>
    <d v="2024-12-28T00:00:00"/>
    <s v="Q4-2024"/>
    <d v="2025-01-08T00:00:00"/>
    <n v="11"/>
    <x v="1"/>
    <x v="9"/>
    <s v="Shenzhen"/>
    <s v="Enterprise"/>
    <s v="Online"/>
    <x v="11"/>
    <s v="Laptops"/>
    <s v="LAP-8825"/>
    <n v="1201.31"/>
    <n v="2764.65"/>
    <s v="High"/>
    <n v="0"/>
    <n v="21"/>
    <n v="58057.65"/>
    <n v="25227.51"/>
    <n v="32830.14"/>
    <n v="0.56547483406579491"/>
    <s v="Delayed"/>
    <x v="0"/>
  </r>
  <r>
    <s v="ORD-2023-659070"/>
    <d v="2023-10-21T00:00:00"/>
    <s v="Q4-2023"/>
    <d v="2023-10-21T00:00:00"/>
    <n v="0"/>
    <x v="3"/>
    <x v="8"/>
    <s v="Manchester"/>
    <s v="Enterprise"/>
    <s v="Distributor"/>
    <x v="1"/>
    <s v="Monitors"/>
    <s v="MON-8697"/>
    <n v="384.19"/>
    <n v="278.35000000000002"/>
    <s v="High"/>
    <n v="5.6000000000000001E-2"/>
    <n v="10"/>
    <n v="2627.6239999999998"/>
    <n v="3841.9"/>
    <n v="-1214.2760000000003"/>
    <n v="-0.46211938998882657"/>
    <s v="On-time"/>
    <x v="0"/>
  </r>
  <r>
    <s v="ORD-2024-837651"/>
    <d v="2024-12-10T00:00:00"/>
    <s v="Q4-2024"/>
    <d v="2024-12-19T00:00:00"/>
    <n v="9"/>
    <x v="0"/>
    <x v="1"/>
    <s v="Lagos"/>
    <s v="Corporate"/>
    <s v="Retail"/>
    <x v="7"/>
    <s v="Monitors"/>
    <s v="MON-4789"/>
    <n v="488.68"/>
    <n v="984.36"/>
    <s v="High"/>
    <n v="5.8999999999999997E-2"/>
    <n v="14"/>
    <n v="12967.958640000001"/>
    <n v="6841.52"/>
    <n v="6126.4386400000003"/>
    <n v="0.47242891576649876"/>
    <s v="Delayed"/>
    <x v="0"/>
  </r>
  <r>
    <s v="ORD-2024-581530"/>
    <d v="2024-09-07T00:00:00"/>
    <s v="Q3-2024"/>
    <d v="2024-09-18T00:00:00"/>
    <n v="11"/>
    <x v="1"/>
    <x v="9"/>
    <s v="Beijing"/>
    <s v="Consumer"/>
    <s v="Distributor"/>
    <x v="7"/>
    <s v="Networking"/>
    <s v="NET-7998"/>
    <n v="181.74"/>
    <n v="190.84"/>
    <s v="High"/>
    <n v="0.214"/>
    <n v="13"/>
    <n v="1950.0031200000001"/>
    <n v="2362.62"/>
    <n v="-412.61687999999981"/>
    <n v="-0.21159806144310159"/>
    <s v="Delayed"/>
    <x v="1"/>
  </r>
  <r>
    <s v="ORD-2023-378104"/>
    <d v="2023-10-18T00:00:00"/>
    <s v="Q4-2023"/>
    <d v="2023-10-20T00:00:00"/>
    <n v="2"/>
    <x v="0"/>
    <x v="0"/>
    <s v="Kisumu"/>
    <s v="Consumer"/>
    <s v="Retail"/>
    <x v="1"/>
    <s v="Phones"/>
    <s v="PHN-8891"/>
    <n v="774.12"/>
    <n v="908.3"/>
    <s v="High"/>
    <n v="0"/>
    <n v="30"/>
    <n v="27249"/>
    <n v="23223.599999999999"/>
    <n v="4025.4000000000015"/>
    <n v="0.14772652207420461"/>
    <s v="On-time"/>
    <x v="0"/>
  </r>
  <r>
    <s v="ORD-2024-972318"/>
    <d v="2024-12-24T00:00:00"/>
    <s v="Q4-2024"/>
    <d v="2025-01-13T00:00:00"/>
    <n v="20"/>
    <x v="1"/>
    <x v="4"/>
    <s v="Bengaluru"/>
    <s v="Corporate"/>
    <s v="Marketplace"/>
    <x v="14"/>
    <s v="Networking"/>
    <s v="NET-9832"/>
    <n v="126.15"/>
    <n v="284.23"/>
    <s v="High"/>
    <n v="0.113"/>
    <n v="22"/>
    <n v="5546.4642200000008"/>
    <n v="2775.3"/>
    <n v="2771.1642200000006"/>
    <n v="0.49962716968541088"/>
    <s v="Delayed"/>
    <x v="0"/>
  </r>
  <r>
    <s v="ORD-2023-752962"/>
    <d v="2023-04-21T00:00:00"/>
    <s v="Q2-2023"/>
    <d v="2023-04-28T00:00:00"/>
    <n v="7"/>
    <x v="1"/>
    <x v="2"/>
    <s v="Nagoya"/>
    <s v="Small Business"/>
    <s v="Direct"/>
    <x v="12"/>
    <s v="Components"/>
    <s v="CMP-8604"/>
    <n v="607.04"/>
    <n v="1229.3399999999999"/>
    <s v="High"/>
    <n v="0.14699999999999999"/>
    <n v="7"/>
    <n v="7340.3891399999993"/>
    <n v="4249.28"/>
    <n v="3091.1091399999996"/>
    <n v="0.42110970972310058"/>
    <s v="On-time"/>
    <x v="0"/>
  </r>
  <r>
    <s v="ORD-2023-808024"/>
    <d v="2023-12-30T00:00:00"/>
    <s v="Q4-2023"/>
    <d v="2024-01-08T00:00:00"/>
    <n v="9"/>
    <x v="3"/>
    <x v="7"/>
    <s v="Marseille"/>
    <s v="Consumer"/>
    <s v="Marketplace"/>
    <x v="4"/>
    <s v="Accessories"/>
    <s v="ACC-6594"/>
    <n v="861.1"/>
    <n v="1224.72"/>
    <s v="High"/>
    <n v="0.17399999999999999"/>
    <n v="24"/>
    <n v="24278.849280000002"/>
    <n v="20666.400000000001"/>
    <n v="3612.4492800000007"/>
    <n v="0.14878997098827909"/>
    <s v="Delayed"/>
    <x v="0"/>
  </r>
  <r>
    <s v="ORD-2023-156396"/>
    <d v="2023-02-21T00:00:00"/>
    <s v="Q1-2023"/>
    <d v="2023-03-12T00:00:00"/>
    <n v="19"/>
    <x v="0"/>
    <x v="0"/>
    <s v="Nakuru"/>
    <s v="Corporate"/>
    <s v="Online"/>
    <x v="9"/>
    <s v="Networking"/>
    <s v="NET-2499"/>
    <n v="352.65"/>
    <n v="485.86"/>
    <s v="High"/>
    <n v="4.1000000000000002E-2"/>
    <n v="6"/>
    <n v="2795.6384399999997"/>
    <n v="2115.8999999999996"/>
    <n v="679.73844000000008"/>
    <n v="0.24314247159943908"/>
    <s v="Delayed"/>
    <x v="0"/>
  </r>
  <r>
    <s v="ORD-2023-184577"/>
    <d v="2023-05-17T00:00:00"/>
    <s v="Q2-2023"/>
    <d v="2023-06-03T00:00:00"/>
    <n v="17"/>
    <x v="1"/>
    <x v="9"/>
    <s v="Beijing"/>
    <s v="Non-Profit"/>
    <s v="Distributor"/>
    <x v="12"/>
    <s v="Printers"/>
    <s v="PRN-1923"/>
    <n v="979.59"/>
    <n v="2210.94"/>
    <s v="High"/>
    <n v="0.15"/>
    <n v="11"/>
    <n v="20672.289000000001"/>
    <n v="10775.49"/>
    <n v="9896.7990000000009"/>
    <n v="0.47874712858358359"/>
    <s v="Delayed"/>
    <x v="0"/>
  </r>
  <r>
    <s v="ORD-2024-446030"/>
    <d v="2024-03-23T00:00:00"/>
    <s v="Q1-2024"/>
    <d v="2024-03-26T00:00:00"/>
    <n v="3"/>
    <x v="1"/>
    <x v="4"/>
    <s v="Bengaluru"/>
    <s v="Education"/>
    <s v="Direct"/>
    <x v="3"/>
    <s v="Phones"/>
    <s v="PHN-4346"/>
    <n v="382.21"/>
    <n v="571.89"/>
    <s v="High"/>
    <n v="0.14799999999999999"/>
    <n v="26"/>
    <n v="12668.50728"/>
    <n v="9937.4599999999991"/>
    <n v="2731.0472800000007"/>
    <n v="0.2155776698578809"/>
    <s v="On-time"/>
    <x v="0"/>
  </r>
  <r>
    <s v="ORD-2023-842820"/>
    <d v="2023-09-20T00:00:00"/>
    <s v="Q3-2023"/>
    <d v="2023-09-28T00:00:00"/>
    <n v="8"/>
    <x v="1"/>
    <x v="4"/>
    <s v="Unknown"/>
    <s v="Corporate"/>
    <s v="Unknown"/>
    <x v="5"/>
    <s v="Accessories"/>
    <s v="ACC-1375"/>
    <n v="1362.06"/>
    <n v="3398.37"/>
    <s v="High"/>
    <n v="0.157"/>
    <n v="11"/>
    <n v="31513.085009999999"/>
    <n v="14982.66"/>
    <n v="16530.425009999999"/>
    <n v="0.52455749745714919"/>
    <s v="Delayed"/>
    <x v="0"/>
  </r>
  <r>
    <s v="ORD-2024-745424"/>
    <d v="2024-08-22T00:00:00"/>
    <s v="Q3-2024"/>
    <d v="2024-09-04T00:00:00"/>
    <n v="13"/>
    <x v="3"/>
    <x v="6"/>
    <s v="Frankfurt"/>
    <s v="Non-Profit"/>
    <s v="Retail"/>
    <x v="4"/>
    <s v="Printers"/>
    <s v="PRN-4892"/>
    <n v="90.04"/>
    <n v="194.62"/>
    <s v="High"/>
    <n v="4.2999999999999997E-2"/>
    <n v="32"/>
    <n v="5960.04288"/>
    <n v="2881.28"/>
    <n v="3078.7628799999998"/>
    <n v="0.51656723650954672"/>
    <s v="Delayed"/>
    <x v="0"/>
  </r>
  <r>
    <s v="ORD-2024-510520"/>
    <d v="2024-09-25T00:00:00"/>
    <s v="Q3-2024"/>
    <d v="2024-10-03T00:00:00"/>
    <n v="8"/>
    <x v="2"/>
    <x v="3"/>
    <s v="Toronto"/>
    <s v="Consumer"/>
    <s v="Online"/>
    <x v="6"/>
    <s v="Printers"/>
    <s v="PRN-9557"/>
    <n v="558.19000000000005"/>
    <n v="1031.6400000000001"/>
    <s v="High"/>
    <n v="0"/>
    <n v="21"/>
    <n v="21664.440000000002"/>
    <n v="11721.990000000002"/>
    <n v="9942.4500000000007"/>
    <n v="0.45892947152107322"/>
    <s v="Delayed"/>
    <x v="0"/>
  </r>
  <r>
    <s v="ORD-2023-769774"/>
    <d v="2023-06-13T00:00:00"/>
    <s v="Q2-2023"/>
    <d v="2023-06-24T00:00:00"/>
    <n v="11"/>
    <x v="2"/>
    <x v="3"/>
    <s v="Toronto"/>
    <s v="Corporate"/>
    <s v="Online"/>
    <x v="0"/>
    <s v="Printers"/>
    <s v="PRN-8008"/>
    <n v="247.07"/>
    <n v="495.19"/>
    <s v="High"/>
    <n v="2.8000000000000001E-2"/>
    <n v="4"/>
    <n v="1925.29872"/>
    <n v="988.28"/>
    <n v="937.01872000000003"/>
    <n v="0.48668744764968214"/>
    <s v="Delayed"/>
    <x v="0"/>
  </r>
  <r>
    <s v="ORD-2023-580751"/>
    <d v="2023-12-24T00:00:00"/>
    <s v="Q4-2023"/>
    <d v="2024-01-13T00:00:00"/>
    <n v="20"/>
    <x v="1"/>
    <x v="2"/>
    <s v="Nagoya"/>
    <s v="Education"/>
    <s v="Direct"/>
    <x v="5"/>
    <s v="Laptops"/>
    <s v="LAP-1946"/>
    <n v="625.37"/>
    <n v="1319.04"/>
    <s v="High"/>
    <n v="7.3999999999999996E-2"/>
    <n v="8"/>
    <n v="9771.4483199999995"/>
    <n v="5002.96"/>
    <n v="4768.4883199999995"/>
    <n v="0.48800220436513547"/>
    <s v="Delayed"/>
    <x v="0"/>
  </r>
  <r>
    <s v="ORD-2025-473192"/>
    <d v="2025-03-30T00:00:00"/>
    <s v="Q1-2025"/>
    <d v="2025-04-29T00:00:00"/>
    <n v="30"/>
    <x v="0"/>
    <x v="11"/>
    <s v="Durban"/>
    <s v="Consumer"/>
    <s v="Marketplace"/>
    <x v="1"/>
    <s v="Monitors"/>
    <s v="MON-7106"/>
    <n v="194.6"/>
    <n v="314.87"/>
    <s v="High"/>
    <n v="0.29299999999999998"/>
    <n v="25"/>
    <n v="5565.3272500000003"/>
    <n v="4865"/>
    <n v="700.32725000000028"/>
    <n v="0.1258375686712763"/>
    <s v="Delayed"/>
    <x v="1"/>
  </r>
  <r>
    <s v="ORD-2024-886939"/>
    <d v="2024-06-03T00:00:00"/>
    <s v="Q2-2024"/>
    <d v="2024-06-24T00:00:00"/>
    <n v="21"/>
    <x v="2"/>
    <x v="3"/>
    <s v="Toronto"/>
    <s v="Small Business"/>
    <s v="Direct"/>
    <x v="3"/>
    <s v="Monitors"/>
    <s v="MON-5386"/>
    <n v="1205.5"/>
    <n v="2210.17"/>
    <s v="High"/>
    <n v="0.104"/>
    <n v="23"/>
    <n v="45547.183360000003"/>
    <n v="27726.5"/>
    <n v="17820.683360000003"/>
    <n v="0.39125763758314652"/>
    <s v="Delayed"/>
    <x v="0"/>
  </r>
  <r>
    <s v="ORD-2024-566589"/>
    <d v="2024-06-11T00:00:00"/>
    <s v="Q2-2024"/>
    <d v="2024-07-09T00:00:00"/>
    <n v="28"/>
    <x v="0"/>
    <x v="1"/>
    <s v="Port Harcourt"/>
    <s v="Corporate"/>
    <s v="Marketplace"/>
    <x v="2"/>
    <s v="Phones"/>
    <s v="PHN-2436"/>
    <n v="895.54"/>
    <n v="1045"/>
    <s v="High"/>
    <n v="0.216"/>
    <n v="15"/>
    <n v="12289.2"/>
    <n v="13433.099999999999"/>
    <n v="-1143.8999999999978"/>
    <n v="-9.3081730299775234E-2"/>
    <s v="Delayed"/>
    <x v="1"/>
  </r>
  <r>
    <s v="ORD-2023-109927"/>
    <d v="2023-07-22T00:00:00"/>
    <s v="Q3-2023"/>
    <d v="2023-07-29T00:00:00"/>
    <n v="7"/>
    <x v="1"/>
    <x v="4"/>
    <s v="Delhi"/>
    <s v="Small Business"/>
    <s v="Distributor"/>
    <x v="6"/>
    <s v="Printers"/>
    <s v="PRN-2301"/>
    <n v="946.99"/>
    <n v="2132.19"/>
    <s v="High"/>
    <n v="0.16500000000000001"/>
    <n v="7"/>
    <n v="12462.65055"/>
    <n v="6628.93"/>
    <n v="5833.72055"/>
    <n v="0.46809629513362228"/>
    <s v="On-time"/>
    <x v="0"/>
  </r>
  <r>
    <s v="ORD-2023-780206"/>
    <d v="2023-01-19T00:00:00"/>
    <s v="Q1-2023"/>
    <d v="2023-02-03T00:00:00"/>
    <n v="15"/>
    <x v="3"/>
    <x v="8"/>
    <s v="London"/>
    <s v="Enterprise"/>
    <s v="Distributor"/>
    <x v="3"/>
    <s v="Accessories"/>
    <s v="ACC-3645"/>
    <n v="873.06"/>
    <n v="2101.5500000000002"/>
    <s v="High"/>
    <n v="6.6000000000000003E-2"/>
    <n v="10"/>
    <n v="19628.476999999999"/>
    <n v="8730.5999999999985"/>
    <n v="10897.877"/>
    <n v="0.55520746719167269"/>
    <s v="Delayed"/>
    <x v="0"/>
  </r>
  <r>
    <s v="ORD-2024-851993"/>
    <d v="2024-05-01T00:00:00"/>
    <s v="Q2-2024"/>
    <d v="2024-05-16T00:00:00"/>
    <n v="15"/>
    <x v="1"/>
    <x v="4"/>
    <s v="Bengaluru"/>
    <s v="Small Business"/>
    <s v="Retail"/>
    <x v="4"/>
    <s v="Components"/>
    <s v="CMP-6811"/>
    <n v="901.19"/>
    <n v="2125.44"/>
    <s v="High"/>
    <n v="7.0999999999999994E-2"/>
    <n v="12"/>
    <n v="23694.405119999999"/>
    <n v="10814.28"/>
    <n v="12880.125119999999"/>
    <n v="0.54359352154100415"/>
    <s v="Delayed"/>
    <x v="0"/>
  </r>
  <r>
    <s v="ORD-2025-417942"/>
    <d v="2025-06-09T00:00:00"/>
    <s v="Q2-2025"/>
    <d v="2025-06-24T00:00:00"/>
    <n v="15"/>
    <x v="1"/>
    <x v="2"/>
    <s v="Nagoya"/>
    <s v="Corporate"/>
    <s v="Direct"/>
    <x v="5"/>
    <s v="Phones"/>
    <s v="PHN-5675"/>
    <n v="400.39"/>
    <n v="712.75"/>
    <s v="High"/>
    <n v="0.115"/>
    <n v="19"/>
    <n v="11984.891250000001"/>
    <n v="7607.41"/>
    <n v="4377.4812500000007"/>
    <n v="0.36524997671547504"/>
    <s v="Delayed"/>
    <x v="0"/>
  </r>
  <r>
    <s v="ORD-2023-172095"/>
    <d v="2023-05-24T00:00:00"/>
    <s v="Q2-2023"/>
    <d v="2023-06-21T00:00:00"/>
    <n v="28"/>
    <x v="2"/>
    <x v="10"/>
    <s v="Austin"/>
    <s v="Small Business"/>
    <s v="Marketplace"/>
    <x v="3"/>
    <s v="Monitors"/>
    <s v="MON-6882"/>
    <n v="813.97"/>
    <n v="1568.83"/>
    <s v="High"/>
    <n v="1.7000000000000001E-2"/>
    <n v="15"/>
    <n v="23132.398349999996"/>
    <n v="12209.550000000001"/>
    <n v="10922.848349999995"/>
    <n v="0.4721883215364911"/>
    <s v="Delayed"/>
    <x v="0"/>
  </r>
  <r>
    <s v="ORD-2024-257550"/>
    <d v="2024-12-27T00:00:00"/>
    <s v="Q4-2024"/>
    <d v="2024-12-29T00:00:00"/>
    <n v="2"/>
    <x v="2"/>
    <x v="3"/>
    <s v="Vancouver"/>
    <s v="Enterprise"/>
    <s v="Marketplace"/>
    <x v="0"/>
    <s v="Accessories"/>
    <s v="ACC-8620"/>
    <n v="1146.72"/>
    <n v="2074.34"/>
    <s v="High"/>
    <n v="0.111"/>
    <n v="8"/>
    <n v="14752.706080000002"/>
    <n v="9173.76"/>
    <n v="5578.9460800000015"/>
    <n v="0.37816425337472737"/>
    <s v="On-time"/>
    <x v="0"/>
  </r>
  <r>
    <s v="ORD-2023-581799"/>
    <d v="2023-12-05T00:00:00"/>
    <s v="Q4-2023"/>
    <d v="2023-12-12T00:00:00"/>
    <n v="7"/>
    <x v="2"/>
    <x v="5"/>
    <s v="Brasília"/>
    <s v="Corporate"/>
    <s v="Direct"/>
    <x v="9"/>
    <s v="Phones"/>
    <s v="PHN-6506"/>
    <n v="307.43"/>
    <n v="495.19"/>
    <s v="High"/>
    <n v="0"/>
    <n v="42"/>
    <n v="20797.98"/>
    <n v="12912.06"/>
    <n v="7885.92"/>
    <n v="0.37916759223732305"/>
    <s v="On-time"/>
    <x v="0"/>
  </r>
  <r>
    <s v="ORD-2023-880296"/>
    <d v="2023-05-02T00:00:00"/>
    <s v="Q2-2023"/>
    <d v="2023-05-19T00:00:00"/>
    <n v="17"/>
    <x v="1"/>
    <x v="9"/>
    <s v="Shanghai"/>
    <s v="Non-Profit"/>
    <s v="Direct"/>
    <x v="1"/>
    <s v="Monitors"/>
    <s v="MON-5086"/>
    <n v="714.28"/>
    <n v="757.59"/>
    <s v="High"/>
    <n v="0.13600000000000001"/>
    <n v="12"/>
    <n v="7854.6931199999999"/>
    <n v="8571.36"/>
    <n v="-716.66688000000067"/>
    <n v="-9.1240595787910383E-2"/>
    <s v="Delayed"/>
    <x v="0"/>
  </r>
  <r>
    <s v="ORD-2023-191563"/>
    <d v="2023-11-30T00:00:00"/>
    <s v="Q4-2023"/>
    <d v="2023-12-10T00:00:00"/>
    <n v="10"/>
    <x v="3"/>
    <x v="6"/>
    <s v="Munich"/>
    <s v="Small Business"/>
    <s v="Direct"/>
    <x v="9"/>
    <s v="Laptops"/>
    <s v="LAP-4899"/>
    <n v="174.74"/>
    <n v="415.96"/>
    <s v="High"/>
    <n v="0.125"/>
    <n v="21"/>
    <n v="7643.2649999999994"/>
    <n v="3669.54"/>
    <n v="3973.7249999999995"/>
    <n v="0.51989889137691803"/>
    <s v="Delayed"/>
    <x v="0"/>
  </r>
  <r>
    <s v="ORD-2024-202166"/>
    <d v="2024-05-05T00:00:00"/>
    <s v="Q2-2024"/>
    <d v="2024-05-18T00:00:00"/>
    <n v="13"/>
    <x v="3"/>
    <x v="7"/>
    <s v="Marseille"/>
    <s v="Corporate"/>
    <s v="Marketplace"/>
    <x v="8"/>
    <s v="Components"/>
    <s v="CMP-3313"/>
    <n v="1264.04"/>
    <n v="1870.89"/>
    <s v="High"/>
    <n v="0"/>
    <n v="13"/>
    <n v="24321.57"/>
    <n v="16432.52"/>
    <n v="7889.0499999999993"/>
    <n v="0.32436433996653996"/>
    <s v="Delayed"/>
    <x v="0"/>
  </r>
  <r>
    <s v="ORD-2023-539967"/>
    <d v="2023-07-09T00:00:00"/>
    <s v="Q3-2023"/>
    <d v="2023-07-19T00:00:00"/>
    <n v="10"/>
    <x v="1"/>
    <x v="2"/>
    <s v="Tokyo"/>
    <s v="Enterprise"/>
    <s v="Distributor"/>
    <x v="13"/>
    <s v="Components"/>
    <s v="CMP-6649"/>
    <n v="141.26"/>
    <n v="206.88"/>
    <s v="High"/>
    <n v="0.107"/>
    <n v="9"/>
    <n v="1662.6945600000001"/>
    <n v="1271.3399999999999"/>
    <n v="391.35456000000022"/>
    <n v="0.23537369365062469"/>
    <s v="Delayed"/>
    <x v="0"/>
  </r>
  <r>
    <s v="ORD-2023-704111"/>
    <d v="2023-05-17T00:00:00"/>
    <s v="Q2-2023"/>
    <d v="2023-06-15T00:00:00"/>
    <n v="29"/>
    <x v="0"/>
    <x v="11"/>
    <s v="Durban"/>
    <s v="Enterprise"/>
    <s v="Retail"/>
    <x v="11"/>
    <s v="Accessories"/>
    <s v="ACC-5206"/>
    <n v="40.89"/>
    <n v="62.82"/>
    <s v="High"/>
    <n v="0.129"/>
    <n v="17"/>
    <n v="930.17574000000002"/>
    <n v="695.13"/>
    <n v="235.04574000000002"/>
    <n v="0.25268960465470752"/>
    <s v="Delayed"/>
    <x v="0"/>
  </r>
  <r>
    <s v="ORD-2024-356812"/>
    <d v="2024-03-07T00:00:00"/>
    <s v="Q1-2024"/>
    <d v="2024-04-03T00:00:00"/>
    <n v="27"/>
    <x v="3"/>
    <x v="6"/>
    <s v="Frankfurt"/>
    <s v="Corporate"/>
    <s v="Direct"/>
    <x v="12"/>
    <s v="Printers"/>
    <s v="PRN-6911"/>
    <n v="738.16"/>
    <n v="956.49"/>
    <s v="High"/>
    <n v="0.152"/>
    <n v="5"/>
    <n v="4055.5175999999997"/>
    <n v="3690.7999999999997"/>
    <n v="364.71759999999995"/>
    <n v="8.9931208780847108E-2"/>
    <s v="Delayed"/>
    <x v="0"/>
  </r>
  <r>
    <s v="ORD-2025-306251"/>
    <d v="2025-04-10T00:00:00"/>
    <s v="Q2-2025"/>
    <d v="2025-04-19T00:00:00"/>
    <n v="9"/>
    <x v="0"/>
    <x v="11"/>
    <s v="Durban"/>
    <s v="Enterprise"/>
    <s v="Unknown"/>
    <x v="3"/>
    <s v="Networking"/>
    <s v="NET-5270"/>
    <n v="113.74"/>
    <n v="165.7"/>
    <s v="High"/>
    <n v="0.124"/>
    <n v="13"/>
    <n v="1886.9915999999998"/>
    <n v="1478.62"/>
    <n v="408.37159999999994"/>
    <n v="0.21641410592394794"/>
    <s v="Delayed"/>
    <x v="0"/>
  </r>
  <r>
    <s v="ORD-2025-496178"/>
    <d v="2025-07-27T00:00:00"/>
    <s v="Q3-2025"/>
    <d v="2025-08-15T00:00:00"/>
    <n v="19"/>
    <x v="1"/>
    <x v="2"/>
    <s v="Tokyo"/>
    <s v="Small Business"/>
    <s v="Marketplace"/>
    <x v="1"/>
    <s v="Components"/>
    <s v="CMP-5658"/>
    <n v="275.43"/>
    <n v="608.36"/>
    <s v="High"/>
    <n v="0.25700000000000001"/>
    <n v="4"/>
    <n v="1808.04592"/>
    <n v="1101.72"/>
    <n v="706.32592"/>
    <n v="0.39065706915231446"/>
    <s v="Delayed"/>
    <x v="1"/>
  </r>
  <r>
    <s v="ORD-2024-508213"/>
    <d v="2024-11-22T00:00:00"/>
    <s v="Q4-2024"/>
    <d v="2024-12-15T00:00:00"/>
    <n v="23"/>
    <x v="0"/>
    <x v="0"/>
    <s v="Mombasa"/>
    <s v="Non-Profit"/>
    <s v="Distributor"/>
    <x v="0"/>
    <s v="Components"/>
    <s v="CMP-3938"/>
    <n v="1335.76"/>
    <n v="2665.91"/>
    <s v="High"/>
    <n v="0.21099999999999999"/>
    <n v="40"/>
    <n v="84136.119600000005"/>
    <n v="53430.400000000001"/>
    <n v="30705.719600000004"/>
    <n v="0.36495288522909253"/>
    <s v="Delayed"/>
    <x v="1"/>
  </r>
  <r>
    <s v="ORD-2024-787018"/>
    <d v="2024-06-23T00:00:00"/>
    <s v="Q2-2024"/>
    <d v="2024-06-28T00:00:00"/>
    <n v="5"/>
    <x v="0"/>
    <x v="1"/>
    <s v="Port Harcourt"/>
    <s v="Non-Profit"/>
    <s v="Direct"/>
    <x v="12"/>
    <s v="Accessories"/>
    <s v="ACC-7671"/>
    <n v="242.31"/>
    <n v="587.95000000000005"/>
    <s v="High"/>
    <n v="0.22900000000000001"/>
    <n v="6"/>
    <n v="2719.8567000000003"/>
    <n v="1453.8600000000001"/>
    <n v="1265.9967000000001"/>
    <n v="0.46546448568411714"/>
    <s v="On-time"/>
    <x v="1"/>
  </r>
  <r>
    <s v="ORD-2023-728177"/>
    <d v="2023-12-18T00:00:00"/>
    <s v="Q4-2023"/>
    <d v="2024-01-14T00:00:00"/>
    <n v="27"/>
    <x v="1"/>
    <x v="4"/>
    <s v="Mumbai"/>
    <s v="Consumer"/>
    <s v="Distributor"/>
    <x v="14"/>
    <s v="Networking"/>
    <s v="NET-6014"/>
    <n v="1408.3"/>
    <n v="2193.13"/>
    <s v="High"/>
    <n v="7.0999999999999994E-2"/>
    <n v="7"/>
    <n v="14261.92439"/>
    <n v="9858.1"/>
    <n v="4403.8243899999998"/>
    <n v="0.30878191957656281"/>
    <s v="Delayed"/>
    <x v="0"/>
  </r>
  <r>
    <s v="ORD-2025-795385"/>
    <d v="2025-06-01T00:00:00"/>
    <s v="Q2-2025"/>
    <d v="2025-06-05T00:00:00"/>
    <n v="4"/>
    <x v="3"/>
    <x v="6"/>
    <s v="Munich"/>
    <s v="Enterprise"/>
    <s v="Direct"/>
    <x v="12"/>
    <s v="Components"/>
    <s v="CMP-4159"/>
    <n v="1171.42"/>
    <n v="2187.8000000000002"/>
    <s v="High"/>
    <n v="0.23"/>
    <n v="15"/>
    <n v="25269.09"/>
    <n v="17571.300000000003"/>
    <n v="7697.7899999999972"/>
    <n v="0.30463265594447592"/>
    <s v="On-time"/>
    <x v="1"/>
  </r>
  <r>
    <s v="ORD-2025-947929"/>
    <d v="2025-03-23T00:00:00"/>
    <s v="Q1-2025"/>
    <d v="2025-04-02T00:00:00"/>
    <n v="10"/>
    <x v="3"/>
    <x v="6"/>
    <s v="Berlin"/>
    <s v="Enterprise"/>
    <s v="Online"/>
    <x v="6"/>
    <s v="Printers"/>
    <s v="PRN-3159"/>
    <n v="663.61"/>
    <n v="1002.11"/>
    <s v="High"/>
    <n v="4.5999999999999999E-2"/>
    <n v="17"/>
    <n v="16252.219979999998"/>
    <n v="11281.37"/>
    <n v="4970.8499799999972"/>
    <n v="0.30585667595670812"/>
    <s v="Delayed"/>
    <x v="0"/>
  </r>
  <r>
    <s v="ORD-2023-931633"/>
    <d v="2023-05-14T00:00:00"/>
    <s v="Q2-2023"/>
    <d v="2023-05-22T00:00:00"/>
    <n v="8"/>
    <x v="0"/>
    <x v="0"/>
    <s v="Mombasa"/>
    <s v="Small Business"/>
    <s v="Distributor"/>
    <x v="9"/>
    <s v="Printers"/>
    <s v="PRN-9488"/>
    <n v="432.01"/>
    <n v="913.78"/>
    <s v="High"/>
    <n v="4.9000000000000002E-2"/>
    <n v="12"/>
    <n v="10428.057360000001"/>
    <n v="5184.12"/>
    <n v="5243.9373600000008"/>
    <n v="0.50286809699711899"/>
    <s v="Delayed"/>
    <x v="0"/>
  </r>
  <r>
    <s v="ORD-2023-243704"/>
    <d v="2023-08-29T00:00:00"/>
    <s v="Q3-2023"/>
    <d v="2023-09-19T00:00:00"/>
    <n v="21"/>
    <x v="3"/>
    <x v="7"/>
    <s v="Lyon"/>
    <s v="Small Business"/>
    <s v="Direct"/>
    <x v="5"/>
    <s v="Printers"/>
    <s v="PRN-7079"/>
    <n v="784.46"/>
    <n v="1843.51"/>
    <s v="High"/>
    <n v="0.13800000000000001"/>
    <n v="23"/>
    <n v="36549.429260000004"/>
    <n v="18042.580000000002"/>
    <n v="18506.849260000003"/>
    <n v="0.50635125184441798"/>
    <s v="Delayed"/>
    <x v="0"/>
  </r>
  <r>
    <s v="ORD-2025-779659"/>
    <d v="2025-07-03T00:00:00"/>
    <s v="Q3-2025"/>
    <d v="2025-07-23T00:00:00"/>
    <n v="20"/>
    <x v="1"/>
    <x v="9"/>
    <s v="Beijing"/>
    <s v="Small Business"/>
    <s v="Online"/>
    <x v="12"/>
    <s v="Components"/>
    <s v="CMP-1220"/>
    <n v="647.36"/>
    <n v="1383.6"/>
    <s v="High"/>
    <n v="7.3999999999999996E-2"/>
    <n v="12"/>
    <n v="15374.563199999999"/>
    <n v="7768.32"/>
    <n v="7606.243199999999"/>
    <n v="0.49472906000997802"/>
    <s v="Delayed"/>
    <x v="0"/>
  </r>
  <r>
    <s v="ORD-2024-647571"/>
    <d v="2024-02-06T00:00:00"/>
    <s v="Q1-2024"/>
    <d v="2024-02-28T00:00:00"/>
    <n v="22"/>
    <x v="0"/>
    <x v="0"/>
    <s v="Kisumu"/>
    <s v="Non-Profit"/>
    <s v="Online"/>
    <x v="11"/>
    <s v="Monitors"/>
    <s v="MON-2462"/>
    <n v="834.93"/>
    <n v="1588.53"/>
    <s v="High"/>
    <n v="0.126"/>
    <n v="6"/>
    <n v="8330.2513199999994"/>
    <n v="5009.58"/>
    <n v="3320.6713199999995"/>
    <n v="0.39862798761274343"/>
    <s v="Delayed"/>
    <x v="0"/>
  </r>
  <r>
    <s v="ORD-2025-683043"/>
    <d v="2025-08-13T00:00:00"/>
    <s v="Q3-2025"/>
    <d v="2025-09-03T00:00:00"/>
    <n v="21"/>
    <x v="3"/>
    <x v="7"/>
    <s v="Paris"/>
    <s v="Education"/>
    <s v="Retail"/>
    <x v="2"/>
    <s v="Phones"/>
    <s v="PHN-9465"/>
    <n v="603.47"/>
    <n v="1344.05"/>
    <s v="High"/>
    <n v="0.20499999999999999"/>
    <n v="18"/>
    <n v="19233.355499999998"/>
    <n v="10862.460000000001"/>
    <n v="8370.8954999999969"/>
    <n v="0.43522803392262976"/>
    <s v="Delayed"/>
    <x v="1"/>
  </r>
  <r>
    <s v="ORD-2023-588455"/>
    <d v="2023-05-23T00:00:00"/>
    <s v="Q2-2023"/>
    <d v="2023-05-25T00:00:00"/>
    <n v="2"/>
    <x v="2"/>
    <x v="5"/>
    <s v="Rio de Janeiro"/>
    <s v="Enterprise"/>
    <s v="Retail"/>
    <x v="12"/>
    <s v="Printers"/>
    <s v="PRN-1271"/>
    <n v="690.49"/>
    <n v="1290.29"/>
    <s v="High"/>
    <n v="4.2000000000000003E-2"/>
    <n v="22"/>
    <n v="27194.152039999997"/>
    <n v="15190.78"/>
    <n v="12003.372039999997"/>
    <n v="0.44139534199647718"/>
    <s v="On-time"/>
    <x v="0"/>
  </r>
  <r>
    <s v="ORD-2024-641220"/>
    <d v="2024-05-10T00:00:00"/>
    <s v="Q2-2024"/>
    <d v="2024-05-16T00:00:00"/>
    <n v="6"/>
    <x v="3"/>
    <x v="8"/>
    <s v="Birmingham"/>
    <s v="Non-Profit"/>
    <s v="Direct"/>
    <x v="3"/>
    <s v="Laptops"/>
    <s v="LAP-1066"/>
    <n v="210.76"/>
    <n v="221.58"/>
    <s v="High"/>
    <n v="8.8999999999999996E-2"/>
    <n v="5"/>
    <n v="1009.2969000000002"/>
    <n v="1053.8"/>
    <n v="-44.50309999999979"/>
    <n v="-4.4093170205912434E-2"/>
    <s v="On-time"/>
    <x v="0"/>
  </r>
  <r>
    <s v="ORD-2023-799597"/>
    <d v="2023-03-14T00:00:00"/>
    <s v="Q1-2023"/>
    <d v="2023-03-18T00:00:00"/>
    <n v="4"/>
    <x v="3"/>
    <x v="6"/>
    <s v="Frankfurt"/>
    <s v="Enterprise"/>
    <s v="Direct"/>
    <x v="8"/>
    <s v="Components"/>
    <s v="CMP-8675"/>
    <n v="472.33"/>
    <n v="360.34"/>
    <s v="High"/>
    <n v="0.16500000000000001"/>
    <n v="14"/>
    <n v="4212.3745999999992"/>
    <n v="6612.62"/>
    <n v="-2400.2454000000007"/>
    <n v="-0.56980815523861561"/>
    <s v="On-time"/>
    <x v="0"/>
  </r>
  <r>
    <s v="ORD-2023-569862"/>
    <d v="2023-07-16T00:00:00"/>
    <s v="Q3-2023"/>
    <d v="2023-08-13T00:00:00"/>
    <n v="28"/>
    <x v="3"/>
    <x v="8"/>
    <s v="Manchester"/>
    <s v="Non-Profit"/>
    <s v="Online"/>
    <x v="1"/>
    <s v="Laptops"/>
    <s v="LAP-1178"/>
    <n v="1039.03"/>
    <n v="2545.81"/>
    <s v="High"/>
    <n v="0.216"/>
    <n v="21"/>
    <n v="41914.215840000004"/>
    <n v="21819.63"/>
    <n v="20094.585840000003"/>
    <n v="0.47942172929364774"/>
    <s v="Delayed"/>
    <x v="1"/>
  </r>
  <r>
    <s v="ORD-2023-609394"/>
    <d v="2023-04-16T00:00:00"/>
    <s v="Q2-2023"/>
    <d v="2023-04-19T00:00:00"/>
    <n v="3"/>
    <x v="3"/>
    <x v="6"/>
    <s v="Munich"/>
    <s v="Corporate"/>
    <s v="Direct"/>
    <x v="5"/>
    <s v="Accessories"/>
    <s v="ACC-1731"/>
    <n v="553.61"/>
    <n v="699.47"/>
    <s v="High"/>
    <n v="0.02"/>
    <n v="33"/>
    <n v="22620.859800000002"/>
    <n v="18269.13"/>
    <n v="4351.729800000001"/>
    <n v="0.19237685209472014"/>
    <s v="On-time"/>
    <x v="0"/>
  </r>
  <r>
    <s v="ORD-2024-105586"/>
    <d v="2024-01-02T00:00:00"/>
    <s v="Q1-2024"/>
    <d v="2024-01-15T00:00:00"/>
    <n v="13"/>
    <x v="1"/>
    <x v="2"/>
    <s v="Nagoya"/>
    <s v="Small Business"/>
    <s v="Marketplace"/>
    <x v="3"/>
    <s v="Networking"/>
    <s v="NET-1893"/>
    <n v="1219.06"/>
    <n v="2738.69"/>
    <s v="High"/>
    <n v="7.5999999999999998E-2"/>
    <n v="16"/>
    <n v="40488.792960000006"/>
    <n v="19504.96"/>
    <n v="20983.832960000007"/>
    <n v="0.51826274447673737"/>
    <s v="Delayed"/>
    <x v="0"/>
  </r>
  <r>
    <s v="ORD-2024-207792"/>
    <d v="2024-09-03T00:00:00"/>
    <s v="Q3-2024"/>
    <d v="2024-09-07T00:00:00"/>
    <n v="4"/>
    <x v="1"/>
    <x v="2"/>
    <s v="Tokyo"/>
    <s v="Small Business"/>
    <s v="Distributor"/>
    <x v="13"/>
    <s v="Printers"/>
    <s v="PRN-3917"/>
    <n v="43.23"/>
    <n v="94.78"/>
    <s v="High"/>
    <n v="9.0999999999999998E-2"/>
    <n v="55"/>
    <n v="4738.5261"/>
    <n v="2377.6499999999996"/>
    <n v="2360.8761000000004"/>
    <n v="0.49823005090127082"/>
    <s v="On-time"/>
    <x v="0"/>
  </r>
  <r>
    <s v="ORD-2025-417336"/>
    <d v="2025-08-30T00:00:00"/>
    <s v="Q3-2025"/>
    <d v="2025-09-03T00:00:00"/>
    <n v="4"/>
    <x v="3"/>
    <x v="7"/>
    <s v="Marseille"/>
    <s v="Small Business"/>
    <s v="Marketplace"/>
    <x v="1"/>
    <s v="Laptops"/>
    <s v="LAP-3220"/>
    <n v="1286.56"/>
    <n v="2777.35"/>
    <s v="High"/>
    <n v="0.13200000000000001"/>
    <n v="15"/>
    <n v="36161.097000000002"/>
    <n v="19298.399999999998"/>
    <n v="16862.697000000004"/>
    <n v="0.46632150014696744"/>
    <s v="On-time"/>
    <x v="0"/>
  </r>
  <r>
    <s v="ORD-2025-252117"/>
    <d v="2025-04-28T00:00:00"/>
    <s v="Q2-2025"/>
    <d v="2025-05-19T00:00:00"/>
    <n v="21"/>
    <x v="3"/>
    <x v="6"/>
    <s v="Berlin"/>
    <s v="Corporate"/>
    <s v="Distributor"/>
    <x v="5"/>
    <s v="Phones"/>
    <s v="PHN-2462"/>
    <n v="350.76"/>
    <n v="492.18"/>
    <s v="High"/>
    <n v="5.2999999999999999E-2"/>
    <n v="11"/>
    <n v="5127.0390600000001"/>
    <n v="3858.3599999999997"/>
    <n v="1268.6790600000004"/>
    <n v="0.24744868239798437"/>
    <s v="Delayed"/>
    <x v="0"/>
  </r>
  <r>
    <s v="ORD-2023-867175"/>
    <d v="2023-08-10T00:00:00"/>
    <s v="Q3-2023"/>
    <d v="2023-08-15T00:00:00"/>
    <n v="5"/>
    <x v="2"/>
    <x v="5"/>
    <s v="São Paulo"/>
    <s v="Education"/>
    <s v="Direct"/>
    <x v="3"/>
    <s v="Networking"/>
    <s v="NET-2894"/>
    <n v="1307.52"/>
    <n v="1921.65"/>
    <s v="High"/>
    <n v="0.123"/>
    <n v="13"/>
    <n v="21908.731650000002"/>
    <n v="16997.759999999998"/>
    <n v="4910.9716500000031"/>
    <n v="0.22415590863289445"/>
    <s v="On-time"/>
    <x v="0"/>
  </r>
  <r>
    <s v="ORD-2024-382152"/>
    <d v="2024-12-08T00:00:00"/>
    <s v="Q4-2024"/>
    <d v="2024-12-08T00:00:00"/>
    <n v="0"/>
    <x v="3"/>
    <x v="7"/>
    <s v="Lyon"/>
    <s v="Enterprise"/>
    <s v="Retail"/>
    <x v="10"/>
    <s v="Components"/>
    <s v="CMP-2335"/>
    <n v="257.44"/>
    <n v="290.33"/>
    <s v="High"/>
    <n v="9.1999999999999998E-2"/>
    <n v="23"/>
    <n v="6063.2517199999993"/>
    <n v="5921.12"/>
    <n v="142.1317199999994"/>
    <n v="2.3441500792581216E-2"/>
    <s v="On-time"/>
    <x v="0"/>
  </r>
  <r>
    <s v="ORD-2023-597666"/>
    <d v="2023-10-25T00:00:00"/>
    <s v="Q4-2023"/>
    <d v="2023-11-24T00:00:00"/>
    <n v="30"/>
    <x v="3"/>
    <x v="7"/>
    <s v="Paris"/>
    <s v="Enterprise"/>
    <s v="Distributor"/>
    <x v="0"/>
    <s v="Phones"/>
    <s v="PHN-5938"/>
    <n v="287.85000000000002"/>
    <n v="602.91999999999996"/>
    <s v="High"/>
    <n v="0.222"/>
    <n v="11"/>
    <n v="5159.7893599999998"/>
    <n v="3166.3500000000004"/>
    <n v="1993.4393599999994"/>
    <n v="0.38634122847216373"/>
    <s v="Delayed"/>
    <x v="1"/>
  </r>
  <r>
    <s v="ORD-2024-371409"/>
    <d v="2024-11-17T00:00:00"/>
    <s v="Q4-2024"/>
    <d v="2024-11-28T00:00:00"/>
    <n v="11"/>
    <x v="2"/>
    <x v="3"/>
    <s v="Unknown"/>
    <s v="Consumer"/>
    <s v="Distributor"/>
    <x v="8"/>
    <s v="Printers"/>
    <s v="PRN-1371"/>
    <n v="1008.16"/>
    <n v="2077.5"/>
    <s v="High"/>
    <n v="7.3999999999999996E-2"/>
    <n v="15"/>
    <n v="28856.475000000002"/>
    <n v="15122.4"/>
    <n v="13734.075000000003"/>
    <n v="0.47594430712691005"/>
    <s v="Delayed"/>
    <x v="0"/>
  </r>
  <r>
    <s v="ORD-2024-973420"/>
    <d v="2024-05-12T00:00:00"/>
    <s v="Q2-2024"/>
    <d v="2024-05-24T00:00:00"/>
    <n v="12"/>
    <x v="3"/>
    <x v="8"/>
    <s v="Manchester"/>
    <s v="Education"/>
    <s v="Marketplace"/>
    <x v="11"/>
    <s v="Printers"/>
    <s v="PRN-5813"/>
    <n v="111.02"/>
    <n v="172.88"/>
    <s v="High"/>
    <n v="0.19700000000000001"/>
    <n v="29"/>
    <n v="4025.8565599999993"/>
    <n v="3219.58"/>
    <n v="806.27655999999934"/>
    <n v="0.20027453735212053"/>
    <s v="Delayed"/>
    <x v="0"/>
  </r>
  <r>
    <s v="ORD-2025-254721"/>
    <d v="2025-05-15T00:00:00"/>
    <s v="Q2-2025"/>
    <d v="2025-06-05T00:00:00"/>
    <n v="21"/>
    <x v="1"/>
    <x v="2"/>
    <s v="Osaka"/>
    <s v="Enterprise"/>
    <s v="Direct"/>
    <x v="10"/>
    <s v="Phones"/>
    <s v="PHN-6480"/>
    <n v="1466.5"/>
    <n v="2778.74"/>
    <s v="High"/>
    <n v="0.13500000000000001"/>
    <n v="4"/>
    <n v="9614.4403999999995"/>
    <n v="5866"/>
    <n v="3748.4403999999995"/>
    <n v="0.38987608680792279"/>
    <s v="Delayed"/>
    <x v="0"/>
  </r>
  <r>
    <s v="ORD-2024-247032"/>
    <d v="2024-04-21T00:00:00"/>
    <s v="Q2-2024"/>
    <d v="2024-05-19T00:00:00"/>
    <n v="28"/>
    <x v="0"/>
    <x v="1"/>
    <s v="Lagos"/>
    <s v="Corporate"/>
    <s v="Distributor"/>
    <x v="8"/>
    <s v="Accessories"/>
    <s v="ACC-2990"/>
    <n v="187.22"/>
    <n v="309.47000000000003"/>
    <s v="High"/>
    <n v="0"/>
    <n v="5"/>
    <n v="1547.3500000000001"/>
    <n v="936.1"/>
    <n v="611.25000000000011"/>
    <n v="0.39503021294471197"/>
    <s v="Delayed"/>
    <x v="0"/>
  </r>
  <r>
    <s v="ORD-2024-792353"/>
    <d v="2024-08-19T00:00:00"/>
    <s v="Q3-2024"/>
    <d v="2024-09-07T00:00:00"/>
    <n v="19"/>
    <x v="3"/>
    <x v="7"/>
    <s v="Lyon"/>
    <s v="Corporate"/>
    <s v="Direct"/>
    <x v="1"/>
    <s v="Components"/>
    <s v="CMP-5435"/>
    <n v="297.58999999999997"/>
    <n v="666.41"/>
    <s v="High"/>
    <n v="0"/>
    <n v="10"/>
    <n v="6664.0999999999995"/>
    <n v="2975.8999999999996"/>
    <n v="3688.2"/>
    <n v="0.55344307558409989"/>
    <s v="Delayed"/>
    <x v="0"/>
  </r>
  <r>
    <s v="ORD-2025-703623"/>
    <d v="2025-07-23T00:00:00"/>
    <s v="Q3-2025"/>
    <d v="2025-08-19T00:00:00"/>
    <n v="27"/>
    <x v="1"/>
    <x v="2"/>
    <s v="Nagoya"/>
    <s v="Consumer"/>
    <s v="Marketplace"/>
    <x v="5"/>
    <s v="Accessories"/>
    <s v="ACC-1596"/>
    <n v="896.09"/>
    <n v="744.27"/>
    <s v="High"/>
    <n v="8.3000000000000004E-2"/>
    <n v="11"/>
    <n v="7507.4514899999995"/>
    <n v="9856.99"/>
    <n v="-2349.5385100000003"/>
    <n v="-0.31296086469950679"/>
    <s v="Delayed"/>
    <x v="0"/>
  </r>
  <r>
    <s v="ORD-2024-516704"/>
    <d v="2024-03-01T00:00:00"/>
    <s v="Q1-2024"/>
    <d v="2024-03-08T00:00:00"/>
    <n v="7"/>
    <x v="2"/>
    <x v="5"/>
    <s v="São Paulo"/>
    <s v="Non-Profit"/>
    <s v="Direct"/>
    <x v="2"/>
    <s v="Phones"/>
    <s v="PHN-7852"/>
    <n v="5.34"/>
    <n v="12.69"/>
    <s v="High"/>
    <n v="0.13200000000000001"/>
    <n v="10"/>
    <n v="110.14919999999999"/>
    <n v="53.4"/>
    <n v="56.749199999999995"/>
    <n v="0.51520301554618642"/>
    <s v="On-time"/>
    <x v="0"/>
  </r>
  <r>
    <s v="ORD-2024-578646"/>
    <d v="2024-05-27T00:00:00"/>
    <s v="Q2-2024"/>
    <d v="2024-06-17T00:00:00"/>
    <n v="21"/>
    <x v="1"/>
    <x v="4"/>
    <s v="Delhi"/>
    <s v="Small Business"/>
    <s v="Online"/>
    <x v="10"/>
    <s v="Accessories"/>
    <s v="ACC-7240"/>
    <n v="465.02"/>
    <n v="651.55999999999995"/>
    <s v="High"/>
    <n v="4.2000000000000003E-2"/>
    <n v="19"/>
    <n v="11859.695119999998"/>
    <n v="8835.3799999999992"/>
    <n v="3024.3151199999993"/>
    <n v="0.25500783025187918"/>
    <s v="Delayed"/>
    <x v="0"/>
  </r>
  <r>
    <s v="ORD-2024-433936"/>
    <d v="2024-08-04T00:00:00"/>
    <s v="Q3-2024"/>
    <d v="2024-08-17T00:00:00"/>
    <n v="13"/>
    <x v="2"/>
    <x v="10"/>
    <s v="Austin"/>
    <s v="Consumer"/>
    <s v="Retail"/>
    <x v="14"/>
    <s v="Monitors"/>
    <s v="MON-8867"/>
    <n v="352.79"/>
    <n v="754.22"/>
    <s v="High"/>
    <n v="0.113"/>
    <n v="7"/>
    <n v="4682.9519799999998"/>
    <n v="2469.5300000000002"/>
    <n v="2213.4219799999996"/>
    <n v="0.47265528014233443"/>
    <s v="Delayed"/>
    <x v="0"/>
  </r>
  <r>
    <s v="ORD-2023-434071"/>
    <d v="2023-06-20T00:00:00"/>
    <s v="Q2-2023"/>
    <d v="2023-07-04T00:00:00"/>
    <n v="14"/>
    <x v="2"/>
    <x v="5"/>
    <s v="Brasília"/>
    <s v="Non-Profit"/>
    <s v="Direct"/>
    <x v="0"/>
    <s v="Networking"/>
    <s v="NET-1228"/>
    <n v="1292.8599999999999"/>
    <n v="2981.01"/>
    <s v="High"/>
    <n v="0.14199999999999999"/>
    <n v="12"/>
    <n v="30692.47896"/>
    <n v="15514.32"/>
    <n v="15178.158960000001"/>
    <n v="0.49452372288927687"/>
    <s v="Delayed"/>
    <x v="0"/>
  </r>
  <r>
    <s v="ORD-2024-728474"/>
    <d v="2024-09-09T00:00:00"/>
    <s v="Q3-2024"/>
    <d v="2024-09-13T00:00:00"/>
    <n v="4"/>
    <x v="3"/>
    <x v="8"/>
    <s v="London"/>
    <s v="Consumer"/>
    <s v="Marketplace"/>
    <x v="9"/>
    <s v="Networking"/>
    <s v="NET-1145"/>
    <n v="1133.08"/>
    <n v="976.17"/>
    <s v="High"/>
    <n v="4.2000000000000003E-2"/>
    <n v="27"/>
    <n v="25249.613219999999"/>
    <n v="30593.159999999996"/>
    <n v="-5343.5467799999969"/>
    <n v="-0.21162885678452373"/>
    <s v="On-time"/>
    <x v="0"/>
  </r>
  <r>
    <s v="ORD-2023-406606"/>
    <d v="2023-10-25T00:00:00"/>
    <s v="Q4-2023"/>
    <d v="2023-10-28T00:00:00"/>
    <n v="3"/>
    <x v="2"/>
    <x v="5"/>
    <s v="Brasília"/>
    <s v="Corporate"/>
    <s v="Distributor"/>
    <x v="4"/>
    <s v="Accessories"/>
    <s v="ACC-2867"/>
    <n v="509.31"/>
    <n v="1145.9000000000001"/>
    <s v="High"/>
    <n v="5.7000000000000002E-2"/>
    <n v="8"/>
    <n v="8644.6696000000011"/>
    <n v="4074.48"/>
    <n v="4570.1896000000015"/>
    <n v="0.52867140231709964"/>
    <s v="On-time"/>
    <x v="0"/>
  </r>
  <r>
    <s v="ORD-2025-823055"/>
    <d v="2025-09-08T00:00:00"/>
    <s v="Q3-2025"/>
    <d v="2025-10-05T00:00:00"/>
    <n v="27"/>
    <x v="2"/>
    <x v="5"/>
    <s v="Rio de Janeiro"/>
    <s v="Education"/>
    <s v="Online"/>
    <x v="0"/>
    <s v="Monitors"/>
    <s v="MON-9274"/>
    <n v="660.78"/>
    <n v="1630.39"/>
    <s v="High"/>
    <n v="0.218"/>
    <n v="13"/>
    <n v="16574.544740000001"/>
    <n v="8590.14"/>
    <n v="7984.4047400000018"/>
    <n v="0.48172694123724097"/>
    <s v="Delayed"/>
    <x v="1"/>
  </r>
  <r>
    <s v="ORD-2023-573656"/>
    <d v="2023-05-02T00:00:00"/>
    <s v="Q2-2023"/>
    <d v="2023-05-16T00:00:00"/>
    <n v="14"/>
    <x v="1"/>
    <x v="4"/>
    <s v="Bengaluru"/>
    <s v="Non-Profit"/>
    <s v="Retail"/>
    <x v="4"/>
    <s v="Monitors"/>
    <s v="MON-4830"/>
    <n v="475.37"/>
    <n v="963.73"/>
    <s v="High"/>
    <n v="4.1000000000000002E-2"/>
    <n v="22"/>
    <n v="20332.775539999999"/>
    <n v="10458.14"/>
    <n v="9874.6355399999993"/>
    <n v="0.48565113604750881"/>
    <s v="Delayed"/>
    <x v="0"/>
  </r>
  <r>
    <s v="ORD-2024-567435"/>
    <d v="2024-04-26T00:00:00"/>
    <s v="Q2-2024"/>
    <d v="2024-05-03T00:00:00"/>
    <n v="7"/>
    <x v="3"/>
    <x v="8"/>
    <s v="London"/>
    <s v="Non-Profit"/>
    <s v="Distributor"/>
    <x v="13"/>
    <s v="Phones"/>
    <s v="PHN-9107"/>
    <n v="1232.77"/>
    <n v="891.73"/>
    <s v="High"/>
    <n v="0.16700000000000001"/>
    <n v="10"/>
    <n v="7428.1108999999988"/>
    <n v="12327.7"/>
    <n v="-4899.589100000002"/>
    <n v="-0.65960096260813805"/>
    <s v="On-time"/>
    <x v="0"/>
  </r>
  <r>
    <s v="ORD-2023-744942"/>
    <d v="2023-02-23T00:00:00"/>
    <s v="Q1-2023"/>
    <d v="2023-03-18T00:00:00"/>
    <n v="23"/>
    <x v="1"/>
    <x v="9"/>
    <s v="Beijing"/>
    <s v="Education"/>
    <s v="Distributor"/>
    <x v="11"/>
    <s v="Printers"/>
    <s v="PRN-1060"/>
    <n v="770.11"/>
    <n v="1667.82"/>
    <s v="High"/>
    <n v="6.9000000000000006E-2"/>
    <n v="7"/>
    <n v="10869.182940000001"/>
    <n v="5390.77"/>
    <n v="5478.4129400000002"/>
    <n v="0.50403171703355287"/>
    <s v="Delayed"/>
    <x v="0"/>
  </r>
  <r>
    <s v="ORD-2025-331237"/>
    <d v="2025-03-24T00:00:00"/>
    <s v="Q1-2025"/>
    <d v="2025-03-25T00:00:00"/>
    <n v="1"/>
    <x v="1"/>
    <x v="9"/>
    <s v="Beijing"/>
    <s v="Non-Profit"/>
    <s v="Online"/>
    <x v="3"/>
    <s v="Networking"/>
    <s v="NET-8329"/>
    <n v="1133.03"/>
    <n v="1921.51"/>
    <s v="High"/>
    <n v="0.10100000000000001"/>
    <n v="5"/>
    <n v="8637.1874499999994"/>
    <n v="5665.15"/>
    <n v="2972.0374499999998"/>
    <n v="0.3440978289755654"/>
    <s v="On-time"/>
    <x v="0"/>
  </r>
  <r>
    <s v="ORD-2025-680118"/>
    <d v="2025-03-10T00:00:00"/>
    <s v="Q1-2025"/>
    <d v="2025-03-27T00:00:00"/>
    <n v="17"/>
    <x v="2"/>
    <x v="5"/>
    <s v="Rio de Janeiro"/>
    <s v="Enterprise"/>
    <s v="Direct"/>
    <x v="9"/>
    <s v="Networking"/>
    <s v="NET-6269"/>
    <n v="996.73"/>
    <n v="1217.43"/>
    <s v="High"/>
    <n v="7.0000000000000007E-2"/>
    <n v="9"/>
    <n v="10189.8891"/>
    <n v="8970.57"/>
    <n v="1219.3191000000006"/>
    <n v="0.11965970267527255"/>
    <s v="Delayed"/>
    <x v="0"/>
  </r>
  <r>
    <s v="ORD-2024-310809"/>
    <d v="2024-04-05T00:00:00"/>
    <s v="Q2-2024"/>
    <d v="2024-04-09T00:00:00"/>
    <n v="4"/>
    <x v="0"/>
    <x v="1"/>
    <s v="Lagos"/>
    <s v="Non-Profit"/>
    <s v="Direct"/>
    <x v="11"/>
    <s v="Components"/>
    <s v="CMP-6529"/>
    <n v="395.07"/>
    <n v="970.27"/>
    <s v="High"/>
    <n v="0.123"/>
    <n v="38"/>
    <n v="32335.21802"/>
    <n v="15012.66"/>
    <n v="17322.55802"/>
    <n v="0.53571799049833657"/>
    <s v="On-time"/>
    <x v="0"/>
  </r>
  <r>
    <s v="ORD-2025-474368"/>
    <d v="2025-04-27T00:00:00"/>
    <s v="Q2-2025"/>
    <d v="2025-05-17T00:00:00"/>
    <n v="20"/>
    <x v="2"/>
    <x v="10"/>
    <s v="Austin"/>
    <s v="Corporate"/>
    <s v="Direct"/>
    <x v="13"/>
    <s v="Phones"/>
    <s v="PHN-8776"/>
    <n v="932.26"/>
    <n v="1624.67"/>
    <s v="High"/>
    <n v="0.23499999999999999"/>
    <n v="28"/>
    <n v="34800.431400000001"/>
    <n v="26103.279999999999"/>
    <n v="8697.1514000000025"/>
    <n v="0.24991504559337163"/>
    <s v="Delayed"/>
    <x v="1"/>
  </r>
  <r>
    <s v="ORD-2024-732543"/>
    <d v="2024-10-24T00:00:00"/>
    <s v="Q4-2024"/>
    <d v="2024-10-28T00:00:00"/>
    <n v="4"/>
    <x v="1"/>
    <x v="9"/>
    <s v="Shanghai"/>
    <s v="Small Business"/>
    <s v="Distributor"/>
    <x v="2"/>
    <s v="Networking"/>
    <s v="NET-3728"/>
    <n v="1331.77"/>
    <n v="2606.11"/>
    <s v="High"/>
    <n v="0.02"/>
    <n v="6"/>
    <n v="15323.926799999999"/>
    <n v="7990.62"/>
    <n v="7333.3067999999994"/>
    <n v="0.47855271665745619"/>
    <s v="On-time"/>
    <x v="0"/>
  </r>
  <r>
    <s v="ORD-2023-867166"/>
    <d v="2023-04-13T00:00:00"/>
    <s v="Q2-2023"/>
    <d v="2023-04-20T00:00:00"/>
    <n v="7"/>
    <x v="3"/>
    <x v="7"/>
    <s v="Lyon"/>
    <s v="Small Business"/>
    <s v="Online"/>
    <x v="8"/>
    <s v="Laptops"/>
    <s v="LAP-3565"/>
    <n v="227.02"/>
    <n v="434.72"/>
    <s v="High"/>
    <n v="9.8000000000000004E-2"/>
    <n v="10"/>
    <n v="3921.1744000000008"/>
    <n v="2270.2000000000003"/>
    <n v="1650.9744000000005"/>
    <n v="0.42104079838938052"/>
    <s v="On-time"/>
    <x v="0"/>
  </r>
  <r>
    <s v="ORD-2024-776337"/>
    <d v="2024-11-12T00:00:00"/>
    <s v="Q4-2024"/>
    <d v="2024-11-21T00:00:00"/>
    <n v="9"/>
    <x v="1"/>
    <x v="4"/>
    <s v="Mumbai"/>
    <s v="Corporate"/>
    <s v="Direct"/>
    <x v="10"/>
    <s v="Laptops"/>
    <s v="LAP-5078"/>
    <n v="903.41"/>
    <n v="1860.41"/>
    <s v="High"/>
    <n v="0.108"/>
    <n v="5"/>
    <n v="8297.4286000000011"/>
    <n v="4517.05"/>
    <n v="3780.3786000000009"/>
    <n v="0.455608451996803"/>
    <s v="Delayed"/>
    <x v="0"/>
  </r>
  <r>
    <s v="ORD-2023-913592"/>
    <d v="2023-05-10T00:00:00"/>
    <s v="Q2-2023"/>
    <d v="2023-05-14T00:00:00"/>
    <n v="4"/>
    <x v="1"/>
    <x v="4"/>
    <s v="Delhi"/>
    <s v="Non-Profit"/>
    <s v="Distributor"/>
    <x v="0"/>
    <s v="Monitors"/>
    <s v="MON-2465"/>
    <n v="622.6"/>
    <n v="833.69"/>
    <s v="High"/>
    <n v="0.20899999999999999"/>
    <n v="14"/>
    <n v="9232.2830599999998"/>
    <n v="8716.4"/>
    <n v="515.88306000000011"/>
    <n v="5.5878167582959715E-2"/>
    <s v="On-time"/>
    <x v="1"/>
  </r>
  <r>
    <s v="ORD-2024-961501"/>
    <d v="2024-03-02T00:00:00"/>
    <s v="Q1-2024"/>
    <d v="2024-03-23T00:00:00"/>
    <n v="21"/>
    <x v="2"/>
    <x v="10"/>
    <s v="Chicago"/>
    <s v="Small Business"/>
    <s v="Online"/>
    <x v="9"/>
    <s v="Components"/>
    <s v="CMP-3223"/>
    <n v="225.01"/>
    <n v="333.48"/>
    <s v="High"/>
    <n v="0.11899999999999999"/>
    <n v="12"/>
    <n v="3525.5505600000001"/>
    <n v="2700.12"/>
    <n v="825.43056000000024"/>
    <n v="0.23412813004729685"/>
    <s v="Delayed"/>
    <x v="0"/>
  </r>
  <r>
    <s v="ORD-2024-964950"/>
    <d v="2024-10-10T00:00:00"/>
    <s v="Q4-2024"/>
    <d v="2024-10-11T00:00:00"/>
    <n v="1"/>
    <x v="3"/>
    <x v="8"/>
    <s v="Manchester"/>
    <s v="Non-Profit"/>
    <s v="Distributor"/>
    <x v="4"/>
    <s v="Components"/>
    <s v="CMP-8127"/>
    <n v="1389.46"/>
    <n v="1784.7"/>
    <s v="High"/>
    <n v="0.14599999999999999"/>
    <n v="33"/>
    <n v="50296.415399999998"/>
    <n v="45852.18"/>
    <n v="4444.2353999999978"/>
    <n v="8.8360877503011831E-2"/>
    <s v="On-time"/>
    <x v="0"/>
  </r>
  <r>
    <s v="ORD-2023-349264"/>
    <d v="2023-06-01T00:00:00"/>
    <s v="Q2-2023"/>
    <d v="2023-06-08T00:00:00"/>
    <n v="7"/>
    <x v="3"/>
    <x v="6"/>
    <s v="Frankfurt"/>
    <s v="Consumer"/>
    <s v="Online"/>
    <x v="8"/>
    <s v="Phones"/>
    <s v="PHN-1924"/>
    <n v="804.17"/>
    <n v="1072.29"/>
    <s v="High"/>
    <n v="3.2000000000000001E-2"/>
    <n v="5"/>
    <n v="5189.8836000000001"/>
    <n v="4020.85"/>
    <n v="1169.0336000000002"/>
    <n v="0.2252523736755869"/>
    <s v="On-time"/>
    <x v="0"/>
  </r>
  <r>
    <s v="ORD-2025-137394"/>
    <d v="2025-01-04T00:00:00"/>
    <s v="Q1-2025"/>
    <d v="2025-01-05T00:00:00"/>
    <n v="1"/>
    <x v="1"/>
    <x v="4"/>
    <s v="Delhi"/>
    <s v="Education"/>
    <s v="Retail"/>
    <x v="2"/>
    <s v="Components"/>
    <s v="CMP-1156"/>
    <n v="1428.33"/>
    <n v="3028.05"/>
    <s v="High"/>
    <n v="0"/>
    <n v="11"/>
    <n v="33308.550000000003"/>
    <n v="15711.63"/>
    <n v="17596.920000000006"/>
    <n v="0.52830039134096207"/>
    <s v="On-time"/>
    <x v="0"/>
  </r>
  <r>
    <s v="ORD-2025-635337"/>
    <d v="2025-08-05T00:00:00"/>
    <s v="Q3-2025"/>
    <d v="2025-08-28T00:00:00"/>
    <n v="23"/>
    <x v="1"/>
    <x v="4"/>
    <s v="Mumbai"/>
    <s v="Non-Profit"/>
    <s v="Distributor"/>
    <x v="13"/>
    <s v="Laptops"/>
    <s v="LAP-3905"/>
    <n v="638.54"/>
    <n v="987.24"/>
    <s v="High"/>
    <n v="0"/>
    <n v="11"/>
    <n v="10859.64"/>
    <n v="7023.94"/>
    <n v="3835.7"/>
    <n v="0.35320692030306716"/>
    <s v="Delayed"/>
    <x v="0"/>
  </r>
  <r>
    <s v="ORD-2023-568013"/>
    <d v="2023-09-30T00:00:00"/>
    <s v="Q3-2023"/>
    <d v="2023-10-30T00:00:00"/>
    <n v="30"/>
    <x v="1"/>
    <x v="2"/>
    <s v="Tokyo"/>
    <s v="Enterprise"/>
    <s v="Online"/>
    <x v="14"/>
    <s v="Printers"/>
    <s v="PRN-1786"/>
    <n v="649.13"/>
    <n v="975.43"/>
    <s v="High"/>
    <n v="0.157"/>
    <n v="27"/>
    <n v="22201.762229999997"/>
    <n v="17526.509999999998"/>
    <n v="4675.2522299999982"/>
    <n v="0.21058023149543473"/>
    <s v="Delayed"/>
    <x v="0"/>
  </r>
  <r>
    <s v="ORD-2025-828263"/>
    <d v="2025-05-17T00:00:00"/>
    <s v="Q2-2025"/>
    <d v="2025-05-30T00:00:00"/>
    <n v="13"/>
    <x v="0"/>
    <x v="1"/>
    <s v="Lagos"/>
    <s v="Consumer"/>
    <s v="Distributor"/>
    <x v="9"/>
    <s v="Accessories"/>
    <s v="ACC-3349"/>
    <n v="66.400000000000006"/>
    <n v="141.43"/>
    <s v="High"/>
    <n v="0.107"/>
    <n v="8"/>
    <n v="1010.3759200000001"/>
    <n v="531.20000000000005"/>
    <n v="479.17592000000002"/>
    <n v="0.47425508715607551"/>
    <s v="Delayed"/>
    <x v="0"/>
  </r>
  <r>
    <s v="ORD-2024-402240"/>
    <d v="2024-05-01T00:00:00"/>
    <s v="Q2-2024"/>
    <d v="2024-05-26T00:00:00"/>
    <n v="25"/>
    <x v="3"/>
    <x v="6"/>
    <s v="Berlin"/>
    <s v="Non-Profit"/>
    <s v="Retail"/>
    <x v="5"/>
    <s v="Networking"/>
    <s v="NET-4228"/>
    <n v="930.71"/>
    <n v="1625.42"/>
    <s v="High"/>
    <n v="0.13800000000000001"/>
    <n v="7"/>
    <n v="9807.7842799999999"/>
    <n v="6514.97"/>
    <n v="3292.8142799999996"/>
    <n v="0.33573477821231196"/>
    <s v="Delayed"/>
    <x v="0"/>
  </r>
  <r>
    <s v="ORD-2023-125739"/>
    <d v="2023-05-01T00:00:00"/>
    <s v="Q2-2023"/>
    <d v="2023-05-18T00:00:00"/>
    <n v="17"/>
    <x v="0"/>
    <x v="1"/>
    <s v="Port Harcourt"/>
    <s v="Corporate"/>
    <s v="Direct"/>
    <x v="9"/>
    <s v="Components"/>
    <s v="CMP-5633"/>
    <n v="327.97"/>
    <n v="299.94"/>
    <s v="High"/>
    <n v="4.9000000000000002E-2"/>
    <n v="3"/>
    <n v="855.72881999999993"/>
    <n v="983.91000000000008"/>
    <n v="-128.18118000000015"/>
    <n v="-0.14979182306843442"/>
    <s v="Delayed"/>
    <x v="0"/>
  </r>
  <r>
    <s v="ORD-2024-892879"/>
    <d v="2024-07-09T00:00:00"/>
    <s v="Q3-2024"/>
    <d v="2024-08-08T00:00:00"/>
    <n v="30"/>
    <x v="3"/>
    <x v="7"/>
    <s v="Marseille"/>
    <s v="Corporate"/>
    <s v="Direct"/>
    <x v="1"/>
    <s v="Components"/>
    <s v="CMP-5825"/>
    <n v="1062.3800000000001"/>
    <n v="1503.96"/>
    <s v="High"/>
    <n v="0.18"/>
    <n v="6"/>
    <n v="7399.4832000000006"/>
    <n v="6374.2800000000007"/>
    <n v="1025.2031999999999"/>
    <n v="0.13855064905073369"/>
    <s v="Delayed"/>
    <x v="0"/>
  </r>
  <r>
    <s v="ORD-2023-472050"/>
    <d v="2023-05-10T00:00:00"/>
    <s v="Q2-2023"/>
    <d v="2023-05-27T00:00:00"/>
    <n v="17"/>
    <x v="1"/>
    <x v="4"/>
    <s v="Mumbai"/>
    <s v="Consumer"/>
    <s v="Retail"/>
    <x v="12"/>
    <s v="Laptops"/>
    <s v="LAP-6499"/>
    <n v="1286.1600000000001"/>
    <n v="3101.11"/>
    <s v="High"/>
    <n v="0.1"/>
    <n v="23"/>
    <n v="64192.976999999999"/>
    <n v="29581.68"/>
    <n v="34611.296999999999"/>
    <n v="0.53917575749758417"/>
    <s v="Delayed"/>
    <x v="0"/>
  </r>
  <r>
    <s v="ORD-2024-468615"/>
    <d v="2024-07-09T00:00:00"/>
    <s v="Q3-2024"/>
    <d v="2024-07-12T00:00:00"/>
    <n v="3"/>
    <x v="1"/>
    <x v="9"/>
    <s v="Shanghai"/>
    <s v="Small Business"/>
    <s v="Retail"/>
    <x v="14"/>
    <s v="Accessories"/>
    <s v="ACC-3721"/>
    <n v="748.39"/>
    <n v="979.42"/>
    <s v="High"/>
    <n v="0"/>
    <n v="23"/>
    <n v="22526.66"/>
    <n v="17212.97"/>
    <n v="5313.6899999999987"/>
    <n v="0.23588450307324738"/>
    <s v="On-time"/>
    <x v="0"/>
  </r>
  <r>
    <s v="ORD-2024-833375"/>
    <d v="2024-04-24T00:00:00"/>
    <s v="Q2-2024"/>
    <d v="2024-05-10T00:00:00"/>
    <n v="16"/>
    <x v="0"/>
    <x v="0"/>
    <s v="Kisumu"/>
    <s v="Non-Profit"/>
    <s v="Online"/>
    <x v="13"/>
    <s v="Monitors"/>
    <s v="MON-6190"/>
    <n v="513.30999999999995"/>
    <n v="1186.26"/>
    <s v="High"/>
    <n v="9.4E-2"/>
    <n v="15"/>
    <n v="16121.273400000002"/>
    <n v="7699.65"/>
    <n v="8421.6234000000022"/>
    <n v="0.52239194702820446"/>
    <s v="Delayed"/>
    <x v="0"/>
  </r>
  <r>
    <s v="ORD-2024-206311"/>
    <d v="2024-01-13T00:00:00"/>
    <s v="Q1-2024"/>
    <d v="2024-01-15T00:00:00"/>
    <n v="2"/>
    <x v="2"/>
    <x v="10"/>
    <s v="San Francisco"/>
    <s v="Non-Profit"/>
    <s v="Direct"/>
    <x v="6"/>
    <s v="Components"/>
    <s v="CMP-2410"/>
    <n v="1061.3699999999999"/>
    <n v="1938.33"/>
    <s v="High"/>
    <n v="0.17"/>
    <n v="4"/>
    <n v="6435.2555999999995"/>
    <n v="4245.4799999999996"/>
    <n v="2189.7755999999999"/>
    <n v="0.34027795259600879"/>
    <s v="On-time"/>
    <x v="0"/>
  </r>
  <r>
    <s v="ORD-2024-364080"/>
    <d v="2024-04-16T00:00:00"/>
    <s v="Q2-2024"/>
    <d v="2024-04-27T00:00:00"/>
    <n v="11"/>
    <x v="0"/>
    <x v="0"/>
    <s v="Nakuru"/>
    <s v="Enterprise"/>
    <s v="Online"/>
    <x v="14"/>
    <s v="Printers"/>
    <s v="PRN-2641"/>
    <n v="401.3"/>
    <n v="826.47"/>
    <s v="High"/>
    <n v="0.22500000000000001"/>
    <n v="13"/>
    <n v="8326.6852500000005"/>
    <n v="5216.9000000000005"/>
    <n v="3109.7852499999999"/>
    <n v="0.37347217489696755"/>
    <s v="Delayed"/>
    <x v="1"/>
  </r>
  <r>
    <s v="ORD-2025-460466"/>
    <d v="2025-02-07T00:00:00"/>
    <s v="Q1-2025"/>
    <d v="2025-02-16T00:00:00"/>
    <n v="9"/>
    <x v="0"/>
    <x v="1"/>
    <s v="Lagos"/>
    <s v="Small Business"/>
    <s v="Distributor"/>
    <x v="0"/>
    <s v="Printers"/>
    <s v="PRN-1882"/>
    <n v="90.68"/>
    <n v="118.17"/>
    <s v="High"/>
    <n v="0.13500000000000001"/>
    <n v="21"/>
    <n v="2146.5580500000001"/>
    <n v="1904.2800000000002"/>
    <n v="242.27804999999989"/>
    <n v="0.11286815653552899"/>
    <s v="Delayed"/>
    <x v="0"/>
  </r>
  <r>
    <s v="ORD-2023-700699"/>
    <d v="2023-01-12T00:00:00"/>
    <s v="Q1-2023"/>
    <d v="2023-01-26T00:00:00"/>
    <n v="14"/>
    <x v="1"/>
    <x v="9"/>
    <s v="Shenzhen"/>
    <s v="Non-Profit"/>
    <s v="Retail"/>
    <x v="12"/>
    <s v="Printers"/>
    <s v="PRN-1641"/>
    <n v="1083.0899999999999"/>
    <n v="1425.87"/>
    <s v="High"/>
    <n v="0"/>
    <n v="8"/>
    <n v="11406.96"/>
    <n v="8664.7199999999993"/>
    <n v="2742.24"/>
    <n v="0.24040059752992909"/>
    <s v="Delayed"/>
    <x v="0"/>
  </r>
  <r>
    <s v="ORD-2024-713332"/>
    <d v="2024-06-05T00:00:00"/>
    <s v="Q2-2024"/>
    <d v="2024-06-23T00:00:00"/>
    <n v="18"/>
    <x v="0"/>
    <x v="0"/>
    <s v="Nairobi"/>
    <s v="Consumer"/>
    <s v="Distributor"/>
    <x v="14"/>
    <s v="Laptops"/>
    <s v="LAP-1739"/>
    <n v="1208.74"/>
    <n v="1594.78"/>
    <s v="High"/>
    <n v="5.8999999999999997E-2"/>
    <n v="39"/>
    <n v="58526.83122"/>
    <n v="47140.86"/>
    <n v="11385.971219999999"/>
    <n v="0.1945427589817838"/>
    <s v="Delayed"/>
    <x v="0"/>
  </r>
  <r>
    <s v="ORD-2023-640022"/>
    <d v="2023-08-24T00:00:00"/>
    <s v="Q3-2023"/>
    <d v="2023-09-20T00:00:00"/>
    <n v="27"/>
    <x v="0"/>
    <x v="11"/>
    <s v="Durban"/>
    <s v="Small Business"/>
    <s v="Marketplace"/>
    <x v="12"/>
    <s v="Printers"/>
    <s v="PRN-4732"/>
    <n v="1399.64"/>
    <n v="3342.11"/>
    <s v="High"/>
    <n v="0"/>
    <n v="10"/>
    <n v="33421.1"/>
    <n v="13996.400000000001"/>
    <n v="19424.699999999997"/>
    <n v="0.58121067229983447"/>
    <s v="Delayed"/>
    <x v="0"/>
  </r>
  <r>
    <s v="ORD-2024-532184"/>
    <d v="2024-01-25T00:00:00"/>
    <s v="Q1-2024"/>
    <d v="2024-02-08T00:00:00"/>
    <n v="14"/>
    <x v="1"/>
    <x v="2"/>
    <s v="Osaka"/>
    <s v="Consumer"/>
    <s v="Marketplace"/>
    <x v="2"/>
    <s v="Networking"/>
    <s v="NET-9569"/>
    <n v="937.16"/>
    <n v="1069.77"/>
    <s v="High"/>
    <n v="3.7999999999999999E-2"/>
    <n v="9"/>
    <n v="9262.0686600000008"/>
    <n v="8434.44"/>
    <n v="827.62866000000031"/>
    <n v="8.9356783066645962E-2"/>
    <s v="Delayed"/>
    <x v="0"/>
  </r>
  <r>
    <s v="ORD-2025-926547"/>
    <d v="2025-03-11T00:00:00"/>
    <s v="Q1-2025"/>
    <d v="2025-03-26T00:00:00"/>
    <n v="15"/>
    <x v="3"/>
    <x v="6"/>
    <s v="Berlin"/>
    <s v="Small Business"/>
    <s v="Online"/>
    <x v="2"/>
    <s v="Phones"/>
    <s v="PHN-3007"/>
    <n v="116.97"/>
    <n v="140.82"/>
    <s v="High"/>
    <n v="0.122"/>
    <n v="5"/>
    <n v="618.19979999999987"/>
    <n v="584.85"/>
    <n v="33.349799999999846"/>
    <n v="5.3946636669891926E-2"/>
    <s v="Delayed"/>
    <x v="0"/>
  </r>
  <r>
    <s v="ORD-2025-778145"/>
    <d v="2025-04-22T00:00:00"/>
    <s v="Q2-2025"/>
    <d v="2025-05-12T00:00:00"/>
    <n v="20"/>
    <x v="3"/>
    <x v="7"/>
    <s v="Lyon"/>
    <s v="Enterprise"/>
    <s v="Marketplace"/>
    <x v="11"/>
    <s v="Monitors"/>
    <s v="MON-9216"/>
    <n v="59.51"/>
    <n v="67.040000000000006"/>
    <s v="High"/>
    <n v="0.114"/>
    <n v="9"/>
    <n v="534.57695999999999"/>
    <n v="535.59"/>
    <n v="-1.0130400000000463"/>
    <n v="-1.8950311663264469E-3"/>
    <s v="Delayed"/>
    <x v="0"/>
  </r>
  <r>
    <s v="ORD-2023-525643"/>
    <d v="2023-08-17T00:00:00"/>
    <s v="Q3-2023"/>
    <d v="2023-09-03T00:00:00"/>
    <n v="17"/>
    <x v="0"/>
    <x v="11"/>
    <s v="Durban"/>
    <s v="Enterprise"/>
    <s v="Retail"/>
    <x v="8"/>
    <s v="Phones"/>
    <s v="PHN-8072"/>
    <n v="676.37"/>
    <n v="1276.67"/>
    <s v="High"/>
    <n v="6.6000000000000003E-2"/>
    <n v="10"/>
    <n v="11924.0978"/>
    <n v="6763.7"/>
    <n v="5160.3977999999997"/>
    <n v="0.4327705027712872"/>
    <s v="Delayed"/>
    <x v="0"/>
  </r>
  <r>
    <s v="ORD-2025-312803"/>
    <d v="2025-06-24T00:00:00"/>
    <s v="Q2-2025"/>
    <d v="2025-07-14T00:00:00"/>
    <n v="20"/>
    <x v="0"/>
    <x v="11"/>
    <s v="Johannesburg"/>
    <s v="Enterprise"/>
    <s v="Marketplace"/>
    <x v="1"/>
    <s v="Laptops"/>
    <s v="LAP-1308"/>
    <n v="1151.06"/>
    <n v="2821.36"/>
    <s v="High"/>
    <n v="0.248"/>
    <n v="20"/>
    <n v="42433.254400000005"/>
    <n v="23021.199999999997"/>
    <n v="19412.054400000008"/>
    <n v="0.45747267501594235"/>
    <s v="Delayed"/>
    <x v="1"/>
  </r>
  <r>
    <s v="ORD-2025-149156"/>
    <d v="2025-01-10T00:00:00"/>
    <s v="Q1-2025"/>
    <d v="2025-02-06T00:00:00"/>
    <n v="27"/>
    <x v="2"/>
    <x v="5"/>
    <s v="Brasília"/>
    <s v="Non-Profit"/>
    <s v="Retail"/>
    <x v="5"/>
    <s v="Laptops"/>
    <s v="LAP-7353"/>
    <n v="725.62"/>
    <n v="1559.19"/>
    <s v="High"/>
    <n v="0.19"/>
    <n v="12"/>
    <n v="15155.326800000001"/>
    <n v="8707.44"/>
    <n v="6447.8868000000002"/>
    <n v="0.42545349797405885"/>
    <s v="Delayed"/>
    <x v="0"/>
  </r>
  <r>
    <s v="ORD-2023-215819"/>
    <d v="2023-07-01T00:00:00"/>
    <s v="Q3-2023"/>
    <d v="2023-07-11T00:00:00"/>
    <n v="10"/>
    <x v="3"/>
    <x v="7"/>
    <s v="Paris"/>
    <s v="Corporate"/>
    <s v="Direct"/>
    <x v="9"/>
    <s v="Networking"/>
    <s v="NET-6533"/>
    <n v="479.5"/>
    <n v="656.66"/>
    <s v="High"/>
    <n v="0.14899999999999999"/>
    <n v="14"/>
    <n v="7823.4472399999995"/>
    <n v="6713"/>
    <n v="1110.4472399999995"/>
    <n v="0.14193835606412289"/>
    <s v="Delayed"/>
    <x v="0"/>
  </r>
  <r>
    <s v="ORD-2024-353078"/>
    <d v="2024-08-16T00:00:00"/>
    <s v="Q3-2024"/>
    <d v="2024-08-26T00:00:00"/>
    <n v="10"/>
    <x v="2"/>
    <x v="10"/>
    <s v="Chicago"/>
    <s v="Corporate"/>
    <s v="Distributor"/>
    <x v="4"/>
    <s v="Laptops"/>
    <s v="LAP-5763"/>
    <n v="1291.7"/>
    <n v="2657.84"/>
    <s v="High"/>
    <n v="8.6999999999999994E-2"/>
    <n v="21"/>
    <n v="50958.766320000002"/>
    <n v="27125.7"/>
    <n v="23833.066320000002"/>
    <n v="0.46769315745083367"/>
    <s v="Delayed"/>
    <x v="0"/>
  </r>
  <r>
    <s v="ORD-2023-621393"/>
    <d v="2023-07-07T00:00:00"/>
    <s v="Q3-2023"/>
    <d v="2023-07-13T00:00:00"/>
    <n v="6"/>
    <x v="0"/>
    <x v="11"/>
    <s v="Cape Town"/>
    <s v="Small Business"/>
    <s v="Marketplace"/>
    <x v="5"/>
    <s v="Accessories"/>
    <s v="ACC-9445"/>
    <n v="612.59"/>
    <n v="1424.74"/>
    <s v="High"/>
    <n v="4.3999999999999997E-2"/>
    <n v="15"/>
    <n v="20430.771599999996"/>
    <n v="9188.85"/>
    <n v="11241.921599999996"/>
    <n v="0.55024459281802152"/>
    <s v="On-time"/>
    <x v="0"/>
  </r>
  <r>
    <s v="ORD-2023-974506"/>
    <d v="2023-12-28T00:00:00"/>
    <s v="Q4-2023"/>
    <d v="2024-01-01T00:00:00"/>
    <n v="4"/>
    <x v="0"/>
    <x v="11"/>
    <s v="Cape Town"/>
    <s v="Education"/>
    <s v="Distributor"/>
    <x v="8"/>
    <s v="Printers"/>
    <s v="PRN-1654"/>
    <n v="1141.8"/>
    <n v="2318.7399999999998"/>
    <s v="High"/>
    <n v="0.107"/>
    <n v="32"/>
    <n v="66260.314239999992"/>
    <n v="36537.599999999999"/>
    <n v="29722.714239999994"/>
    <n v="0.44857490612468304"/>
    <s v="On-time"/>
    <x v="0"/>
  </r>
  <r>
    <s v="ORD-2023-811823"/>
    <d v="2023-01-26T00:00:00"/>
    <s v="Q1-2023"/>
    <d v="2023-02-15T00:00:00"/>
    <n v="20"/>
    <x v="3"/>
    <x v="6"/>
    <s v="Berlin"/>
    <s v="Small Business"/>
    <s v="Online"/>
    <x v="7"/>
    <s v="Networking"/>
    <s v="NET-8787"/>
    <n v="492.62"/>
    <n v="366.7"/>
    <s v="High"/>
    <n v="8.8999999999999996E-2"/>
    <n v="10"/>
    <n v="3340.6370000000002"/>
    <n v="4926.2"/>
    <n v="-1585.5629999999996"/>
    <n v="-0.47462894052840809"/>
    <s v="Delayed"/>
    <x v="0"/>
  </r>
  <r>
    <s v="ORD-2023-286720"/>
    <d v="2023-07-08T00:00:00"/>
    <s v="Q3-2023"/>
    <d v="2023-07-09T00:00:00"/>
    <n v="1"/>
    <x v="0"/>
    <x v="0"/>
    <s v="Nairobi"/>
    <s v="Consumer"/>
    <s v="Online"/>
    <x v="14"/>
    <s v="Laptops"/>
    <s v="LAP-1989"/>
    <n v="1258.72"/>
    <n v="2797.41"/>
    <s v="High"/>
    <n v="0"/>
    <n v="7"/>
    <n v="19581.87"/>
    <n v="8811.0400000000009"/>
    <n v="10770.829999999998"/>
    <n v="0.55004093071805704"/>
    <s v="On-time"/>
    <x v="0"/>
  </r>
  <r>
    <s v="ORD-2024-626925"/>
    <d v="2024-06-07T00:00:00"/>
    <s v="Q2-2024"/>
    <d v="2024-06-09T00:00:00"/>
    <n v="2"/>
    <x v="1"/>
    <x v="9"/>
    <s v="Shanghai"/>
    <s v="Corporate"/>
    <s v="Retail"/>
    <x v="7"/>
    <s v="Monitors"/>
    <s v="MON-8688"/>
    <n v="1370.28"/>
    <n v="2209.66"/>
    <s v="High"/>
    <n v="0.13300000000000001"/>
    <n v="16"/>
    <n v="30652.403519999996"/>
    <n v="21924.48"/>
    <n v="8727.9235199999966"/>
    <n v="0.28473863442079589"/>
    <s v="On-time"/>
    <x v="0"/>
  </r>
  <r>
    <s v="ORD-2023-960380"/>
    <d v="2023-02-11T00:00:00"/>
    <s v="Q1-2023"/>
    <d v="2023-02-12T00:00:00"/>
    <n v="1"/>
    <x v="0"/>
    <x v="1"/>
    <s v="Port Harcourt"/>
    <s v="Non-Profit"/>
    <s v="Direct"/>
    <x v="14"/>
    <s v="Accessories"/>
    <s v="ACC-8242"/>
    <n v="944.61"/>
    <n v="839.04"/>
    <s v="High"/>
    <n v="5.8999999999999997E-2"/>
    <n v="6"/>
    <n v="4737.2198399999997"/>
    <n v="5667.66"/>
    <n v="-930.44016000000011"/>
    <n v="-0.19641059343363726"/>
    <s v="On-time"/>
    <x v="0"/>
  </r>
  <r>
    <s v="ORD-2023-453699"/>
    <d v="2023-07-01T00:00:00"/>
    <s v="Q3-2023"/>
    <d v="2023-07-08T00:00:00"/>
    <n v="7"/>
    <x v="3"/>
    <x v="6"/>
    <s v="Frankfurt"/>
    <s v="Small Business"/>
    <s v="Distributor"/>
    <x v="13"/>
    <s v="Laptops"/>
    <s v="LAP-4666"/>
    <n v="460.21"/>
    <n v="1139.1500000000001"/>
    <s v="High"/>
    <n v="0.115"/>
    <n v="14"/>
    <n v="14114.068500000001"/>
    <n v="6442.94"/>
    <n v="7671.1285000000016"/>
    <n v="0.54350937151821255"/>
    <s v="On-time"/>
    <x v="0"/>
  </r>
  <r>
    <s v="ORD-2025-960931"/>
    <d v="2025-08-20T00:00:00"/>
    <s v="Q3-2025"/>
    <d v="2025-08-26T00:00:00"/>
    <n v="6"/>
    <x v="2"/>
    <x v="10"/>
    <s v="New York"/>
    <s v="Corporate"/>
    <s v="Retail"/>
    <x v="12"/>
    <s v="Networking"/>
    <s v="NET-5196"/>
    <n v="1304.95"/>
    <n v="1712.03"/>
    <s v="High"/>
    <n v="0.21199999999999999"/>
    <n v="8"/>
    <n v="10792.637119999999"/>
    <n v="10439.6"/>
    <n v="353.03711999999905"/>
    <n v="3.2710922833287949E-2"/>
    <s v="On-time"/>
    <x v="1"/>
  </r>
  <r>
    <s v="ORD-2024-419248"/>
    <d v="2024-03-04T00:00:00"/>
    <s v="Q1-2024"/>
    <d v="2024-03-16T00:00:00"/>
    <n v="12"/>
    <x v="0"/>
    <x v="11"/>
    <s v="Johannesburg"/>
    <s v="Enterprise"/>
    <s v="Distributor"/>
    <x v="12"/>
    <s v="Monitors"/>
    <s v="MON-8422"/>
    <n v="441.08"/>
    <n v="1054.29"/>
    <s v="High"/>
    <n v="0.23699999999999999"/>
    <n v="6"/>
    <n v="4826.5396199999996"/>
    <n v="2646.48"/>
    <n v="2180.0596199999995"/>
    <n v="0.45168169985932899"/>
    <s v="Delayed"/>
    <x v="1"/>
  </r>
  <r>
    <s v="ORD-2023-488227"/>
    <d v="2023-09-08T00:00:00"/>
    <s v="Q3-2023"/>
    <d v="2023-10-02T00:00:00"/>
    <n v="24"/>
    <x v="2"/>
    <x v="3"/>
    <s v="Toronto"/>
    <s v="Education"/>
    <s v="Direct"/>
    <x v="8"/>
    <s v="Accessories"/>
    <s v="ACC-3415"/>
    <n v="1299.03"/>
    <n v="2451.2199999999998"/>
    <s v="High"/>
    <n v="0.20799999999999999"/>
    <n v="8"/>
    <n v="15530.929919999999"/>
    <n v="10392.24"/>
    <n v="5138.6899199999989"/>
    <n v="0.3308681416032041"/>
    <s v="Delayed"/>
    <x v="1"/>
  </r>
  <r>
    <s v="ORD-2023-472078"/>
    <d v="2023-02-28T00:00:00"/>
    <s v="Q1-2023"/>
    <d v="2023-03-06T00:00:00"/>
    <n v="6"/>
    <x v="3"/>
    <x v="6"/>
    <s v="Frankfurt"/>
    <s v="Small Business"/>
    <s v="Marketplace"/>
    <x v="14"/>
    <s v="Printers"/>
    <s v="PRN-9624"/>
    <n v="880.02"/>
    <n v="1251.21"/>
    <s v="High"/>
    <n v="0.123"/>
    <n v="29"/>
    <n v="31822.023930000003"/>
    <n v="25520.579999999998"/>
    <n v="6301.4439300000049"/>
    <n v="0.19802146915172672"/>
    <s v="On-time"/>
    <x v="0"/>
  </r>
  <r>
    <s v="ORD-2024-202877"/>
    <d v="2024-07-13T00:00:00"/>
    <s v="Q3-2024"/>
    <d v="2024-08-03T00:00:00"/>
    <n v="21"/>
    <x v="2"/>
    <x v="5"/>
    <s v="Rio de Janeiro"/>
    <s v="Corporate"/>
    <s v="Marketplace"/>
    <x v="12"/>
    <s v="Monitors"/>
    <s v="MON-6287"/>
    <n v="702.98"/>
    <n v="1104.8"/>
    <s v="High"/>
    <n v="0.17499999999999999"/>
    <n v="12"/>
    <n v="10937.519999999999"/>
    <n v="8435.76"/>
    <n v="2501.7599999999984"/>
    <n v="0.22873192460448061"/>
    <s v="Delayed"/>
    <x v="0"/>
  </r>
  <r>
    <s v="ORD-2024-140633"/>
    <d v="2024-12-07T00:00:00"/>
    <s v="Q4-2024"/>
    <d v="2024-12-26T00:00:00"/>
    <n v="19"/>
    <x v="3"/>
    <x v="8"/>
    <s v="London"/>
    <s v="Enterprise"/>
    <s v="Online"/>
    <x v="14"/>
    <s v="Networking"/>
    <s v="NET-4491"/>
    <n v="1035.24"/>
    <n v="2383.41"/>
    <s v="High"/>
    <n v="0.17"/>
    <n v="15"/>
    <n v="29673.454499999993"/>
    <n v="15528.6"/>
    <n v="14144.854499999992"/>
    <n v="0.47668378145860962"/>
    <s v="Delayed"/>
    <x v="0"/>
  </r>
  <r>
    <s v="ORD-2025-419532"/>
    <d v="2025-08-06T00:00:00"/>
    <s v="Q3-2025"/>
    <d v="2025-08-23T00:00:00"/>
    <n v="17"/>
    <x v="2"/>
    <x v="5"/>
    <s v="Brasília"/>
    <s v="Consumer"/>
    <s v="Distributor"/>
    <x v="8"/>
    <s v="Monitors"/>
    <s v="MON-4317"/>
    <n v="86.64"/>
    <n v="213.06"/>
    <s v="High"/>
    <n v="0.21199999999999999"/>
    <n v="11"/>
    <n v="1846.8040799999999"/>
    <n v="953.04"/>
    <n v="893.76407999999992"/>
    <n v="0.48395175735154322"/>
    <s v="Delayed"/>
    <x v="1"/>
  </r>
  <r>
    <s v="ORD-2023-139236"/>
    <d v="2023-03-03T00:00:00"/>
    <s v="Q1-2023"/>
    <d v="2023-03-20T00:00:00"/>
    <n v="17"/>
    <x v="1"/>
    <x v="2"/>
    <s v="Nagoya"/>
    <s v="Small Business"/>
    <s v="Online"/>
    <x v="14"/>
    <s v="Networking"/>
    <s v="NET-7349"/>
    <n v="1171.17"/>
    <n v="2030.64"/>
    <s v="High"/>
    <n v="0.157"/>
    <n v="11"/>
    <n v="18830.12472"/>
    <n v="12882.87"/>
    <n v="5947.254719999999"/>
    <n v="0.31583724528830415"/>
    <s v="Delayed"/>
    <x v="0"/>
  </r>
  <r>
    <s v="ORD-2025-337268"/>
    <d v="2025-02-16T00:00:00"/>
    <s v="Q1-2025"/>
    <d v="2025-03-17T00:00:00"/>
    <n v="29"/>
    <x v="3"/>
    <x v="6"/>
    <s v="Munich"/>
    <s v="Consumer"/>
    <s v="Retail"/>
    <x v="4"/>
    <s v="Accessories"/>
    <s v="ACC-5150"/>
    <n v="730.42"/>
    <n v="956.7"/>
    <s v="High"/>
    <n v="4.2000000000000003E-2"/>
    <n v="22"/>
    <n v="20163.409200000002"/>
    <n v="16069.24"/>
    <n v="4094.1692000000021"/>
    <n v="0.20304945256975698"/>
    <s v="Delayed"/>
    <x v="0"/>
  </r>
  <r>
    <s v="ORD-2025-332931"/>
    <d v="2025-02-15T00:00:00"/>
    <s v="Q1-2025"/>
    <d v="2025-03-01T00:00:00"/>
    <n v="14"/>
    <x v="0"/>
    <x v="0"/>
    <s v="Mombasa"/>
    <s v="Education"/>
    <s v="Direct"/>
    <x v="4"/>
    <s v="Accessories"/>
    <s v="ACC-5144"/>
    <n v="1162.8599999999999"/>
    <n v="1447.68"/>
    <s v="High"/>
    <n v="8.6999999999999994E-2"/>
    <n v="12"/>
    <n v="15860.782080000001"/>
    <n v="13954.32"/>
    <n v="1906.4620800000012"/>
    <n v="0.12019975247021369"/>
    <s v="Delayed"/>
    <x v="0"/>
  </r>
  <r>
    <s v="ORD-2024-536442"/>
    <d v="2024-08-31T00:00:00"/>
    <s v="Q3-2024"/>
    <d v="2024-09-26T00:00:00"/>
    <n v="26"/>
    <x v="1"/>
    <x v="2"/>
    <s v="Tokyo"/>
    <s v="Education"/>
    <s v="Online"/>
    <x v="2"/>
    <s v="Phones"/>
    <s v="PHN-6111"/>
    <n v="1189.03"/>
    <n v="2949.62"/>
    <s v="High"/>
    <n v="0.125"/>
    <n v="13"/>
    <n v="33551.927499999998"/>
    <n v="15457.39"/>
    <n v="18094.537499999999"/>
    <n v="0.53929949330034765"/>
    <s v="Delayed"/>
    <x v="0"/>
  </r>
  <r>
    <s v="ORD-2023-957692"/>
    <d v="2023-05-07T00:00:00"/>
    <s v="Q2-2023"/>
    <d v="2023-05-20T00:00:00"/>
    <n v="13"/>
    <x v="1"/>
    <x v="4"/>
    <s v="Mumbai"/>
    <s v="Enterprise"/>
    <s v="Retail"/>
    <x v="14"/>
    <s v="Accessories"/>
    <s v="ACC-9283"/>
    <n v="1443.28"/>
    <n v="2580.5700000000002"/>
    <s v="High"/>
    <n v="0"/>
    <n v="18"/>
    <n v="46450.26"/>
    <n v="25979.040000000001"/>
    <n v="20471.22"/>
    <n v="0.4407127107577008"/>
    <s v="Delayed"/>
    <x v="0"/>
  </r>
  <r>
    <s v="ORD-2025-874124"/>
    <d v="2025-05-14T00:00:00"/>
    <s v="Q2-2025"/>
    <d v="2025-05-21T00:00:00"/>
    <n v="7"/>
    <x v="2"/>
    <x v="3"/>
    <s v="Vancouver"/>
    <s v="Non-Profit"/>
    <s v="Distributor"/>
    <x v="9"/>
    <s v="Printers"/>
    <s v="PRN-2407"/>
    <n v="883.5"/>
    <n v="1978.91"/>
    <s v="High"/>
    <n v="5.3999999999999999E-2"/>
    <n v="27"/>
    <n v="50545.319219999998"/>
    <n v="23854.5"/>
    <n v="26690.819219999998"/>
    <n v="0.52805718970390547"/>
    <s v="On-time"/>
    <x v="0"/>
  </r>
  <r>
    <s v="ORD-2024-687073"/>
    <d v="2024-03-11T00:00:00"/>
    <s v="Q1-2024"/>
    <d v="2024-03-29T00:00:00"/>
    <n v="18"/>
    <x v="2"/>
    <x v="10"/>
    <s v="New York"/>
    <s v="Corporate"/>
    <s v="Retail"/>
    <x v="12"/>
    <s v="Monitors"/>
    <s v="MON-7099"/>
    <n v="710.98"/>
    <n v="1481.45"/>
    <s v="High"/>
    <n v="0.21099999999999999"/>
    <n v="9"/>
    <n v="10519.776450000001"/>
    <n v="6398.82"/>
    <n v="4120.9564500000015"/>
    <n v="0.39173422264120461"/>
    <s v="Delayed"/>
    <x v="1"/>
  </r>
  <r>
    <s v="ORD-2024-555229"/>
    <d v="2024-05-18T00:00:00"/>
    <s v="Q2-2024"/>
    <d v="2024-05-22T00:00:00"/>
    <n v="4"/>
    <x v="0"/>
    <x v="0"/>
    <s v="Nairobi"/>
    <s v="Corporate"/>
    <s v="Direct"/>
    <x v="10"/>
    <s v="Accessories"/>
    <s v="ACC-7354"/>
    <n v="857.42"/>
    <n v="1658.92"/>
    <s v="High"/>
    <n v="0.122"/>
    <n v="9"/>
    <n v="13108.78584"/>
    <n v="7716.78"/>
    <n v="5392.0058400000007"/>
    <n v="0.41132763215544305"/>
    <s v="On-time"/>
    <x v="0"/>
  </r>
  <r>
    <s v="ORD-2024-872291"/>
    <d v="2024-01-08T00:00:00"/>
    <s v="Q1-2024"/>
    <d v="2024-01-12T00:00:00"/>
    <n v="4"/>
    <x v="1"/>
    <x v="4"/>
    <s v="Bengaluru"/>
    <s v="Corporate"/>
    <s v="Direct"/>
    <x v="6"/>
    <s v="Printers"/>
    <s v="PRN-6585"/>
    <n v="802.32"/>
    <n v="602.34"/>
    <s v="High"/>
    <n v="0.12"/>
    <n v="25"/>
    <n v="13251.48"/>
    <n v="20058"/>
    <n v="-6806.52"/>
    <n v="-0.51364224977134632"/>
    <s v="On-time"/>
    <x v="0"/>
  </r>
  <r>
    <s v="ORD-2024-250862"/>
    <d v="2024-10-25T00:00:00"/>
    <s v="Q4-2024"/>
    <d v="2024-11-05T00:00:00"/>
    <n v="11"/>
    <x v="2"/>
    <x v="10"/>
    <s v="New York"/>
    <s v="Corporate"/>
    <s v="Distributor"/>
    <x v="13"/>
    <s v="Components"/>
    <s v="CMP-9498"/>
    <n v="446.66"/>
    <n v="527.64"/>
    <s v="High"/>
    <n v="0.14499999999999999"/>
    <n v="15"/>
    <n v="6766.9829999999993"/>
    <n v="6699.9000000000005"/>
    <n v="67.082999999998719"/>
    <n v="9.9132804087137105E-3"/>
    <s v="Delayed"/>
    <x v="0"/>
  </r>
  <r>
    <s v="ORD-2024-331226"/>
    <d v="2024-11-30T00:00:00"/>
    <s v="Q4-2024"/>
    <d v="2024-12-19T00:00:00"/>
    <n v="19"/>
    <x v="0"/>
    <x v="0"/>
    <s v="Kisumu"/>
    <s v="Corporate"/>
    <s v="Online"/>
    <x v="4"/>
    <s v="Phones"/>
    <s v="PHN-1919"/>
    <n v="1195.98"/>
    <n v="1841.9"/>
    <s v="High"/>
    <n v="5.5E-2"/>
    <n v="19"/>
    <n v="33071.3145"/>
    <n v="22723.62"/>
    <n v="10347.694500000001"/>
    <n v="0.31289032977506842"/>
    <s v="Delayed"/>
    <x v="0"/>
  </r>
  <r>
    <s v="ORD-2023-356427"/>
    <d v="2023-04-13T00:00:00"/>
    <s v="Q2-2023"/>
    <d v="2023-05-02T00:00:00"/>
    <n v="19"/>
    <x v="2"/>
    <x v="3"/>
    <s v="Montreal"/>
    <s v="Consumer"/>
    <s v="Distributor"/>
    <x v="6"/>
    <s v="Monitors"/>
    <s v="MON-6053"/>
    <n v="671.05"/>
    <n v="1645.48"/>
    <s v="High"/>
    <n v="0.13700000000000001"/>
    <n v="6"/>
    <n v="8520.2954399999999"/>
    <n v="4026.2999999999997"/>
    <n v="4493.9954400000006"/>
    <n v="0.52744596377517172"/>
    <s v="Delayed"/>
    <x v="0"/>
  </r>
  <r>
    <s v="ORD-2025-659650"/>
    <d v="2025-02-04T00:00:00"/>
    <s v="Q1-2025"/>
    <d v="2025-02-08T00:00:00"/>
    <n v="4"/>
    <x v="3"/>
    <x v="8"/>
    <s v="Manchester"/>
    <s v="Enterprise"/>
    <s v="Marketplace"/>
    <x v="4"/>
    <s v="Networking"/>
    <s v="NET-2502"/>
    <n v="586.21"/>
    <n v="727.22"/>
    <s v="High"/>
    <n v="6.8000000000000005E-2"/>
    <n v="15"/>
    <n v="10166.535600000001"/>
    <n v="8793.1500000000015"/>
    <n v="1373.3855999999996"/>
    <n v="0.13508884973559721"/>
    <s v="On-time"/>
    <x v="0"/>
  </r>
  <r>
    <s v="ORD-2024-207669"/>
    <d v="2024-01-24T00:00:00"/>
    <s v="Q1-2024"/>
    <d v="2024-02-04T00:00:00"/>
    <n v="11"/>
    <x v="3"/>
    <x v="8"/>
    <s v="Manchester"/>
    <s v="Consumer"/>
    <s v="Retail"/>
    <x v="5"/>
    <s v="Laptops"/>
    <s v="LAP-5689"/>
    <n v="525.34"/>
    <n v="1233.79"/>
    <s v="High"/>
    <n v="0.14299999999999999"/>
    <n v="4"/>
    <n v="4229.4321199999995"/>
    <n v="2101.36"/>
    <n v="2128.0721199999994"/>
    <n v="0.50315788494082736"/>
    <s v="Delayed"/>
    <x v="0"/>
  </r>
  <r>
    <s v="ORD-2024-979401"/>
    <d v="2024-02-08T00:00:00"/>
    <s v="Q1-2024"/>
    <d v="2024-02-09T00:00:00"/>
    <n v="1"/>
    <x v="0"/>
    <x v="0"/>
    <s v="Mombasa"/>
    <s v="Corporate"/>
    <s v="Direct"/>
    <x v="9"/>
    <s v="Components"/>
    <s v="CMP-5911"/>
    <n v="1233.52"/>
    <n v="1543.76"/>
    <s v="High"/>
    <n v="0.126"/>
    <n v="13"/>
    <n v="17540.201120000002"/>
    <n v="16035.76"/>
    <n v="1504.4411200000013"/>
    <n v="8.5771030201277493E-2"/>
    <s v="On-time"/>
    <x v="0"/>
  </r>
  <r>
    <s v="ORD-2025-929414"/>
    <d v="2025-06-26T00:00:00"/>
    <s v="Q2-2025"/>
    <d v="2025-07-11T00:00:00"/>
    <n v="15"/>
    <x v="0"/>
    <x v="1"/>
    <s v="Port Harcourt"/>
    <s v="Small Business"/>
    <s v="Online"/>
    <x v="8"/>
    <s v="Laptops"/>
    <s v="LAP-7523"/>
    <n v="1170.1500000000001"/>
    <n v="2115.19"/>
    <s v="High"/>
    <n v="9.1999999999999998E-2"/>
    <n v="23"/>
    <n v="44173.627960000005"/>
    <n v="26913.45"/>
    <n v="17260.177960000005"/>
    <n v="0.39073489674946776"/>
    <s v="Delayed"/>
    <x v="0"/>
  </r>
  <r>
    <s v="ORD-2024-766980"/>
    <d v="2024-11-04T00:00:00"/>
    <s v="Q4-2024"/>
    <d v="2024-11-07T00:00:00"/>
    <n v="3"/>
    <x v="3"/>
    <x v="7"/>
    <s v="Lyon"/>
    <s v="Corporate"/>
    <s v="Online"/>
    <x v="7"/>
    <s v="Monitors"/>
    <s v="MON-1118"/>
    <n v="740.68"/>
    <n v="1837.19"/>
    <s v="High"/>
    <n v="0.19700000000000001"/>
    <n v="17"/>
    <n v="25079.480689999997"/>
    <n v="12591.56"/>
    <n v="12487.920689999997"/>
    <n v="0.4979337827748298"/>
    <s v="On-time"/>
    <x v="0"/>
  </r>
  <r>
    <s v="ORD-2024-437164"/>
    <d v="2024-02-20T00:00:00"/>
    <s v="Q1-2024"/>
    <d v="2024-02-20T00:00:00"/>
    <n v="0"/>
    <x v="2"/>
    <x v="10"/>
    <s v="New York"/>
    <s v="Enterprise"/>
    <s v="Online"/>
    <x v="0"/>
    <s v="Networking"/>
    <s v="NET-9177"/>
    <n v="1407.05"/>
    <n v="2858.93"/>
    <s v="High"/>
    <n v="0"/>
    <n v="12"/>
    <n v="34307.159999999996"/>
    <n v="16884.599999999999"/>
    <n v="17422.559999999998"/>
    <n v="0.50784034586366222"/>
    <s v="On-time"/>
    <x v="0"/>
  </r>
  <r>
    <s v="ORD-2025-169093"/>
    <d v="2025-04-13T00:00:00"/>
    <s v="Q2-2025"/>
    <d v="2025-04-14T00:00:00"/>
    <n v="1"/>
    <x v="1"/>
    <x v="2"/>
    <s v="Osaka"/>
    <s v="Enterprise"/>
    <s v="Online"/>
    <x v="3"/>
    <s v="Components"/>
    <s v="CMP-6495"/>
    <n v="138.9"/>
    <n v="289.92"/>
    <s v="High"/>
    <n v="2.9000000000000001E-2"/>
    <n v="12"/>
    <n v="3378.1478400000001"/>
    <n v="1666.8000000000002"/>
    <n v="1711.3478399999999"/>
    <n v="0.50659353025828491"/>
    <s v="On-time"/>
    <x v="0"/>
  </r>
  <r>
    <s v="ORD-2023-868460"/>
    <d v="2023-06-01T00:00:00"/>
    <s v="Q2-2023"/>
    <d v="2023-06-01T00:00:00"/>
    <n v="0"/>
    <x v="1"/>
    <x v="4"/>
    <s v="Bengaluru"/>
    <s v="Corporate"/>
    <s v="Retail"/>
    <x v="6"/>
    <s v="Accessories"/>
    <s v="ACC-4587"/>
    <n v="669.37"/>
    <n v="997.2"/>
    <s v="High"/>
    <n v="8.2000000000000003E-2"/>
    <n v="5"/>
    <n v="4577.1480000000001"/>
    <n v="3346.85"/>
    <n v="1230.2980000000002"/>
    <n v="0.26879139586484863"/>
    <s v="On-time"/>
    <x v="0"/>
  </r>
  <r>
    <s v="ORD-2025-177994"/>
    <d v="2025-03-24T00:00:00"/>
    <s v="Q1-2025"/>
    <d v="2025-04-04T00:00:00"/>
    <n v="11"/>
    <x v="1"/>
    <x v="4"/>
    <s v="Mumbai"/>
    <s v="Education"/>
    <s v="Marketplace"/>
    <x v="1"/>
    <s v="Phones"/>
    <s v="PHN-4395"/>
    <n v="23.83"/>
    <n v="47.29"/>
    <s v="High"/>
    <n v="6.4000000000000001E-2"/>
    <n v="19"/>
    <n v="841.00536"/>
    <n v="452.77"/>
    <n v="388.23536000000001"/>
    <n v="0.46163244429262618"/>
    <s v="Delayed"/>
    <x v="0"/>
  </r>
  <r>
    <s v="ORD-2024-355095"/>
    <d v="2024-01-02T00:00:00"/>
    <s v="Q1-2024"/>
    <d v="2024-01-02T00:00:00"/>
    <n v="0"/>
    <x v="2"/>
    <x v="3"/>
    <s v="Vancouver"/>
    <s v="Education"/>
    <s v="Direct"/>
    <x v="8"/>
    <s v="Laptops"/>
    <s v="LAP-3581"/>
    <n v="444.41"/>
    <n v="754.24"/>
    <s v="High"/>
    <n v="0.20699999999999999"/>
    <n v="32"/>
    <n v="19139.594240000002"/>
    <n v="14221.12"/>
    <n v="4918.4742400000014"/>
    <n v="0.25697902360546598"/>
    <s v="On-time"/>
    <x v="1"/>
  </r>
  <r>
    <s v="ORD-2023-126505"/>
    <d v="2023-12-19T00:00:00"/>
    <s v="Q4-2023"/>
    <d v="2024-01-01T00:00:00"/>
    <n v="13"/>
    <x v="2"/>
    <x v="3"/>
    <s v="Toronto"/>
    <s v="Enterprise"/>
    <s v="Retail"/>
    <x v="11"/>
    <s v="Monitors"/>
    <s v="MON-6065"/>
    <n v="856.1"/>
    <n v="901.48"/>
    <s v="High"/>
    <n v="5.6000000000000001E-2"/>
    <n v="17"/>
    <n v="14466.95104"/>
    <n v="14553.7"/>
    <n v="-86.748960000000807"/>
    <n v="-5.9963540182134192E-3"/>
    <s v="Delayed"/>
    <x v="0"/>
  </r>
  <r>
    <s v="ORD-2023-340056"/>
    <d v="2023-04-26T00:00:00"/>
    <s v="Q2-2023"/>
    <d v="2023-04-26T00:00:00"/>
    <n v="0"/>
    <x v="3"/>
    <x v="7"/>
    <s v="Marseille"/>
    <s v="Consumer"/>
    <s v="Direct"/>
    <x v="12"/>
    <s v="Components"/>
    <s v="CMP-4945"/>
    <n v="81.489999999999995"/>
    <n v="113.08"/>
    <s v="High"/>
    <n v="0.121"/>
    <n v="5"/>
    <n v="496.98660000000001"/>
    <n v="407.45"/>
    <n v="89.536600000000021"/>
    <n v="0.18015898215364362"/>
    <s v="On-time"/>
    <x v="0"/>
  </r>
  <r>
    <s v="ORD-2025-281413"/>
    <d v="2025-08-03T00:00:00"/>
    <s v="Q3-2025"/>
    <d v="2025-08-16T00:00:00"/>
    <n v="13"/>
    <x v="2"/>
    <x v="3"/>
    <s v="Montreal"/>
    <s v="Enterprise"/>
    <s v="Distributor"/>
    <x v="7"/>
    <s v="Networking"/>
    <s v="NET-3785"/>
    <n v="698.66"/>
    <n v="868.62"/>
    <s v="High"/>
    <n v="7.1999999999999995E-2"/>
    <n v="15"/>
    <n v="12091.190399999999"/>
    <n v="10479.9"/>
    <n v="1611.2903999999999"/>
    <n v="0.13326151906432637"/>
    <s v="Delayed"/>
    <x v="0"/>
  </r>
  <r>
    <s v="ORD-2023-713614"/>
    <d v="2023-08-02T00:00:00"/>
    <s v="Q3-2023"/>
    <d v="2023-08-19T00:00:00"/>
    <n v="17"/>
    <x v="2"/>
    <x v="3"/>
    <s v="Vancouver"/>
    <s v="Corporate"/>
    <s v="Online"/>
    <x v="9"/>
    <s v="Networking"/>
    <s v="NET-3689"/>
    <n v="175.38"/>
    <n v="347.9"/>
    <s v="High"/>
    <n v="7.1999999999999995E-2"/>
    <n v="43"/>
    <n v="13882.6016"/>
    <n v="7541.34"/>
    <n v="6341.2615999999998"/>
    <n v="0.45677761148169804"/>
    <s v="Delayed"/>
    <x v="0"/>
  </r>
  <r>
    <s v="ORD-2023-173313"/>
    <d v="2023-06-15T00:00:00"/>
    <s v="Q2-2023"/>
    <d v="2023-07-12T00:00:00"/>
    <n v="27"/>
    <x v="3"/>
    <x v="8"/>
    <s v="Manchester"/>
    <s v="Consumer"/>
    <s v="Direct"/>
    <x v="2"/>
    <s v="Accessories"/>
    <s v="ACC-3833"/>
    <n v="751.28"/>
    <n v="1111.8800000000001"/>
    <s v="High"/>
    <n v="0.13500000000000001"/>
    <n v="7"/>
    <n v="6732.4334000000008"/>
    <n v="5258.96"/>
    <n v="1473.4734000000008"/>
    <n v="0.21886193482433863"/>
    <s v="Delayed"/>
    <x v="0"/>
  </r>
  <r>
    <s v="ORD-2024-496601"/>
    <d v="2024-11-11T00:00:00"/>
    <s v="Q4-2024"/>
    <d v="2024-11-24T00:00:00"/>
    <n v="13"/>
    <x v="3"/>
    <x v="8"/>
    <s v="London"/>
    <s v="Corporate"/>
    <s v="Retail"/>
    <x v="6"/>
    <s v="Networking"/>
    <s v="NET-2932"/>
    <n v="164.53"/>
    <n v="327.72"/>
    <s v="High"/>
    <n v="6.7000000000000004E-2"/>
    <n v="14"/>
    <n v="4280.6786400000001"/>
    <n v="2303.42"/>
    <n v="1977.25864"/>
    <n v="0.46190307805960412"/>
    <s v="Delayed"/>
    <x v="0"/>
  </r>
  <r>
    <s v="ORD-2025-155182"/>
    <d v="2025-07-11T00:00:00"/>
    <s v="Q3-2025"/>
    <d v="2025-08-03T00:00:00"/>
    <n v="23"/>
    <x v="0"/>
    <x v="0"/>
    <s v="Nakuru"/>
    <s v="Small Business"/>
    <s v="Retail"/>
    <x v="0"/>
    <s v="Phones"/>
    <s v="PHN-7636"/>
    <n v="389.93"/>
    <n v="486.13"/>
    <s v="High"/>
    <n v="0.13200000000000001"/>
    <n v="17"/>
    <n v="7173.3342799999991"/>
    <n v="6628.81"/>
    <n v="544.52427999999873"/>
    <n v="7.5909508569562828E-2"/>
    <s v="Delayed"/>
    <x v="0"/>
  </r>
  <r>
    <s v="ORD-2023-244375"/>
    <d v="2023-06-03T00:00:00"/>
    <s v="Q2-2023"/>
    <d v="2023-07-01T00:00:00"/>
    <n v="28"/>
    <x v="2"/>
    <x v="5"/>
    <s v="Brasília"/>
    <s v="Small Business"/>
    <s v="Marketplace"/>
    <x v="8"/>
    <s v="Components"/>
    <s v="CMP-1223"/>
    <n v="860.4"/>
    <n v="2066.6"/>
    <s v="High"/>
    <n v="0.01"/>
    <n v="3"/>
    <n v="6137.8019999999988"/>
    <n v="2581.1999999999998"/>
    <n v="3556.601999999999"/>
    <n v="0.57945857491004105"/>
    <s v="Delayed"/>
    <x v="0"/>
  </r>
  <r>
    <s v="ORD-2023-856322"/>
    <d v="2023-01-29T00:00:00"/>
    <s v="Q1-2023"/>
    <d v="2023-02-06T00:00:00"/>
    <n v="8"/>
    <x v="2"/>
    <x v="5"/>
    <s v="Brasília"/>
    <s v="Corporate"/>
    <s v="Marketplace"/>
    <x v="14"/>
    <s v="Monitors"/>
    <s v="MON-7207"/>
    <n v="41.84"/>
    <n v="86.2"/>
    <s v="High"/>
    <n v="0.22600000000000001"/>
    <n v="27"/>
    <n v="1801.4076000000002"/>
    <n v="1129.68"/>
    <n v="671.72760000000017"/>
    <n v="0.37289039970742882"/>
    <s v="Delayed"/>
    <x v="1"/>
  </r>
  <r>
    <s v="ORD-2024-594527"/>
    <d v="2024-09-06T00:00:00"/>
    <s v="Q3-2024"/>
    <d v="2024-09-13T00:00:00"/>
    <n v="7"/>
    <x v="1"/>
    <x v="2"/>
    <s v="Osaka"/>
    <s v="Corporate"/>
    <s v="Direct"/>
    <x v="8"/>
    <s v="Laptops"/>
    <s v="LAP-4483"/>
    <n v="1368.17"/>
    <n v="2307.75"/>
    <s v="High"/>
    <n v="0.16300000000000001"/>
    <n v="21"/>
    <n v="40563.321749999996"/>
    <n v="28731.57"/>
    <n v="11831.751749999996"/>
    <n v="0.29168596750831921"/>
    <s v="On-time"/>
    <x v="0"/>
  </r>
  <r>
    <s v="ORD-2024-689872"/>
    <d v="2024-08-03T00:00:00"/>
    <s v="Q3-2024"/>
    <d v="2024-08-09T00:00:00"/>
    <n v="6"/>
    <x v="0"/>
    <x v="0"/>
    <s v="Mombasa"/>
    <s v="Consumer"/>
    <s v="Marketplace"/>
    <x v="10"/>
    <s v="Laptops"/>
    <s v="LAP-1969"/>
    <n v="643.21"/>
    <n v="1112.81"/>
    <s v="High"/>
    <n v="0.14099999999999999"/>
    <n v="4"/>
    <n v="3823.6151599999998"/>
    <n v="2572.84"/>
    <n v="1250.7751599999997"/>
    <n v="0.32711847496702562"/>
    <s v="On-time"/>
    <x v="0"/>
  </r>
  <r>
    <s v="ORD-2025-246692"/>
    <d v="2025-04-17T00:00:00"/>
    <s v="Q2-2025"/>
    <d v="2025-04-17T00:00:00"/>
    <n v="0"/>
    <x v="2"/>
    <x v="5"/>
    <s v="São Paulo"/>
    <s v="Corporate"/>
    <s v="Distributor"/>
    <x v="4"/>
    <s v="Phones"/>
    <s v="PHN-4566"/>
    <n v="719.41"/>
    <n v="1125.99"/>
    <s v="High"/>
    <n v="4.1000000000000002E-2"/>
    <n v="21"/>
    <n v="22676.312610000001"/>
    <n v="15107.609999999999"/>
    <n v="7568.7026100000021"/>
    <n v="0.33377131194876403"/>
    <s v="On-time"/>
    <x v="0"/>
  </r>
  <r>
    <s v="ORD-2023-378676"/>
    <d v="2023-05-03T00:00:00"/>
    <s v="Q2-2023"/>
    <d v="2023-05-16T00:00:00"/>
    <n v="13"/>
    <x v="2"/>
    <x v="10"/>
    <s v="New York"/>
    <s v="Corporate"/>
    <s v="Marketplace"/>
    <x v="4"/>
    <s v="Phones"/>
    <s v="PHN-5366"/>
    <n v="64.5"/>
    <n v="123.62"/>
    <s v="High"/>
    <n v="0"/>
    <n v="3"/>
    <n v="370.86"/>
    <n v="193.5"/>
    <n v="177.36"/>
    <n v="0.47823976702798904"/>
    <s v="Delayed"/>
    <x v="0"/>
  </r>
  <r>
    <s v="ORD-2024-243988"/>
    <d v="2024-03-13T00:00:00"/>
    <s v="Q1-2024"/>
    <d v="2024-04-06T00:00:00"/>
    <n v="24"/>
    <x v="0"/>
    <x v="1"/>
    <s v="Abuja"/>
    <s v="Consumer"/>
    <s v="Distributor"/>
    <x v="4"/>
    <s v="Components"/>
    <s v="CMP-9001"/>
    <n v="1232.78"/>
    <n v="1731.75"/>
    <s v="High"/>
    <n v="9.2999999999999999E-2"/>
    <n v="16"/>
    <n v="25131.155999999999"/>
    <n v="19724.48"/>
    <n v="5406.6759999999995"/>
    <n v="0.21513837246484005"/>
    <s v="Delayed"/>
    <x v="0"/>
  </r>
  <r>
    <s v="ORD-2024-572312"/>
    <d v="2024-06-16T00:00:00"/>
    <s v="Q2-2024"/>
    <d v="2024-06-21T00:00:00"/>
    <n v="5"/>
    <x v="1"/>
    <x v="2"/>
    <s v="Tokyo"/>
    <s v="Small Business"/>
    <s v="Distributor"/>
    <x v="9"/>
    <s v="Phones"/>
    <s v="PHN-9677"/>
    <n v="1367.13"/>
    <n v="3062.01"/>
    <s v="High"/>
    <n v="0.10299999999999999"/>
    <n v="25"/>
    <n v="68665.574250000005"/>
    <n v="34178.25"/>
    <n v="34487.324250000005"/>
    <n v="0.50225057645971705"/>
    <s v="On-time"/>
    <x v="0"/>
  </r>
  <r>
    <s v="ORD-2025-281062"/>
    <d v="2025-02-15T00:00:00"/>
    <s v="Q1-2025"/>
    <d v="2025-02-27T00:00:00"/>
    <n v="12"/>
    <x v="3"/>
    <x v="7"/>
    <s v="Lyon"/>
    <s v="Non-Profit"/>
    <s v="Direct"/>
    <x v="11"/>
    <s v="Accessories"/>
    <s v="ACC-1604"/>
    <n v="1027.26"/>
    <n v="2200.41"/>
    <s v="High"/>
    <n v="8.7999999999999995E-2"/>
    <n v="6"/>
    <n v="12040.64352"/>
    <n v="6163.5599999999995"/>
    <n v="5877.0835200000001"/>
    <n v="0.48810377204822358"/>
    <s v="Delayed"/>
    <x v="0"/>
  </r>
  <r>
    <s v="ORD-2023-727290"/>
    <d v="2023-04-03T00:00:00"/>
    <s v="Q2-2023"/>
    <d v="2023-04-16T00:00:00"/>
    <n v="13"/>
    <x v="3"/>
    <x v="7"/>
    <s v="Marseille"/>
    <s v="Non-Profit"/>
    <s v="Marketplace"/>
    <x v="12"/>
    <s v="Accessories"/>
    <s v="ACC-4815"/>
    <n v="790.54"/>
    <n v="601.49"/>
    <s v="High"/>
    <n v="0"/>
    <n v="15"/>
    <n v="9022.35"/>
    <n v="11858.099999999999"/>
    <n v="-2835.7499999999982"/>
    <n v="-0.31430281467688553"/>
    <s v="Delayed"/>
    <x v="0"/>
  </r>
  <r>
    <s v="ORD-2025-993993"/>
    <d v="2025-08-30T00:00:00"/>
    <s v="Q3-2025"/>
    <d v="2025-09-22T00:00:00"/>
    <n v="23"/>
    <x v="3"/>
    <x v="7"/>
    <s v="Marseille"/>
    <s v="Corporate"/>
    <s v="Direct"/>
    <x v="6"/>
    <s v="Components"/>
    <s v="CMP-5311"/>
    <n v="663.9"/>
    <n v="947.77"/>
    <s v="High"/>
    <n v="0.17399999999999999"/>
    <n v="15"/>
    <n v="11742.8703"/>
    <n v="9958.5"/>
    <n v="1784.3703000000005"/>
    <n v="0.1519535049280073"/>
    <s v="Delayed"/>
    <x v="0"/>
  </r>
  <r>
    <s v="ORD-2023-619493"/>
    <d v="2023-02-27T00:00:00"/>
    <s v="Q1-2023"/>
    <d v="2023-03-06T00:00:00"/>
    <n v="7"/>
    <x v="2"/>
    <x v="10"/>
    <s v="San Francisco"/>
    <s v="Non-Profit"/>
    <s v="Online"/>
    <x v="4"/>
    <s v="Networking"/>
    <s v="NET-1282"/>
    <n v="1015.91"/>
    <n v="2331.48"/>
    <s v="High"/>
    <n v="0.14599999999999999"/>
    <n v="26"/>
    <n v="51768.181920000003"/>
    <n v="26413.66"/>
    <n v="25354.521920000003"/>
    <n v="0.48977037592669626"/>
    <s v="On-time"/>
    <x v="0"/>
  </r>
  <r>
    <s v="ORD-2024-947056"/>
    <d v="2024-07-31T00:00:00"/>
    <s v="Q3-2024"/>
    <d v="2024-08-15T00:00:00"/>
    <n v="15"/>
    <x v="1"/>
    <x v="2"/>
    <s v="Tokyo"/>
    <s v="Corporate"/>
    <s v="Marketplace"/>
    <x v="9"/>
    <s v="Monitors"/>
    <s v="MON-1564"/>
    <n v="1252.52"/>
    <n v="1417.24"/>
    <s v="High"/>
    <n v="0.192"/>
    <n v="5"/>
    <n v="5725.6496000000006"/>
    <n v="6262.6"/>
    <n v="-536.95039999999972"/>
    <n v="-9.3779821943696953E-2"/>
    <s v="Delayed"/>
    <x v="0"/>
  </r>
  <r>
    <s v="ORD-2025-856556"/>
    <d v="2025-06-15T00:00:00"/>
    <s v="Q2-2025"/>
    <d v="2025-07-12T00:00:00"/>
    <n v="27"/>
    <x v="3"/>
    <x v="7"/>
    <s v="Marseille"/>
    <s v="Consumer"/>
    <s v="Direct"/>
    <x v="0"/>
    <s v="Accessories"/>
    <s v="ACC-7906"/>
    <n v="318.83"/>
    <n v="699.5"/>
    <s v="High"/>
    <n v="0.08"/>
    <n v="13"/>
    <n v="8366.02"/>
    <n v="4144.79"/>
    <n v="4221.2300000000005"/>
    <n v="0.50456848059172699"/>
    <s v="Delayed"/>
    <x v="0"/>
  </r>
  <r>
    <s v="ORD-2024-442776"/>
    <d v="2024-06-30T00:00:00"/>
    <s v="Q2-2024"/>
    <d v="2024-07-21T00:00:00"/>
    <n v="21"/>
    <x v="0"/>
    <x v="0"/>
    <s v="Kisumu"/>
    <s v="Small Business"/>
    <s v="Retail"/>
    <x v="11"/>
    <s v="Laptops"/>
    <s v="LAP-6577"/>
    <n v="753.43"/>
    <n v="1787.2"/>
    <s v="High"/>
    <n v="7.2999999999999995E-2"/>
    <n v="9"/>
    <n v="14910.609600000002"/>
    <n v="6780.87"/>
    <n v="8129.7396000000017"/>
    <n v="0.54523187301476939"/>
    <s v="Delayed"/>
    <x v="0"/>
  </r>
  <r>
    <s v="ORD-2025-705398"/>
    <d v="2025-02-17T00:00:00"/>
    <s v="Q1-2025"/>
    <d v="2025-02-24T00:00:00"/>
    <n v="7"/>
    <x v="2"/>
    <x v="3"/>
    <s v="Toronto"/>
    <s v="Small Business"/>
    <s v="Retail"/>
    <x v="14"/>
    <s v="Components"/>
    <s v="CMP-5065"/>
    <n v="1133.47"/>
    <n v="1698.75"/>
    <s v="High"/>
    <n v="4.2999999999999997E-2"/>
    <n v="5"/>
    <n v="8128.5187499999993"/>
    <n v="5667.35"/>
    <n v="2461.1687499999989"/>
    <n v="0.30278194904821976"/>
    <s v="On-time"/>
    <x v="0"/>
  </r>
  <r>
    <s v="ORD-2023-689428"/>
    <d v="2023-01-07T00:00:00"/>
    <s v="Q1-2023"/>
    <d v="2023-01-30T00:00:00"/>
    <n v="23"/>
    <x v="0"/>
    <x v="11"/>
    <s v="Cape Town"/>
    <s v="Consumer"/>
    <s v="Online"/>
    <x v="8"/>
    <s v="Printers"/>
    <s v="PRN-4787"/>
    <n v="299.02"/>
    <n v="724.7"/>
    <s v="High"/>
    <n v="0.14000000000000001"/>
    <n v="5"/>
    <n v="3116.21"/>
    <n v="1495.1"/>
    <n v="1621.1100000000001"/>
    <n v="0.52021847051386139"/>
    <s v="Delayed"/>
    <x v="0"/>
  </r>
  <r>
    <s v="ORD-2025-683247"/>
    <d v="2025-03-10T00:00:00"/>
    <s v="Q1-2025"/>
    <d v="2025-04-04T00:00:00"/>
    <n v="25"/>
    <x v="1"/>
    <x v="2"/>
    <s v="Osaka"/>
    <s v="Corporate"/>
    <s v="Direct"/>
    <x v="10"/>
    <s v="Printers"/>
    <s v="PRN-9867"/>
    <n v="783.72"/>
    <n v="1355.94"/>
    <s v="High"/>
    <n v="0.187"/>
    <n v="4"/>
    <n v="4409.5168800000001"/>
    <n v="3134.88"/>
    <n v="1274.63688"/>
    <n v="0.28906497348525856"/>
    <s v="Delayed"/>
    <x v="0"/>
  </r>
  <r>
    <s v="ORD-2024-585443"/>
    <d v="2024-08-17T00:00:00"/>
    <s v="Q3-2024"/>
    <d v="2024-08-24T00:00:00"/>
    <n v="7"/>
    <x v="2"/>
    <x v="5"/>
    <s v="Rio de Janeiro"/>
    <s v="Consumer"/>
    <s v="Direct"/>
    <x v="12"/>
    <s v="Monitors"/>
    <s v="MON-2849"/>
    <n v="165.3"/>
    <n v="275.07"/>
    <s v="High"/>
    <n v="0.13300000000000001"/>
    <n v="25"/>
    <n v="5962.1422499999999"/>
    <n v="4132.5"/>
    <n v="1829.6422499999999"/>
    <n v="0.30687665159280625"/>
    <s v="On-time"/>
    <x v="0"/>
  </r>
  <r>
    <s v="ORD-2024-907733"/>
    <d v="2024-03-09T00:00:00"/>
    <s v="Q1-2024"/>
    <d v="2024-03-22T00:00:00"/>
    <n v="13"/>
    <x v="3"/>
    <x v="8"/>
    <s v="Manchester"/>
    <s v="Consumer"/>
    <s v="Online"/>
    <x v="6"/>
    <s v="Laptops"/>
    <s v="LAP-8633"/>
    <n v="985.45"/>
    <n v="1802.44"/>
    <s v="High"/>
    <n v="8.9999999999999993E-3"/>
    <n v="19"/>
    <n v="33938.142760000002"/>
    <n v="18723.55"/>
    <n v="15214.592760000003"/>
    <n v="0.44830363486867486"/>
    <s v="Delayed"/>
    <x v="0"/>
  </r>
  <r>
    <s v="ORD-2024-550400"/>
    <d v="2024-08-19T00:00:00"/>
    <s v="Q3-2024"/>
    <d v="2024-09-02T00:00:00"/>
    <n v="14"/>
    <x v="2"/>
    <x v="3"/>
    <s v="Toronto"/>
    <s v="Consumer"/>
    <s v="Distributor"/>
    <x v="0"/>
    <s v="Printers"/>
    <s v="PRN-9793"/>
    <n v="1337.01"/>
    <n v="1269.78"/>
    <s v="High"/>
    <n v="0.16"/>
    <n v="7"/>
    <n v="7466.3063999999986"/>
    <n v="9359.07"/>
    <n v="-1892.7636000000011"/>
    <n v="-0.25350735672996244"/>
    <s v="Delayed"/>
    <x v="0"/>
  </r>
  <r>
    <s v="ORD-2025-189846"/>
    <d v="2025-08-11T00:00:00"/>
    <s v="Q3-2025"/>
    <d v="2025-08-28T00:00:00"/>
    <n v="17"/>
    <x v="3"/>
    <x v="7"/>
    <s v="Paris"/>
    <s v="Education"/>
    <s v="Online"/>
    <x v="9"/>
    <s v="Networking"/>
    <s v="NET-6218"/>
    <n v="416.16"/>
    <n v="571.9"/>
    <s v="High"/>
    <n v="7.0999999999999994E-2"/>
    <n v="2"/>
    <n v="1062.5902000000001"/>
    <n v="832.32"/>
    <n v="230.27020000000005"/>
    <n v="0.21670649701079497"/>
    <s v="Delayed"/>
    <x v="0"/>
  </r>
  <r>
    <s v="ORD-2025-752192"/>
    <d v="2025-05-16T00:00:00"/>
    <s v="Q2-2025"/>
    <d v="2025-05-18T00:00:00"/>
    <n v="2"/>
    <x v="1"/>
    <x v="2"/>
    <s v="Tokyo"/>
    <s v="Enterprise"/>
    <s v="Retail"/>
    <x v="1"/>
    <s v="Printers"/>
    <s v="PRN-6131"/>
    <n v="1144.3800000000001"/>
    <n v="2755.04"/>
    <s v="High"/>
    <n v="0.15"/>
    <n v="17"/>
    <n v="39810.328000000001"/>
    <n v="19454.460000000003"/>
    <n v="20355.867999999999"/>
    <n v="0.51132128326096682"/>
    <s v="On-time"/>
    <x v="0"/>
  </r>
  <r>
    <s v="ORD-2023-294716"/>
    <d v="2023-04-10T00:00:00"/>
    <s v="Q2-2023"/>
    <d v="2023-04-25T00:00:00"/>
    <n v="15"/>
    <x v="3"/>
    <x v="8"/>
    <s v="London"/>
    <s v="Small Business"/>
    <s v="Retail"/>
    <x v="14"/>
    <s v="Printers"/>
    <s v="PRN-5067"/>
    <n v="405.66"/>
    <n v="962.51"/>
    <s v="High"/>
    <n v="0.19"/>
    <n v="7"/>
    <n v="5457.4317000000001"/>
    <n v="2839.6200000000003"/>
    <n v="2617.8116999999997"/>
    <n v="0.47967832561239376"/>
    <s v="Delayed"/>
    <x v="0"/>
  </r>
  <r>
    <s v="ORD-2023-552115"/>
    <d v="2023-09-17T00:00:00"/>
    <s v="Q3-2023"/>
    <d v="2023-10-02T00:00:00"/>
    <n v="15"/>
    <x v="2"/>
    <x v="5"/>
    <s v="Rio de Janeiro"/>
    <s v="Small Business"/>
    <s v="Retail"/>
    <x v="5"/>
    <s v="Laptops"/>
    <s v="LAP-4932"/>
    <n v="689.33"/>
    <n v="668.27"/>
    <s v="High"/>
    <n v="0.186"/>
    <n v="13"/>
    <n v="7071.6331400000008"/>
    <n v="8961.2900000000009"/>
    <n v="-1889.6568600000001"/>
    <n v="-0.26721647214861033"/>
    <s v="Delayed"/>
    <x v="0"/>
  </r>
  <r>
    <s v="ORD-2023-107265"/>
    <d v="2023-04-22T00:00:00"/>
    <s v="Q2-2023"/>
    <d v="2023-05-14T00:00:00"/>
    <n v="22"/>
    <x v="1"/>
    <x v="2"/>
    <s v="Nagoya"/>
    <s v="Enterprise"/>
    <s v="Retail"/>
    <x v="8"/>
    <s v="Accessories"/>
    <s v="ACC-7713"/>
    <n v="1209.22"/>
    <n v="1404.33"/>
    <s v="High"/>
    <n v="0.10299999999999999"/>
    <n v="11"/>
    <n v="13856.52411"/>
    <n v="13301.42"/>
    <n v="555.10411000000022"/>
    <n v="4.0060848275751328E-2"/>
    <s v="Delayed"/>
    <x v="0"/>
  </r>
  <r>
    <s v="ORD-2025-262434"/>
    <d v="2025-06-19T00:00:00"/>
    <s v="Q2-2025"/>
    <d v="2025-06-21T00:00:00"/>
    <n v="2"/>
    <x v="0"/>
    <x v="11"/>
    <s v="Johannesburg"/>
    <s v="Small Business"/>
    <s v="Unknown"/>
    <x v="10"/>
    <s v="Phones"/>
    <s v="PHN-7379"/>
    <n v="1466.27"/>
    <n v="3589.89"/>
    <s v="High"/>
    <n v="9.7000000000000003E-2"/>
    <n v="9"/>
    <n v="29175.036029999999"/>
    <n v="13196.43"/>
    <n v="15978.606029999999"/>
    <n v="0.54768076425234147"/>
    <s v="On-time"/>
    <x v="0"/>
  </r>
  <r>
    <s v="ORD-2024-266562"/>
    <d v="2024-11-27T00:00:00"/>
    <s v="Q4-2024"/>
    <d v="2024-12-24T00:00:00"/>
    <n v="27"/>
    <x v="0"/>
    <x v="0"/>
    <s v="Mombasa"/>
    <s v="Corporate"/>
    <s v="Distributor"/>
    <x v="5"/>
    <s v="Printers"/>
    <s v="PRN-5569"/>
    <n v="143.33000000000001"/>
    <n v="233.51"/>
    <s v="High"/>
    <n v="0.16300000000000001"/>
    <n v="14"/>
    <n v="2736.27018"/>
    <n v="2006.6200000000001"/>
    <n v="729.65017999999986"/>
    <n v="0.26665867476580835"/>
    <s v="Delayed"/>
    <x v="0"/>
  </r>
  <r>
    <s v="ORD-2024-838925"/>
    <d v="2024-01-28T00:00:00"/>
    <s v="Q1-2024"/>
    <d v="2024-02-04T00:00:00"/>
    <n v="7"/>
    <x v="0"/>
    <x v="11"/>
    <s v="Cape Town"/>
    <s v="Enterprise"/>
    <s v="Direct"/>
    <x v="7"/>
    <s v="Components"/>
    <s v="CMP-1470"/>
    <n v="109.75"/>
    <n v="124.25"/>
    <s v="High"/>
    <n v="0.12"/>
    <n v="19"/>
    <n v="2077.46"/>
    <n v="2085.25"/>
    <n v="-7.7899999999999636"/>
    <n v="-3.7497713554051405E-3"/>
    <s v="On-time"/>
    <x v="0"/>
  </r>
  <r>
    <s v="ORD-2023-664790"/>
    <d v="2023-04-16T00:00:00"/>
    <s v="Q2-2023"/>
    <d v="2023-04-23T00:00:00"/>
    <n v="7"/>
    <x v="2"/>
    <x v="10"/>
    <s v="Austin"/>
    <s v="Corporate"/>
    <s v="Distributor"/>
    <x v="7"/>
    <s v="Printers"/>
    <s v="PRN-9249"/>
    <n v="1099.1500000000001"/>
    <n v="1431.37"/>
    <s v="High"/>
    <n v="0.104"/>
    <n v="8"/>
    <n v="10260.060159999999"/>
    <n v="8793.2000000000007"/>
    <n v="1466.8601599999984"/>
    <n v="0.14296798821109433"/>
    <s v="On-time"/>
    <x v="0"/>
  </r>
  <r>
    <s v="ORD-2024-331408"/>
    <d v="2024-02-01T00:00:00"/>
    <s v="Q1-2024"/>
    <d v="2024-02-01T00:00:00"/>
    <n v="0"/>
    <x v="2"/>
    <x v="10"/>
    <s v="Austin"/>
    <s v="Consumer"/>
    <s v="Distributor"/>
    <x v="10"/>
    <s v="Printers"/>
    <s v="PRN-4906"/>
    <n v="714.43"/>
    <n v="1595.52"/>
    <s v="High"/>
    <n v="0.19400000000000001"/>
    <n v="14"/>
    <n v="18003.847679999999"/>
    <n v="10002.019999999999"/>
    <n v="8001.8276800000003"/>
    <n v="0.44445097638151093"/>
    <s v="On-time"/>
    <x v="0"/>
  </r>
  <r>
    <s v="ORD-2024-741404"/>
    <d v="2024-10-19T00:00:00"/>
    <s v="Q4-2024"/>
    <d v="2024-11-06T00:00:00"/>
    <n v="18"/>
    <x v="2"/>
    <x v="10"/>
    <s v="Chicago"/>
    <s v="Education"/>
    <s v="Unknown"/>
    <x v="0"/>
    <s v="Monitors"/>
    <s v="MON-8129"/>
    <n v="942.02"/>
    <n v="1028.46"/>
    <s v="High"/>
    <n v="0"/>
    <n v="9"/>
    <n v="9256.14"/>
    <n v="8478.18"/>
    <n v="777.95999999999913"/>
    <n v="8.4047994088248354E-2"/>
    <s v="Delayed"/>
    <x v="0"/>
  </r>
  <r>
    <s v="ORD-2024-341535"/>
    <d v="2024-06-25T00:00:00"/>
    <s v="Q2-2024"/>
    <d v="2024-06-30T00:00:00"/>
    <n v="5"/>
    <x v="0"/>
    <x v="0"/>
    <s v="Kisumu"/>
    <s v="Education"/>
    <s v="Direct"/>
    <x v="12"/>
    <s v="Networking"/>
    <s v="NET-5987"/>
    <n v="1323.55"/>
    <n v="3230.35"/>
    <s v="High"/>
    <n v="2.1999999999999999E-2"/>
    <n v="26"/>
    <n v="82141.339799999987"/>
    <n v="34412.299999999996"/>
    <n v="47729.039799999991"/>
    <n v="0.58105991351263542"/>
    <s v="On-time"/>
    <x v="0"/>
  </r>
  <r>
    <s v="ORD-2023-451931"/>
    <d v="2023-07-30T00:00:00"/>
    <s v="Q3-2023"/>
    <d v="2023-08-19T00:00:00"/>
    <n v="20"/>
    <x v="3"/>
    <x v="7"/>
    <s v="Paris"/>
    <s v="Enterprise"/>
    <s v="Marketplace"/>
    <x v="3"/>
    <s v="Networking"/>
    <s v="NET-5423"/>
    <n v="1418.51"/>
    <n v="2789.61"/>
    <s v="High"/>
    <n v="0.17100000000000001"/>
    <n v="8"/>
    <n v="18500.693520000001"/>
    <n v="11348.08"/>
    <n v="7152.6135200000008"/>
    <n v="0.38661326464695689"/>
    <s v="Delayed"/>
    <x v="0"/>
  </r>
  <r>
    <s v="ORD-2025-532859"/>
    <d v="2025-03-11T00:00:00"/>
    <s v="Q1-2025"/>
    <d v="2025-03-27T00:00:00"/>
    <n v="16"/>
    <x v="1"/>
    <x v="2"/>
    <s v="Tokyo"/>
    <s v="Enterprise"/>
    <s v="Distributor"/>
    <x v="5"/>
    <s v="Printers"/>
    <s v="PRN-5264"/>
    <n v="1317.58"/>
    <n v="1897.74"/>
    <s v="High"/>
    <n v="8.1000000000000003E-2"/>
    <n v="6"/>
    <n v="10464.138360000001"/>
    <n v="7905.48"/>
    <n v="2558.6583600000013"/>
    <n v="0.24451687009230266"/>
    <s v="Delayed"/>
    <x v="0"/>
  </r>
  <r>
    <s v="ORD-2023-502205"/>
    <d v="2023-10-09T00:00:00"/>
    <s v="Q4-2023"/>
    <d v="2023-10-11T00:00:00"/>
    <n v="2"/>
    <x v="0"/>
    <x v="1"/>
    <s v="Port Harcourt"/>
    <s v="Education"/>
    <s v="Marketplace"/>
    <x v="11"/>
    <s v="Networking"/>
    <s v="NET-8856"/>
    <n v="391.16"/>
    <n v="902.47"/>
    <s v="High"/>
    <n v="4.0000000000000001E-3"/>
    <n v="12"/>
    <n v="10786.32144"/>
    <n v="4693.92"/>
    <n v="6092.4014399999996"/>
    <n v="0.56482661618139207"/>
    <s v="On-time"/>
    <x v="0"/>
  </r>
  <r>
    <s v="ORD-2024-930679"/>
    <d v="2024-12-17T00:00:00"/>
    <s v="Q4-2024"/>
    <d v="2025-01-16T00:00:00"/>
    <n v="30"/>
    <x v="3"/>
    <x v="8"/>
    <s v="Manchester"/>
    <s v="Corporate"/>
    <s v="Retail"/>
    <x v="14"/>
    <s v="Monitors"/>
    <s v="MON-4215"/>
    <n v="722.87"/>
    <n v="33.659999999999997"/>
    <s v="High"/>
    <n v="0.10199999999999999"/>
    <n v="28"/>
    <n v="846.34703999999988"/>
    <n v="20240.36"/>
    <n v="-19394.01296"/>
    <n v="-22.914965189693348"/>
    <s v="Delayed"/>
    <x v="0"/>
  </r>
  <r>
    <s v="ORD-2025-150713"/>
    <d v="2025-07-11T00:00:00"/>
    <s v="Q3-2025"/>
    <d v="2025-07-16T00:00:00"/>
    <n v="5"/>
    <x v="3"/>
    <x v="8"/>
    <s v="London"/>
    <s v="Enterprise"/>
    <s v="Online"/>
    <x v="11"/>
    <s v="Printers"/>
    <s v="PRN-5753"/>
    <n v="930.03"/>
    <n v="1086.68"/>
    <s v="High"/>
    <n v="0.109"/>
    <n v="26"/>
    <n v="25174.028880000002"/>
    <n v="24180.78"/>
    <n v="993.24888000000283"/>
    <n v="3.9455300728168656E-2"/>
    <s v="On-time"/>
    <x v="0"/>
  </r>
  <r>
    <s v="ORD-2024-756884"/>
    <d v="2024-10-13T00:00:00"/>
    <s v="Q4-2024"/>
    <d v="2024-10-24T00:00:00"/>
    <n v="11"/>
    <x v="3"/>
    <x v="7"/>
    <s v="Paris"/>
    <s v="Education"/>
    <s v="Distributor"/>
    <x v="9"/>
    <s v="Components"/>
    <s v="CMP-5006"/>
    <n v="816.7"/>
    <n v="1010.75"/>
    <s v="High"/>
    <n v="4.7E-2"/>
    <n v="43"/>
    <n v="41419.524249999995"/>
    <n v="35118.1"/>
    <n v="6301.4242499999964"/>
    <n v="0.15213656757537472"/>
    <s v="Delayed"/>
    <x v="0"/>
  </r>
  <r>
    <s v="ORD-2023-755337"/>
    <d v="2023-09-08T00:00:00"/>
    <s v="Q3-2023"/>
    <d v="2023-09-14T00:00:00"/>
    <n v="6"/>
    <x v="0"/>
    <x v="0"/>
    <s v="Nakuru"/>
    <s v="Education"/>
    <s v="Direct"/>
    <x v="2"/>
    <s v="Accessories"/>
    <s v="ACC-4766"/>
    <n v="251.03"/>
    <n v="411.48"/>
    <s v="High"/>
    <n v="0.16500000000000001"/>
    <n v="3"/>
    <n v="1030.7574"/>
    <n v="753.09"/>
    <n v="277.66739999999993"/>
    <n v="0.26938191275658069"/>
    <s v="On-time"/>
    <x v="0"/>
  </r>
  <r>
    <s v="ORD-2025-907040"/>
    <d v="2025-04-17T00:00:00"/>
    <s v="Q2-2025"/>
    <d v="2025-05-03T00:00:00"/>
    <n v="16"/>
    <x v="2"/>
    <x v="5"/>
    <s v="Rio de Janeiro"/>
    <s v="Consumer"/>
    <s v="Marketplace"/>
    <x v="1"/>
    <s v="Networking"/>
    <s v="NET-8610"/>
    <n v="168.68"/>
    <n v="413.34"/>
    <s v="High"/>
    <n v="0.186"/>
    <n v="7"/>
    <n v="2355.2113199999999"/>
    <n v="1180.76"/>
    <n v="1174.4513199999999"/>
    <n v="0.49866069767361682"/>
    <s v="Delayed"/>
    <x v="0"/>
  </r>
  <r>
    <s v="ORD-2024-817997"/>
    <d v="2024-07-28T00:00:00"/>
    <s v="Q3-2024"/>
    <d v="2024-08-23T00:00:00"/>
    <n v="26"/>
    <x v="1"/>
    <x v="4"/>
    <s v="Hyderabad"/>
    <s v="Corporate"/>
    <s v="Retail"/>
    <x v="1"/>
    <s v="Networking"/>
    <s v="NET-4675"/>
    <n v="1339.24"/>
    <n v="1558.89"/>
    <s v="High"/>
    <n v="0.192"/>
    <n v="24"/>
    <n v="30229.994880000002"/>
    <n v="32141.760000000002"/>
    <n v="-1911.76512"/>
    <n v="-6.3240669659021781E-2"/>
    <s v="Delayed"/>
    <x v="0"/>
  </r>
  <r>
    <s v="ORD-2025-649633"/>
    <d v="2025-07-19T00:00:00"/>
    <s v="Q3-2025"/>
    <d v="2025-07-31T00:00:00"/>
    <n v="12"/>
    <x v="0"/>
    <x v="0"/>
    <s v="Nairobi"/>
    <s v="Small Business"/>
    <s v="Marketplace"/>
    <x v="7"/>
    <s v="Accessories"/>
    <s v="ACC-1028"/>
    <n v="619.64"/>
    <n v="861.16"/>
    <s v="High"/>
    <n v="0.113"/>
    <n v="14"/>
    <n v="10693.88488"/>
    <n v="8674.9599999999991"/>
    <n v="2018.9248800000005"/>
    <n v="0.18879246435276761"/>
    <s v="Delayed"/>
    <x v="0"/>
  </r>
  <r>
    <s v="ORD-2023-885216"/>
    <d v="2023-08-03T00:00:00"/>
    <s v="Q3-2023"/>
    <d v="2023-08-10T00:00:00"/>
    <n v="7"/>
    <x v="1"/>
    <x v="9"/>
    <s v="Shanghai"/>
    <s v="Non-Profit"/>
    <s v="Direct"/>
    <x v="1"/>
    <s v="Networking"/>
    <s v="NET-4735"/>
    <n v="1021.97"/>
    <n v="2296.25"/>
    <s v="High"/>
    <n v="0.161"/>
    <n v="26"/>
    <n v="50090.397499999999"/>
    <n v="26571.22"/>
    <n v="23519.177499999998"/>
    <n v="0.46953465482081669"/>
    <s v="On-time"/>
    <x v="0"/>
  </r>
  <r>
    <s v="ORD-2023-561823"/>
    <d v="2023-11-19T00:00:00"/>
    <s v="Q4-2023"/>
    <d v="2023-12-12T00:00:00"/>
    <n v="23"/>
    <x v="1"/>
    <x v="4"/>
    <s v="Delhi"/>
    <s v="Small Business"/>
    <s v="Direct"/>
    <x v="0"/>
    <s v="Networking"/>
    <s v="NET-2460"/>
    <n v="1349.04"/>
    <n v="2636.6"/>
    <s v="High"/>
    <n v="0.114"/>
    <n v="14"/>
    <n v="32704.386400000003"/>
    <n v="18886.559999999998"/>
    <n v="13817.826400000005"/>
    <n v="0.42250682312143928"/>
    <s v="Delayed"/>
    <x v="0"/>
  </r>
  <r>
    <s v="ORD-2023-249805"/>
    <d v="2023-12-22T00:00:00"/>
    <s v="Q4-2023"/>
    <d v="2024-01-16T00:00:00"/>
    <n v="25"/>
    <x v="1"/>
    <x v="4"/>
    <s v="Hyderabad"/>
    <s v="Small Business"/>
    <s v="Retail"/>
    <x v="8"/>
    <s v="Components"/>
    <s v="CMP-1555"/>
    <n v="1346.81"/>
    <n v="978.09"/>
    <s v="High"/>
    <n v="0.159"/>
    <n v="17"/>
    <n v="13983.752729999998"/>
    <n v="22895.77"/>
    <n v="-8912.0172700000021"/>
    <n v="-0.6373122753293996"/>
    <s v="Delayed"/>
    <x v="0"/>
  </r>
  <r>
    <s v="ORD-2023-548934"/>
    <d v="2023-08-03T00:00:00"/>
    <s v="Q3-2023"/>
    <d v="2023-08-30T00:00:00"/>
    <n v="27"/>
    <x v="1"/>
    <x v="9"/>
    <s v="Shanghai"/>
    <s v="Consumer"/>
    <s v="Distributor"/>
    <x v="13"/>
    <s v="Monitors"/>
    <s v="MON-3773"/>
    <n v="226.04"/>
    <n v="545.72"/>
    <s v="High"/>
    <n v="0.151"/>
    <n v="11"/>
    <n v="5096.4790800000001"/>
    <n v="2486.44"/>
    <n v="2610.03908"/>
    <n v="0.51212592831834014"/>
    <s v="Delayed"/>
    <x v="0"/>
  </r>
  <r>
    <s v="ORD-2023-921939"/>
    <d v="2023-06-23T00:00:00"/>
    <s v="Q2-2023"/>
    <d v="2023-07-18T00:00:00"/>
    <n v="25"/>
    <x v="2"/>
    <x v="3"/>
    <s v="Vancouver"/>
    <s v="Enterprise"/>
    <s v="Online"/>
    <x v="13"/>
    <s v="Phones"/>
    <s v="PHN-4677"/>
    <n v="807.02"/>
    <n v="1435.54"/>
    <s v="High"/>
    <n v="0"/>
    <n v="23"/>
    <n v="33017.42"/>
    <n v="18561.46"/>
    <n v="14455.96"/>
    <n v="0.43782827368098415"/>
    <s v="Delayed"/>
    <x v="0"/>
  </r>
  <r>
    <s v="ORD-2023-961864"/>
    <d v="2023-12-07T00:00:00"/>
    <s v="Q4-2023"/>
    <d v="2024-01-02T00:00:00"/>
    <n v="26"/>
    <x v="3"/>
    <x v="6"/>
    <s v="Frankfurt"/>
    <s v="Enterprise"/>
    <s v="Distributor"/>
    <x v="6"/>
    <s v="Components"/>
    <s v="CMP-1940"/>
    <n v="1071.99"/>
    <n v="2397.3000000000002"/>
    <s v="High"/>
    <n v="6.2E-2"/>
    <n v="18"/>
    <n v="40476.013200000001"/>
    <n v="19295.82"/>
    <n v="21180.193200000002"/>
    <n v="0.52327765324476183"/>
    <s v="Delayed"/>
    <x v="0"/>
  </r>
  <r>
    <s v="ORD-2023-455933"/>
    <d v="2023-11-19T00:00:00"/>
    <s v="Q4-2023"/>
    <d v="2023-12-19T00:00:00"/>
    <n v="30"/>
    <x v="1"/>
    <x v="2"/>
    <s v="Nagoya"/>
    <s v="Consumer"/>
    <s v="Retail"/>
    <x v="15"/>
    <s v="Phones"/>
    <s v="PHN-9184"/>
    <n v="807.11"/>
    <n v="1853.86"/>
    <s v="High"/>
    <n v="0.13900000000000001"/>
    <n v="8"/>
    <n v="12769.38768"/>
    <n v="6456.88"/>
    <n v="6312.5076799999997"/>
    <n v="0.49434693645388639"/>
    <s v="Delayed"/>
    <x v="0"/>
  </r>
  <r>
    <s v="ORD-2025-728935"/>
    <d v="2025-02-28T00:00:00"/>
    <s v="Q1-2025"/>
    <d v="2025-03-10T00:00:00"/>
    <n v="10"/>
    <x v="1"/>
    <x v="2"/>
    <s v="Osaka"/>
    <s v="Education"/>
    <s v="Distributor"/>
    <x v="13"/>
    <s v="Laptops"/>
    <s v="LAP-3017"/>
    <n v="51.86"/>
    <n v="45.98"/>
    <s v="High"/>
    <n v="0.17299999999999999"/>
    <n v="7"/>
    <n v="266.17821999999995"/>
    <n v="363.02"/>
    <n v="-96.841780000000028"/>
    <n v="-0.3638230806412337"/>
    <s v="Delayed"/>
    <x v="0"/>
  </r>
</pivotCacheRecords>
</file>

<file path=xl/pivotCache/pivotCacheRecords4.xml><?xml version="1.0" encoding="utf-8"?>
<pivotCacheRecords xmlns="http://schemas.openxmlformats.org/spreadsheetml/2006/main" xmlns:r="http://schemas.openxmlformats.org/officeDocument/2006/relationships" count="631">
  <r>
    <s v="ORD-2024-275203"/>
    <x v="0"/>
    <x v="0"/>
    <d v="2024-04-06T00:00:00"/>
    <n v="26"/>
    <x v="0"/>
    <x v="0"/>
    <s v="Kisumu"/>
    <s v="Corporate"/>
    <x v="0"/>
    <x v="0"/>
    <x v="0"/>
    <x v="0"/>
    <n v="279.24"/>
    <n v="608.9"/>
    <s v="High"/>
    <n v="0.112"/>
    <n v="9"/>
    <n v="4866.3287999999993"/>
    <n v="2513.16"/>
    <n v="2353.1687999999995"/>
    <n v="0.48356140670149533"/>
    <x v="0"/>
    <x v="0"/>
    <n v="0.112"/>
    <n v="540.70320000000004"/>
    <n v="307.16400000000004"/>
    <n v="10"/>
    <n v="5407.0320000000002"/>
    <n v="2335.3919999999998"/>
  </r>
  <r>
    <s v="ORD-2024-358795"/>
    <x v="1"/>
    <x v="1"/>
    <d v="2024-10-30T00:00:00"/>
    <n v="7"/>
    <x v="0"/>
    <x v="1"/>
    <s v="Port Harcourt"/>
    <s v="Education"/>
    <x v="1"/>
    <x v="1"/>
    <x v="1"/>
    <x v="1"/>
    <n v="1084.3900000000001"/>
    <n v="759.33"/>
    <s v="High"/>
    <n v="0.23699999999999999"/>
    <n v="31"/>
    <n v="17960.432489999999"/>
    <n v="33616.090000000004"/>
    <n v="-15655.657510000005"/>
    <n v="-0.87167486187856302"/>
    <x v="1"/>
    <x v="1"/>
    <n v="0.2"/>
    <n v="607.46400000000006"/>
    <n v="1192.8290000000002"/>
    <n v="33"/>
    <n v="20046.312000000002"/>
    <n v="-19317.045000000006"/>
  </r>
  <r>
    <s v="ORD-2023-373538"/>
    <x v="2"/>
    <x v="2"/>
    <d v="2023-03-25T00:00:00"/>
    <n v="25"/>
    <x v="0"/>
    <x v="0"/>
    <s v="Nairobi"/>
    <s v="Corporate"/>
    <x v="0"/>
    <x v="2"/>
    <x v="2"/>
    <x v="2"/>
    <n v="1460.76"/>
    <n v="30.66"/>
    <s v="High"/>
    <n v="0.13100000000000001"/>
    <n v="12"/>
    <n v="319.72248000000002"/>
    <n v="17529.12"/>
    <n v="-17209.397519999999"/>
    <n v="-53.826047890032626"/>
    <x v="0"/>
    <x v="0"/>
    <n v="0.13100000000000001"/>
    <n v="26.643540000000002"/>
    <n v="1606.836"/>
    <n v="13"/>
    <n v="346.36602000000005"/>
    <n v="-20542.501980000001"/>
  </r>
  <r>
    <s v="ORD-2025-168148"/>
    <x v="3"/>
    <x v="3"/>
    <d v="2025-04-02T00:00:00"/>
    <n v="4"/>
    <x v="0"/>
    <x v="1"/>
    <s v="Lagos"/>
    <s v="Non-Profit"/>
    <x v="2"/>
    <x v="3"/>
    <x v="3"/>
    <x v="3"/>
    <n v="259.93"/>
    <n v="255.94"/>
    <s v="High"/>
    <n v="7.1999999999999995E-2"/>
    <n v="22"/>
    <n v="5225.2710400000005"/>
    <n v="5718.46"/>
    <n v="-493.1889599999995"/>
    <n v="-9.4385335463861311E-2"/>
    <x v="1"/>
    <x v="0"/>
    <n v="7.1999999999999995E-2"/>
    <n v="237.51232000000002"/>
    <n v="285.92300000000006"/>
    <n v="24"/>
    <n v="5700.2956800000002"/>
    <n v="-1161.856320000001"/>
  </r>
  <r>
    <s v="ORD-2023-824839"/>
    <x v="4"/>
    <x v="4"/>
    <d v="2023-12-31T00:00:00"/>
    <n v="25"/>
    <x v="1"/>
    <x v="2"/>
    <s v="Osaka"/>
    <s v="Consumer"/>
    <x v="0"/>
    <x v="4"/>
    <x v="1"/>
    <x v="4"/>
    <n v="663.03"/>
    <n v="813.51"/>
    <s v="High"/>
    <n v="0.10199999999999999"/>
    <n v="15"/>
    <n v="10957.9797"/>
    <n v="9945.4499999999989"/>
    <n v="1012.529700000001"/>
    <n v="9.2401129379715952E-2"/>
    <x v="0"/>
    <x v="0"/>
    <n v="0.10199999999999999"/>
    <n v="730.53197999999998"/>
    <n v="729.33300000000008"/>
    <n v="16"/>
    <n v="11688.51168"/>
    <n v="19.183679999998276"/>
  </r>
  <r>
    <s v="ORD-2023-723587"/>
    <x v="5"/>
    <x v="2"/>
    <d v="2023-01-05T00:00:00"/>
    <n v="3"/>
    <x v="2"/>
    <x v="3"/>
    <s v="Toronto"/>
    <s v="Corporate"/>
    <x v="3"/>
    <x v="5"/>
    <x v="4"/>
    <x v="5"/>
    <n v="315.87"/>
    <n v="591.67999999999995"/>
    <s v="High"/>
    <n v="0"/>
    <n v="7"/>
    <n v="4141.7599999999993"/>
    <n v="2211.09"/>
    <n v="1930.6699999999992"/>
    <n v="0.46614724175229844"/>
    <x v="1"/>
    <x v="0"/>
    <n v="0"/>
    <n v="591.67999999999995"/>
    <n v="347.45700000000005"/>
    <n v="8"/>
    <n v="4733.4399999999996"/>
    <n v="1953.7839999999992"/>
  </r>
  <r>
    <s v="ORD-2024-336584"/>
    <x v="6"/>
    <x v="1"/>
    <d v="2025-01-14T00:00:00"/>
    <n v="18"/>
    <x v="1"/>
    <x v="4"/>
    <s v="Bengaluru"/>
    <s v="Small Business"/>
    <x v="2"/>
    <x v="6"/>
    <x v="5"/>
    <x v="6"/>
    <n v="586.07000000000005"/>
    <n v="845.97"/>
    <s v="High"/>
    <n v="0.14699999999999999"/>
    <n v="4"/>
    <n v="2886.4496399999998"/>
    <n v="2344.2800000000002"/>
    <n v="542.16963999999962"/>
    <n v="0.18783270370862928"/>
    <x v="0"/>
    <x v="0"/>
    <n v="0.14699999999999999"/>
    <n v="721.61240999999995"/>
    <n v="644.67700000000013"/>
    <n v="5"/>
    <n v="3608.0620499999995"/>
    <n v="384.6770499999991"/>
  </r>
  <r>
    <s v="ORD-2023-112666"/>
    <x v="7"/>
    <x v="2"/>
    <d v="2023-01-22T00:00:00"/>
    <n v="7"/>
    <x v="0"/>
    <x v="1"/>
    <s v="Abuja"/>
    <s v="Education"/>
    <x v="1"/>
    <x v="7"/>
    <x v="1"/>
    <x v="7"/>
    <n v="28.38"/>
    <n v="47.22"/>
    <s v="High"/>
    <n v="0.19400000000000001"/>
    <n v="18"/>
    <n v="685.06776000000002"/>
    <n v="510.84"/>
    <n v="174.22776000000005"/>
    <n v="0.25432193743871417"/>
    <x v="1"/>
    <x v="0"/>
    <n v="0.19400000000000001"/>
    <n v="38.05932"/>
    <n v="31.218"/>
    <n v="19"/>
    <n v="723.12707999999998"/>
    <n v="129.98507999999998"/>
  </r>
  <r>
    <s v="ORD-2024-589570"/>
    <x v="8"/>
    <x v="5"/>
    <d v="2024-05-29T00:00:00"/>
    <n v="25"/>
    <x v="0"/>
    <x v="1"/>
    <s v="Abuja"/>
    <s v="Non-Profit"/>
    <x v="2"/>
    <x v="7"/>
    <x v="5"/>
    <x v="8"/>
    <n v="1295.3399999999999"/>
    <n v="2530.81"/>
    <s v="High"/>
    <n v="3.1E-2"/>
    <n v="6"/>
    <n v="14714.12934"/>
    <n v="7772.0399999999991"/>
    <n v="6942.0893400000004"/>
    <n v="0.4717974933880798"/>
    <x v="0"/>
    <x v="0"/>
    <n v="3.1E-2"/>
    <n v="2452.3548900000001"/>
    <n v="1424.874"/>
    <n v="7"/>
    <n v="17166.484230000002"/>
    <n v="7192.3662300000005"/>
  </r>
  <r>
    <s v="ORD-2025-997421"/>
    <x v="9"/>
    <x v="6"/>
    <d v="2025-06-09T00:00:00"/>
    <n v="19"/>
    <x v="2"/>
    <x v="5"/>
    <s v="São Paulo"/>
    <s v="Non-Profit"/>
    <x v="1"/>
    <x v="8"/>
    <x v="0"/>
    <x v="9"/>
    <n v="1331.38"/>
    <n v="2309.56"/>
    <s v="High"/>
    <n v="0.14899999999999999"/>
    <n v="31"/>
    <n v="60928.502359999999"/>
    <n v="41272.780000000006"/>
    <n v="19655.722359999992"/>
    <n v="0.32260307735553528"/>
    <x v="0"/>
    <x v="0"/>
    <n v="0.14899999999999999"/>
    <n v="1965.4355599999999"/>
    <n v="1464.5180000000003"/>
    <n v="33"/>
    <n v="64859.373479999995"/>
    <n v="16530.279479999987"/>
  </r>
  <r>
    <s v="ORD-2024-210687"/>
    <x v="10"/>
    <x v="0"/>
    <d v="2024-02-09T00:00:00"/>
    <n v="12"/>
    <x v="3"/>
    <x v="6"/>
    <s v="Berlin"/>
    <s v="Corporate"/>
    <x v="1"/>
    <x v="3"/>
    <x v="6"/>
    <x v="10"/>
    <n v="644.16999999999996"/>
    <n v="700.12"/>
    <s v="High"/>
    <n v="6.0000000000000001E-3"/>
    <n v="23"/>
    <n v="16006.14344"/>
    <n v="14815.91"/>
    <n v="1190.23344"/>
    <n v="7.436103796405813E-2"/>
    <x v="0"/>
    <x v="0"/>
    <n v="6.0000000000000001E-3"/>
    <n v="695.91927999999996"/>
    <n v="708.58699999999999"/>
    <n v="25"/>
    <n v="17397.982"/>
    <n v="-316.69300000000078"/>
  </r>
  <r>
    <s v="ORD-2025-515515"/>
    <x v="11"/>
    <x v="3"/>
    <d v="2025-01-23T00:00:00"/>
    <n v="20"/>
    <x v="1"/>
    <x v="2"/>
    <s v="Osaka"/>
    <s v="Corporate"/>
    <x v="3"/>
    <x v="9"/>
    <x v="3"/>
    <x v="11"/>
    <n v="908.6"/>
    <n v="691.37"/>
    <s v="High"/>
    <n v="0.25"/>
    <n v="20"/>
    <n v="10370.549999999999"/>
    <n v="18172"/>
    <n v="-7801.4500000000007"/>
    <n v="-0.75226964818645115"/>
    <x v="0"/>
    <x v="1"/>
    <n v="0.2"/>
    <n v="553.096"/>
    <n v="999.46000000000015"/>
    <n v="21"/>
    <n v="11615.016"/>
    <n v="-9373.6440000000039"/>
  </r>
  <r>
    <s v="ORD-2025-487261"/>
    <x v="12"/>
    <x v="3"/>
    <d v="2025-03-31T00:00:00"/>
    <n v="25"/>
    <x v="2"/>
    <x v="5"/>
    <s v="Brasília"/>
    <s v="Non-Profit"/>
    <x v="1"/>
    <x v="1"/>
    <x v="0"/>
    <x v="12"/>
    <n v="331.57"/>
    <n v="548.4"/>
    <s v="High"/>
    <n v="9.4E-2"/>
    <n v="10"/>
    <n v="4968.5039999999999"/>
    <n v="3315.7"/>
    <n v="1652.8040000000001"/>
    <n v="0.33265626836568918"/>
    <x v="0"/>
    <x v="0"/>
    <n v="9.4E-2"/>
    <n v="496.85039999999998"/>
    <n v="364.72700000000003"/>
    <n v="11"/>
    <n v="5465.3544000000002"/>
    <n v="1453.3573999999994"/>
  </r>
  <r>
    <s v="ORD-2024-890180"/>
    <x v="13"/>
    <x v="0"/>
    <d v="2024-02-13T00:00:00"/>
    <n v="24"/>
    <x v="3"/>
    <x v="7"/>
    <s v="Marseille"/>
    <s v="Corporate"/>
    <x v="0"/>
    <x v="10"/>
    <x v="1"/>
    <x v="13"/>
    <n v="643.53"/>
    <n v="1439.01"/>
    <s v="High"/>
    <n v="0"/>
    <n v="15"/>
    <n v="21585.15"/>
    <n v="9652.9499999999989"/>
    <n v="11932.200000000003"/>
    <n v="0.55279671440782208"/>
    <x v="0"/>
    <x v="0"/>
    <n v="0"/>
    <n v="1439.01"/>
    <n v="707.88300000000004"/>
    <n v="16"/>
    <n v="23024.16"/>
    <n v="11698.031999999999"/>
  </r>
  <r>
    <s v="ORD-2025-840976"/>
    <x v="14"/>
    <x v="7"/>
    <d v="2025-09-30T00:00:00"/>
    <n v="29"/>
    <x v="2"/>
    <x v="5"/>
    <s v="Brasília"/>
    <s v="Education"/>
    <x v="0"/>
    <x v="11"/>
    <x v="6"/>
    <x v="14"/>
    <n v="780.59"/>
    <n v="631.57000000000005"/>
    <s v="High"/>
    <n v="0"/>
    <n v="12"/>
    <n v="7578.84"/>
    <n v="9367.08"/>
    <n v="-1788.2399999999998"/>
    <n v="-0.23595167598207639"/>
    <x v="0"/>
    <x v="0"/>
    <n v="0"/>
    <n v="631.57000000000005"/>
    <n v="858.64900000000011"/>
    <n v="13"/>
    <n v="8210.41"/>
    <n v="-2952.027000000001"/>
  </r>
  <r>
    <s v="ORD-2023-937291"/>
    <x v="15"/>
    <x v="8"/>
    <d v="2023-04-30T00:00:00"/>
    <n v="7"/>
    <x v="0"/>
    <x v="0"/>
    <s v="Nairobi"/>
    <s v="Small Business"/>
    <x v="4"/>
    <x v="6"/>
    <x v="4"/>
    <x v="15"/>
    <n v="756.51"/>
    <n v="850.8"/>
    <s v="High"/>
    <n v="7.3999999999999996E-2"/>
    <n v="9"/>
    <n v="7090.5672000000004"/>
    <n v="6808.59"/>
    <n v="281.97720000000027"/>
    <n v="3.9767932810791252E-2"/>
    <x v="1"/>
    <x v="0"/>
    <n v="7.3999999999999996E-2"/>
    <n v="787.84079999999994"/>
    <n v="832.16100000000006"/>
    <n v="10"/>
    <n v="7878.4079999999994"/>
    <n v="-443.20200000000114"/>
  </r>
  <r>
    <s v="ORD-2024-206081"/>
    <x v="16"/>
    <x v="1"/>
    <d v="2025-01-08T00:00:00"/>
    <n v="29"/>
    <x v="3"/>
    <x v="7"/>
    <s v="Marseille"/>
    <s v="Small Business"/>
    <x v="0"/>
    <x v="11"/>
    <x v="1"/>
    <x v="16"/>
    <n v="891.08"/>
    <n v="1040.0999999999999"/>
    <s v="High"/>
    <n v="0.109"/>
    <n v="28"/>
    <n v="25948.414799999995"/>
    <n v="24950.240000000002"/>
    <n v="998.17479999999341"/>
    <n v="3.8467660074556598E-2"/>
    <x v="0"/>
    <x v="0"/>
    <n v="0.109"/>
    <n v="926.7290999999999"/>
    <n v="980.1880000000001"/>
    <n v="30"/>
    <n v="27801.872999999996"/>
    <n v="-1603.767000000006"/>
  </r>
  <r>
    <s v="ORD-2025-233883"/>
    <x v="17"/>
    <x v="7"/>
    <d v="2025-09-16T00:00:00"/>
    <n v="8"/>
    <x v="1"/>
    <x v="2"/>
    <s v="Osaka"/>
    <s v="Corporate"/>
    <x v="3"/>
    <x v="0"/>
    <x v="3"/>
    <x v="17"/>
    <n v="1225.57"/>
    <n v="2705.57"/>
    <s v="High"/>
    <n v="0.183"/>
    <n v="16"/>
    <n v="35367.211040000002"/>
    <n v="19609.12"/>
    <n v="15758.091040000003"/>
    <n v="0.44555650775453404"/>
    <x v="0"/>
    <x v="0"/>
    <n v="0.183"/>
    <n v="2210.4506900000001"/>
    <n v="1348.127"/>
    <n v="17"/>
    <n v="37577.66173"/>
    <n v="14659.502730000004"/>
  </r>
  <r>
    <s v="ORD-2025-843974"/>
    <x v="18"/>
    <x v="7"/>
    <d v="2025-08-05T00:00:00"/>
    <n v="16"/>
    <x v="2"/>
    <x v="5"/>
    <s v="Brasília"/>
    <s v="Enterprise"/>
    <x v="2"/>
    <x v="3"/>
    <x v="6"/>
    <x v="18"/>
    <n v="1068.17"/>
    <n v="2375.37"/>
    <s v="High"/>
    <n v="0.109"/>
    <n v="18"/>
    <n v="38096.18406"/>
    <n v="19227.060000000001"/>
    <n v="18869.124059999998"/>
    <n v="0.49530220744108822"/>
    <x v="0"/>
    <x v="0"/>
    <n v="0.109"/>
    <n v="2116.4546700000001"/>
    <n v="1174.9870000000001"/>
    <n v="19"/>
    <n v="40212.638729999999"/>
    <n v="17887.885730000002"/>
  </r>
  <r>
    <s v="ORD-2025-745263"/>
    <x v="9"/>
    <x v="6"/>
    <d v="2025-05-28T00:00:00"/>
    <n v="7"/>
    <x v="3"/>
    <x v="8"/>
    <s v="Birmingham"/>
    <s v="Enterprise"/>
    <x v="1"/>
    <x v="12"/>
    <x v="4"/>
    <x v="19"/>
    <n v="1015.16"/>
    <n v="2148.14"/>
    <s v="High"/>
    <n v="3.7999999999999999E-2"/>
    <n v="19"/>
    <n v="39263.702919999996"/>
    <n v="19288.04"/>
    <n v="19975.662919999995"/>
    <n v="0.50875647059322227"/>
    <x v="1"/>
    <x v="0"/>
    <n v="3.7999999999999999E-2"/>
    <n v="2066.5106799999999"/>
    <n v="1116.6760000000002"/>
    <n v="20"/>
    <n v="41330.213599999995"/>
    <n v="18996.693599999995"/>
  </r>
  <r>
    <s v="ORD-2024-798002"/>
    <x v="19"/>
    <x v="9"/>
    <d v="2024-08-01T00:00:00"/>
    <n v="7"/>
    <x v="0"/>
    <x v="0"/>
    <s v="Mombasa"/>
    <s v="Non-Profit"/>
    <x v="4"/>
    <x v="1"/>
    <x v="4"/>
    <x v="20"/>
    <n v="1494.4"/>
    <n v="3661.07"/>
    <s v="High"/>
    <n v="7.1999999999999995E-2"/>
    <n v="7"/>
    <n v="23782.310720000001"/>
    <n v="10460.800000000001"/>
    <n v="13321.51072"/>
    <n v="0.56014366630897339"/>
    <x v="1"/>
    <x v="0"/>
    <n v="7.1999999999999995E-2"/>
    <n v="3397.4729600000005"/>
    <n v="1643.8400000000001"/>
    <n v="8"/>
    <n v="27179.783680000004"/>
    <n v="14029.063680000003"/>
  </r>
  <r>
    <s v="ORD-2023-867836"/>
    <x v="20"/>
    <x v="8"/>
    <d v="2023-05-28T00:00:00"/>
    <n v="17"/>
    <x v="1"/>
    <x v="9"/>
    <s v="Shenzhen"/>
    <s v="Enterprise"/>
    <x v="2"/>
    <x v="6"/>
    <x v="2"/>
    <x v="21"/>
    <n v="1331.19"/>
    <n v="2903.09"/>
    <s v="High"/>
    <n v="0.14299999999999999"/>
    <n v="8"/>
    <n v="19903.585040000002"/>
    <n v="10649.52"/>
    <n v="9254.0650400000013"/>
    <n v="0.46494463290920784"/>
    <x v="0"/>
    <x v="0"/>
    <n v="0.14299999999999999"/>
    <n v="2487.9481300000002"/>
    <n v="1464.3090000000002"/>
    <n v="9"/>
    <n v="22391.533170000002"/>
    <n v="9212.7521699999998"/>
  </r>
  <r>
    <s v="ORD-2025-580047"/>
    <x v="21"/>
    <x v="6"/>
    <d v="2025-06-29T00:00:00"/>
    <n v="15"/>
    <x v="0"/>
    <x v="1"/>
    <s v="Port Harcourt"/>
    <s v="Consumer"/>
    <x v="2"/>
    <x v="12"/>
    <x v="6"/>
    <x v="22"/>
    <n v="730.99"/>
    <n v="1242.8399999999999"/>
    <s v="High"/>
    <n v="0.12"/>
    <n v="10"/>
    <n v="10936.992"/>
    <n v="7309.9"/>
    <n v="3627.0920000000006"/>
    <n v="0.33163524303574515"/>
    <x v="0"/>
    <x v="0"/>
    <n v="0.12"/>
    <n v="1093.6992"/>
    <n v="804.08900000000006"/>
    <n v="11"/>
    <n v="12030.691200000001"/>
    <n v="3185.7121999999995"/>
  </r>
  <r>
    <s v="ORD-2024-500109"/>
    <x v="22"/>
    <x v="5"/>
    <d v="2024-05-23T00:00:00"/>
    <n v="5"/>
    <x v="2"/>
    <x v="10"/>
    <s v="Chicago"/>
    <s v="Enterprise"/>
    <x v="0"/>
    <x v="10"/>
    <x v="4"/>
    <x v="23"/>
    <n v="1274.5899999999999"/>
    <n v="2553.69"/>
    <s v="High"/>
    <n v="0.01"/>
    <n v="8"/>
    <n v="20225.2248"/>
    <n v="10196.719999999999"/>
    <n v="10028.504800000001"/>
    <n v="0.49584145042481803"/>
    <x v="1"/>
    <x v="0"/>
    <n v="0.01"/>
    <n v="2528.1531"/>
    <n v="1402.049"/>
    <n v="9"/>
    <n v="22753.377899999999"/>
    <n v="10134.936900000001"/>
  </r>
  <r>
    <s v="ORD-2023-271836"/>
    <x v="23"/>
    <x v="2"/>
    <d v="2023-02-12T00:00:00"/>
    <n v="5"/>
    <x v="2"/>
    <x v="5"/>
    <s v="São Paulo"/>
    <s v="Education"/>
    <x v="1"/>
    <x v="13"/>
    <x v="0"/>
    <x v="24"/>
    <n v="948.55"/>
    <n v="2089.16"/>
    <s v="High"/>
    <n v="7.0000000000000001E-3"/>
    <n v="12"/>
    <n v="24894.430559999997"/>
    <n v="11382.599999999999"/>
    <n v="13511.830559999999"/>
    <n v="0.54276519912492427"/>
    <x v="1"/>
    <x v="0"/>
    <n v="7.0000000000000001E-3"/>
    <n v="2074.5358799999999"/>
    <n v="1043.405"/>
    <n v="13"/>
    <n v="26968.96644"/>
    <n v="13404.701439999999"/>
  </r>
  <r>
    <s v="ORD-2024-215294"/>
    <x v="24"/>
    <x v="5"/>
    <d v="2024-07-14T00:00:00"/>
    <n v="14"/>
    <x v="2"/>
    <x v="5"/>
    <s v="Brasília"/>
    <s v="Education"/>
    <x v="0"/>
    <x v="0"/>
    <x v="6"/>
    <x v="25"/>
    <n v="1491.85"/>
    <n v="2583.02"/>
    <s v="High"/>
    <n v="0.16800000000000001"/>
    <n v="4"/>
    <n v="8596.2905599999995"/>
    <n v="5967.4"/>
    <n v="2628.8905599999998"/>
    <n v="0.30581685689321325"/>
    <x v="0"/>
    <x v="0"/>
    <n v="0.16800000000000001"/>
    <n v="2149.0726399999999"/>
    <n v="1641.0350000000001"/>
    <n v="5"/>
    <n v="10745.3632"/>
    <n v="2540.1881999999987"/>
  </r>
  <r>
    <s v="ORD-2024-788105"/>
    <x v="25"/>
    <x v="1"/>
    <d v="2024-12-30T00:00:00"/>
    <n v="30"/>
    <x v="3"/>
    <x v="7"/>
    <s v="Marseille"/>
    <s v="Consumer"/>
    <x v="2"/>
    <x v="9"/>
    <x v="1"/>
    <x v="26"/>
    <n v="117.64"/>
    <n v="175.67"/>
    <s v="High"/>
    <n v="0"/>
    <n v="10"/>
    <n v="1756.6999999999998"/>
    <n v="1176.4000000000001"/>
    <n v="580.29999999999973"/>
    <n v="0.33033528775545046"/>
    <x v="0"/>
    <x v="0"/>
    <n v="0"/>
    <n v="175.67"/>
    <n v="129.40400000000002"/>
    <n v="11"/>
    <n v="1932.37"/>
    <n v="508.92599999999959"/>
  </r>
  <r>
    <s v="ORD-2024-855073"/>
    <x v="26"/>
    <x v="9"/>
    <d v="2024-07-19T00:00:00"/>
    <n v="0"/>
    <x v="0"/>
    <x v="0"/>
    <s v="Kisumu"/>
    <s v="Small Business"/>
    <x v="0"/>
    <x v="8"/>
    <x v="3"/>
    <x v="27"/>
    <n v="857.24"/>
    <n v="758.23"/>
    <s v="High"/>
    <n v="0.125"/>
    <n v="6"/>
    <n v="3980.7075"/>
    <n v="5143.4400000000005"/>
    <n v="-1162.7325000000005"/>
    <n v="-0.29209192084572921"/>
    <x v="1"/>
    <x v="0"/>
    <n v="0.125"/>
    <n v="663.45125000000007"/>
    <n v="942.96400000000006"/>
    <n v="7"/>
    <n v="4644.1587500000005"/>
    <n v="-1956.58925"/>
  </r>
  <r>
    <s v="ORD-2023-897079"/>
    <x v="27"/>
    <x v="8"/>
    <d v="2023-05-14T00:00:00"/>
    <n v="30"/>
    <x v="0"/>
    <x v="0"/>
    <s v="Nakuru"/>
    <s v="Consumer"/>
    <x v="2"/>
    <x v="12"/>
    <x v="3"/>
    <x v="28"/>
    <n v="209.25"/>
    <n v="434.8"/>
    <s v="High"/>
    <n v="0"/>
    <n v="9"/>
    <n v="3913.2000000000003"/>
    <n v="1883.25"/>
    <n v="2029.9500000000003"/>
    <n v="0.51874425022999082"/>
    <x v="0"/>
    <x v="0"/>
    <n v="0"/>
    <n v="434.8"/>
    <n v="230.17500000000001"/>
    <n v="10"/>
    <n v="4348"/>
    <n v="2046.25"/>
  </r>
  <r>
    <s v="ORD-2025-548982"/>
    <x v="28"/>
    <x v="6"/>
    <d v="2025-04-11T00:00:00"/>
    <n v="4"/>
    <x v="3"/>
    <x v="7"/>
    <s v="Lyon"/>
    <s v="Education"/>
    <x v="0"/>
    <x v="6"/>
    <x v="2"/>
    <x v="29"/>
    <n v="754.77"/>
    <n v="1666.18"/>
    <s v="High"/>
    <n v="0.13900000000000001"/>
    <n v="14"/>
    <n v="20084.133720000002"/>
    <n v="10566.779999999999"/>
    <n v="9517.3537200000028"/>
    <n v="0.47387424584424653"/>
    <x v="1"/>
    <x v="0"/>
    <n v="0.13900000000000001"/>
    <n v="1434.58098"/>
    <n v="830.24700000000007"/>
    <n v="15"/>
    <n v="21518.7147"/>
    <n v="9065.0096999999987"/>
  </r>
  <r>
    <s v="ORD-2024-170313"/>
    <x v="6"/>
    <x v="1"/>
    <d v="2025-01-15T00:00:00"/>
    <n v="19"/>
    <x v="1"/>
    <x v="4"/>
    <s v="Delhi"/>
    <s v="Non-Profit"/>
    <x v="3"/>
    <x v="3"/>
    <x v="0"/>
    <x v="30"/>
    <n v="495.59"/>
    <n v="631.78"/>
    <s v="High"/>
    <n v="8.6999999999999994E-2"/>
    <n v="17"/>
    <n v="9805.8573800000013"/>
    <n v="8425.0299999999988"/>
    <n v="1380.8273800000024"/>
    <n v="0.14081658813601899"/>
    <x v="0"/>
    <x v="0"/>
    <n v="8.6999999999999994E-2"/>
    <n v="576.81514000000004"/>
    <n v="545.149"/>
    <n v="18"/>
    <n v="10382.67252"/>
    <n v="569.99052000000074"/>
  </r>
  <r>
    <s v="ORD-2023-562894"/>
    <x v="29"/>
    <x v="2"/>
    <d v="2023-03-25T00:00:00"/>
    <n v="30"/>
    <x v="2"/>
    <x v="3"/>
    <s v="Montreal"/>
    <s v="Enterprise"/>
    <x v="1"/>
    <x v="14"/>
    <x v="3"/>
    <x v="31"/>
    <n v="1242.6600000000001"/>
    <n v="1794.07"/>
    <s v="High"/>
    <n v="8.8999999999999996E-2"/>
    <n v="16"/>
    <n v="26150.364320000001"/>
    <n v="19882.560000000001"/>
    <n v="6267.8043199999993"/>
    <n v="0.23968325042440553"/>
    <x v="0"/>
    <x v="0"/>
    <n v="8.8999999999999996E-2"/>
    <n v="1634.39777"/>
    <n v="1366.9260000000002"/>
    <n v="17"/>
    <n v="27784.76209"/>
    <n v="4547.0200899999982"/>
  </r>
  <r>
    <s v="ORD-2025-474710"/>
    <x v="30"/>
    <x v="7"/>
    <d v="2025-08-06T00:00:00"/>
    <n v="13"/>
    <x v="0"/>
    <x v="11"/>
    <s v="Johannesburg"/>
    <s v="Education"/>
    <x v="2"/>
    <x v="14"/>
    <x v="2"/>
    <x v="32"/>
    <n v="1463.9"/>
    <n v="2633.02"/>
    <s v="High"/>
    <n v="8.4000000000000005E-2"/>
    <n v="4"/>
    <n v="9647.3852800000004"/>
    <n v="5855.6"/>
    <n v="3791.7852800000001"/>
    <n v="0.39303761277791527"/>
    <x v="0"/>
    <x v="0"/>
    <n v="8.4000000000000005E-2"/>
    <n v="2411.8463200000001"/>
    <n v="1610.2900000000002"/>
    <n v="5"/>
    <n v="12059.231600000001"/>
    <n v="4007.7815999999993"/>
  </r>
  <r>
    <s v="ORD-2024-629525"/>
    <x v="31"/>
    <x v="5"/>
    <d v="2024-05-08T00:00:00"/>
    <n v="20"/>
    <x v="3"/>
    <x v="8"/>
    <s v="London"/>
    <s v="Non-Profit"/>
    <x v="5"/>
    <x v="14"/>
    <x v="4"/>
    <x v="33"/>
    <n v="645.33000000000004"/>
    <n v="1321.85"/>
    <s v="High"/>
    <n v="0"/>
    <n v="10"/>
    <n v="13218.5"/>
    <n v="6453.3"/>
    <n v="6765.2"/>
    <n v="0.51179785906116426"/>
    <x v="0"/>
    <x v="0"/>
    <n v="0"/>
    <n v="1321.85"/>
    <n v="709.86300000000006"/>
    <n v="11"/>
    <n v="14540.349999999999"/>
    <n v="6731.8569999999982"/>
  </r>
  <r>
    <s v="ORD-2024-167215"/>
    <x v="32"/>
    <x v="9"/>
    <d v="2024-08-30T00:00:00"/>
    <n v="7"/>
    <x v="0"/>
    <x v="11"/>
    <s v="Johannesburg"/>
    <s v="Education"/>
    <x v="0"/>
    <x v="6"/>
    <x v="0"/>
    <x v="34"/>
    <n v="1432.52"/>
    <n v="3036.87"/>
    <s v="High"/>
    <n v="0"/>
    <n v="9"/>
    <n v="27331.829999999998"/>
    <n v="12892.68"/>
    <n v="14439.149999999998"/>
    <n v="0.52829064135112791"/>
    <x v="1"/>
    <x v="0"/>
    <n v="0"/>
    <n v="3036.87"/>
    <n v="1575.7720000000002"/>
    <n v="10"/>
    <n v="30368.699999999997"/>
    <n v="14610.979999999998"/>
  </r>
  <r>
    <s v="ORD-2023-864121"/>
    <x v="33"/>
    <x v="2"/>
    <d v="2023-04-22T00:00:00"/>
    <n v="26"/>
    <x v="1"/>
    <x v="4"/>
    <s v="Delhi"/>
    <s v="Non-Profit"/>
    <x v="2"/>
    <x v="1"/>
    <x v="1"/>
    <x v="35"/>
    <n v="178.53"/>
    <n v="199.37"/>
    <s v="High"/>
    <n v="0.10100000000000001"/>
    <n v="37"/>
    <n v="6631.6443100000006"/>
    <n v="6605.61"/>
    <n v="26.034310000000914"/>
    <n v="3.9257699573457538E-3"/>
    <x v="0"/>
    <x v="0"/>
    <n v="0.10100000000000001"/>
    <n v="179.23363000000001"/>
    <n v="196.38300000000001"/>
    <n v="39"/>
    <n v="6990.11157"/>
    <n v="-668.82543000000021"/>
  </r>
  <r>
    <s v="ORD-2024-692673"/>
    <x v="34"/>
    <x v="0"/>
    <d v="2024-03-25T00:00:00"/>
    <n v="18"/>
    <x v="3"/>
    <x v="6"/>
    <s v="Munich"/>
    <s v="Corporate"/>
    <x v="1"/>
    <x v="5"/>
    <x v="0"/>
    <x v="36"/>
    <n v="712.84"/>
    <n v="927.51"/>
    <s v="High"/>
    <n v="0.24299999999999999"/>
    <n v="27"/>
    <n v="18957.37689"/>
    <n v="19246.68"/>
    <n v="-289.30311000000074"/>
    <n v="-1.5260714163076427E-2"/>
    <x v="0"/>
    <x v="1"/>
    <n v="0.2"/>
    <n v="742.00800000000004"/>
    <n v="784.12400000000014"/>
    <n v="29"/>
    <n v="21518.232"/>
    <n v="-1221.3640000000028"/>
  </r>
  <r>
    <s v="ORD-2025-718992"/>
    <x v="35"/>
    <x v="6"/>
    <d v="2025-07-10T00:00:00"/>
    <n v="16"/>
    <x v="1"/>
    <x v="9"/>
    <s v="Shanghai"/>
    <s v="Enterprise"/>
    <x v="4"/>
    <x v="13"/>
    <x v="0"/>
    <x v="37"/>
    <n v="757.19"/>
    <n v="1735.41"/>
    <s v="High"/>
    <n v="0.13600000000000001"/>
    <n v="8"/>
    <n v="11995.153920000001"/>
    <n v="6057.52"/>
    <n v="5937.6339200000002"/>
    <n v="0.4950027285685718"/>
    <x v="0"/>
    <x v="0"/>
    <n v="0.13600000000000001"/>
    <n v="1499.3942400000001"/>
    <n v="832.90900000000011"/>
    <n v="9"/>
    <n v="13494.54816"/>
    <n v="5998.3671599999998"/>
  </r>
  <r>
    <s v="ORD-2024-599522"/>
    <x v="36"/>
    <x v="5"/>
    <d v="2024-05-06T00:00:00"/>
    <n v="17"/>
    <x v="0"/>
    <x v="1"/>
    <s v="Port Harcourt"/>
    <s v="Non-Profit"/>
    <x v="1"/>
    <x v="8"/>
    <x v="1"/>
    <x v="38"/>
    <n v="865.33"/>
    <n v="1395.64"/>
    <s v="High"/>
    <n v="0.17499999999999999"/>
    <n v="13"/>
    <n v="14968.239"/>
    <n v="11249.29"/>
    <n v="3718.9489999999987"/>
    <n v="0.24845601409758347"/>
    <x v="0"/>
    <x v="0"/>
    <n v="0.17499999999999999"/>
    <n v="1151.403"/>
    <n v="951.86300000000017"/>
    <n v="14"/>
    <n v="16119.642"/>
    <n v="2793.5599999999977"/>
  </r>
  <r>
    <s v="ORD-2023-651638"/>
    <x v="37"/>
    <x v="8"/>
    <d v="2023-06-24T00:00:00"/>
    <n v="7"/>
    <x v="2"/>
    <x v="10"/>
    <s v="San Francisco"/>
    <s v="Corporate"/>
    <x v="0"/>
    <x v="2"/>
    <x v="1"/>
    <x v="39"/>
    <n v="313.99"/>
    <n v="454.42"/>
    <s v="High"/>
    <n v="0.129"/>
    <n v="9"/>
    <n v="3562.1983800000003"/>
    <n v="2825.91"/>
    <n v="736.28838000000042"/>
    <n v="0.20669493988147858"/>
    <x v="1"/>
    <x v="0"/>
    <n v="0.129"/>
    <n v="395.79982000000001"/>
    <n v="345.38900000000001"/>
    <n v="10"/>
    <n v="3957.9982"/>
    <n v="504.10820000000001"/>
  </r>
  <r>
    <s v="ORD-2024-635626"/>
    <x v="38"/>
    <x v="9"/>
    <d v="2024-09-19T00:00:00"/>
    <n v="23"/>
    <x v="3"/>
    <x v="6"/>
    <s v="Berlin"/>
    <s v="Small Business"/>
    <x v="4"/>
    <x v="14"/>
    <x v="5"/>
    <x v="40"/>
    <n v="1024.01"/>
    <n v="1580.97"/>
    <s v="High"/>
    <n v="3.6999999999999998E-2"/>
    <n v="27"/>
    <n v="41106.800970000004"/>
    <n v="27648.27"/>
    <n v="13458.530970000003"/>
    <n v="0.3274039976942531"/>
    <x v="0"/>
    <x v="0"/>
    <n v="3.6999999999999998E-2"/>
    <n v="1522.4741099999999"/>
    <n v="1126.4110000000001"/>
    <n v="29"/>
    <n v="44151.749189999995"/>
    <n v="11485.830189999995"/>
  </r>
  <r>
    <s v="ORD-2024-296582"/>
    <x v="39"/>
    <x v="0"/>
    <d v="2024-02-02T00:00:00"/>
    <n v="22"/>
    <x v="0"/>
    <x v="11"/>
    <s v="Durban"/>
    <s v="Consumer"/>
    <x v="1"/>
    <x v="11"/>
    <x v="2"/>
    <x v="41"/>
    <n v="1206.2"/>
    <n v="1759.79"/>
    <s v="High"/>
    <n v="0"/>
    <n v="6"/>
    <n v="10558.74"/>
    <n v="7237.2000000000007"/>
    <n v="3321.5399999999991"/>
    <n v="0.31457730751964713"/>
    <x v="0"/>
    <x v="0"/>
    <n v="0"/>
    <n v="1759.79"/>
    <n v="1326.8200000000002"/>
    <n v="7"/>
    <n v="12318.529999999999"/>
    <n v="3030.7899999999986"/>
  </r>
  <r>
    <s v="ORD-2024-998320"/>
    <x v="40"/>
    <x v="1"/>
    <d v="2024-11-14T00:00:00"/>
    <n v="20"/>
    <x v="0"/>
    <x v="0"/>
    <s v="Mombasa"/>
    <s v="Corporate"/>
    <x v="4"/>
    <x v="10"/>
    <x v="1"/>
    <x v="42"/>
    <n v="1396.48"/>
    <n v="3204.5"/>
    <s v="High"/>
    <n v="0.3"/>
    <n v="14"/>
    <n v="31404.1"/>
    <n v="19550.72"/>
    <n v="11853.379999999997"/>
    <n v="0.3774468938769141"/>
    <x v="0"/>
    <x v="1"/>
    <n v="0.2"/>
    <n v="2563.6000000000004"/>
    <n v="1536.1280000000002"/>
    <n v="15"/>
    <n v="38454.000000000007"/>
    <n v="15412.080000000004"/>
  </r>
  <r>
    <s v="ORD-2025-820255"/>
    <x v="41"/>
    <x v="6"/>
    <d v="2025-06-20T00:00:00"/>
    <n v="22"/>
    <x v="3"/>
    <x v="6"/>
    <s v="Berlin"/>
    <s v="Corporate"/>
    <x v="4"/>
    <x v="8"/>
    <x v="1"/>
    <x v="43"/>
    <n v="483.47"/>
    <n v="1135.43"/>
    <s v="High"/>
    <n v="0.14599999999999999"/>
    <n v="11"/>
    <n v="10666.229420000001"/>
    <n v="5318.17"/>
    <n v="5348.0594200000014"/>
    <n v="0.50140112399719983"/>
    <x v="0"/>
    <x v="0"/>
    <n v="0.14599999999999999"/>
    <n v="969.65722000000005"/>
    <n v="531.81700000000012"/>
    <n v="12"/>
    <n v="11635.886640000001"/>
    <n v="5254.0826399999987"/>
  </r>
  <r>
    <s v="ORD-2024-389336"/>
    <x v="42"/>
    <x v="5"/>
    <d v="2024-06-02T00:00:00"/>
    <n v="13"/>
    <x v="2"/>
    <x v="3"/>
    <s v="Vancouver"/>
    <s v="Enterprise"/>
    <x v="2"/>
    <x v="11"/>
    <x v="0"/>
    <x v="44"/>
    <n v="675.43"/>
    <n v="996.36"/>
    <s v="High"/>
    <n v="0.182"/>
    <n v="22"/>
    <n v="17930.494560000003"/>
    <n v="14859.46"/>
    <n v="3071.0345600000037"/>
    <n v="0.17127439233332575"/>
    <x v="0"/>
    <x v="0"/>
    <n v="0.182"/>
    <n v="815.02248000000009"/>
    <n v="742.97299999999996"/>
    <n v="24"/>
    <n v="19560.539520000002"/>
    <n v="1729.1875200000031"/>
  </r>
  <r>
    <s v="ORD-2023-308124"/>
    <x v="43"/>
    <x v="8"/>
    <d v="2023-04-30T00:00:00"/>
    <n v="11"/>
    <x v="1"/>
    <x v="4"/>
    <s v="Delhi"/>
    <s v="Small Business"/>
    <x v="0"/>
    <x v="8"/>
    <x v="2"/>
    <x v="45"/>
    <n v="826.55"/>
    <n v="1397.05"/>
    <s v="High"/>
    <n v="0.16900000000000001"/>
    <n v="28"/>
    <n v="32506.559399999998"/>
    <n v="23143.399999999998"/>
    <n v="9363.1594000000005"/>
    <n v="0.28803907804527601"/>
    <x v="0"/>
    <x v="0"/>
    <n v="0.16900000000000001"/>
    <n v="1160.9485499999998"/>
    <n v="909.20500000000004"/>
    <n v="30"/>
    <n v="34828.456499999993"/>
    <n v="7552.3064999999942"/>
  </r>
  <r>
    <s v="ORD-2023-128295"/>
    <x v="44"/>
    <x v="8"/>
    <d v="2023-07-03T00:00:00"/>
    <n v="10"/>
    <x v="0"/>
    <x v="1"/>
    <s v="Abuja"/>
    <s v="Consumer"/>
    <x v="1"/>
    <x v="1"/>
    <x v="1"/>
    <x v="46"/>
    <n v="337.75"/>
    <n v="548.89"/>
    <s v="High"/>
    <n v="0"/>
    <n v="13"/>
    <n v="7135.57"/>
    <n v="4390.75"/>
    <n v="2744.8199999999997"/>
    <n v="0.38466723751571352"/>
    <x v="0"/>
    <x v="0"/>
    <n v="0"/>
    <n v="548.89"/>
    <n v="371.52500000000003"/>
    <n v="14"/>
    <n v="7684.46"/>
    <n v="2483.1099999999992"/>
  </r>
  <r>
    <s v="ORD-2024-548345"/>
    <x v="45"/>
    <x v="5"/>
    <d v="2024-05-28T00:00:00"/>
    <n v="14"/>
    <x v="3"/>
    <x v="8"/>
    <s v="Birmingham"/>
    <s v="Consumer"/>
    <x v="0"/>
    <x v="5"/>
    <x v="2"/>
    <x v="47"/>
    <n v="1421.14"/>
    <n v="3524"/>
    <s v="High"/>
    <n v="0"/>
    <n v="31"/>
    <n v="109244"/>
    <n v="44055.340000000004"/>
    <n v="65188.659999999996"/>
    <n v="0.59672531214528945"/>
    <x v="0"/>
    <x v="0"/>
    <n v="0"/>
    <n v="3524"/>
    <n v="1563.2540000000001"/>
    <n v="33"/>
    <n v="116292"/>
    <n v="64704.617999999995"/>
  </r>
  <r>
    <s v="ORD-2024-966651"/>
    <x v="46"/>
    <x v="1"/>
    <d v="2024-11-08T00:00:00"/>
    <n v="25"/>
    <x v="0"/>
    <x v="1"/>
    <s v="Lagos"/>
    <s v="Enterprise"/>
    <x v="1"/>
    <x v="7"/>
    <x v="2"/>
    <x v="48"/>
    <n v="859.35"/>
    <n v="1825.61"/>
    <s v="High"/>
    <n v="0.187"/>
    <n v="24"/>
    <n v="35621.302319999995"/>
    <n v="20624.400000000001"/>
    <n v="14996.902319999994"/>
    <n v="0.42100937762681989"/>
    <x v="0"/>
    <x v="0"/>
    <n v="0.187"/>
    <n v="1484.2209299999997"/>
    <n v="945.28500000000008"/>
    <n v="26"/>
    <n v="38589.744179999994"/>
    <n v="14012.334179999991"/>
  </r>
  <r>
    <s v="ORD-2023-292714"/>
    <x v="47"/>
    <x v="10"/>
    <d v="2023-08-01T00:00:00"/>
    <n v="22"/>
    <x v="3"/>
    <x v="7"/>
    <s v="Marseille"/>
    <s v="Consumer"/>
    <x v="2"/>
    <x v="5"/>
    <x v="1"/>
    <x v="49"/>
    <n v="1303.56"/>
    <n v="1791.37"/>
    <s v="High"/>
    <n v="0.126"/>
    <n v="22"/>
    <n v="34444.462359999998"/>
    <n v="28678.32"/>
    <n v="5766.142359999998"/>
    <n v="0.16740404596055358"/>
    <x v="0"/>
    <x v="0"/>
    <n v="0.126"/>
    <n v="1565.6573799999999"/>
    <n v="1433.9160000000002"/>
    <n v="24"/>
    <n v="37575.777119999999"/>
    <n v="3161.793119999993"/>
  </r>
  <r>
    <s v="ORD-2024-468501"/>
    <x v="48"/>
    <x v="1"/>
    <d v="2024-11-22T00:00:00"/>
    <n v="16"/>
    <x v="2"/>
    <x v="3"/>
    <s v="Toronto"/>
    <s v="Non-Profit"/>
    <x v="3"/>
    <x v="14"/>
    <x v="6"/>
    <x v="50"/>
    <n v="1454.11"/>
    <n v="2629.75"/>
    <s v="High"/>
    <n v="0.29199999999999998"/>
    <n v="8"/>
    <n v="14894.903999999999"/>
    <n v="11632.88"/>
    <n v="3262.0239999999994"/>
    <n v="0.21900268709351867"/>
    <x v="0"/>
    <x v="1"/>
    <n v="0.2"/>
    <n v="2103.8000000000002"/>
    <n v="1599.521"/>
    <n v="9"/>
    <n v="18934.2"/>
    <n v="4538.5110000000022"/>
  </r>
  <r>
    <s v="ORD-2024-260775"/>
    <x v="49"/>
    <x v="1"/>
    <d v="2024-11-06T00:00:00"/>
    <n v="20"/>
    <x v="1"/>
    <x v="4"/>
    <s v="Bengaluru"/>
    <s v="Enterprise"/>
    <x v="3"/>
    <x v="7"/>
    <x v="5"/>
    <x v="51"/>
    <n v="72.94"/>
    <n v="106.3"/>
    <s v="High"/>
    <n v="0.29499999999999998"/>
    <n v="8"/>
    <n v="599.53200000000004"/>
    <n v="583.52"/>
    <n v="16.012000000000057"/>
    <n v="2.6707498515508857E-2"/>
    <x v="0"/>
    <x v="1"/>
    <n v="0.2"/>
    <n v="85.04"/>
    <n v="80.234000000000009"/>
    <n v="9"/>
    <n v="765.36"/>
    <n v="43.253999999999976"/>
  </r>
  <r>
    <s v="ORD-2023-419187"/>
    <x v="50"/>
    <x v="2"/>
    <d v="2023-04-05T00:00:00"/>
    <n v="5"/>
    <x v="0"/>
    <x v="0"/>
    <s v="Nakuru"/>
    <s v="Education"/>
    <x v="2"/>
    <x v="5"/>
    <x v="4"/>
    <x v="52"/>
    <n v="533.26"/>
    <n v="385.72"/>
    <s v="High"/>
    <n v="0"/>
    <n v="15"/>
    <n v="5785.8"/>
    <n v="7998.9"/>
    <n v="-2213.0999999999995"/>
    <n v="-0.38250544436378708"/>
    <x v="1"/>
    <x v="0"/>
    <n v="0"/>
    <n v="385.72"/>
    <n v="586.58600000000001"/>
    <n v="16"/>
    <n v="6171.52"/>
    <n v="-3213.8559999999998"/>
  </r>
  <r>
    <s v="ORD-2025-578007"/>
    <x v="51"/>
    <x v="3"/>
    <d v="2025-02-16T00:00:00"/>
    <n v="26"/>
    <x v="3"/>
    <x v="7"/>
    <s v="Lyon"/>
    <s v="Corporate"/>
    <x v="3"/>
    <x v="7"/>
    <x v="4"/>
    <x v="53"/>
    <n v="204.11"/>
    <n v="236.87"/>
    <s v="High"/>
    <n v="0.182"/>
    <n v="13"/>
    <n v="2518.8755800000004"/>
    <n v="2653.4300000000003"/>
    <n v="-134.55441999999994"/>
    <n v="-5.3418446337075494E-2"/>
    <x v="0"/>
    <x v="0"/>
    <n v="0.182"/>
    <n v="193.75966000000003"/>
    <n v="224.52100000000004"/>
    <n v="14"/>
    <n v="2712.6352400000005"/>
    <n v="-430.65876000000026"/>
  </r>
  <r>
    <s v="ORD-2023-235230"/>
    <x v="52"/>
    <x v="10"/>
    <d v="2023-09-01T00:00:00"/>
    <n v="2"/>
    <x v="3"/>
    <x v="6"/>
    <s v="Munich"/>
    <s v="Corporate"/>
    <x v="4"/>
    <x v="13"/>
    <x v="2"/>
    <x v="54"/>
    <n v="44.42"/>
    <n v="41.9"/>
    <s v="High"/>
    <n v="0.14399999999999999"/>
    <n v="6"/>
    <n v="215.19839999999996"/>
    <n v="266.52"/>
    <n v="-51.321600000000018"/>
    <n v="-0.23848504449847224"/>
    <x v="1"/>
    <x v="0"/>
    <n v="0.14399999999999999"/>
    <n v="35.866399999999999"/>
    <n v="48.862000000000009"/>
    <n v="7"/>
    <n v="251.06479999999999"/>
    <n v="-90.969200000000072"/>
  </r>
  <r>
    <s v="ORD-2025-765220"/>
    <x v="53"/>
    <x v="6"/>
    <d v="2025-04-30T00:00:00"/>
    <n v="24"/>
    <x v="2"/>
    <x v="5"/>
    <s v="Brasília"/>
    <s v="Education"/>
    <x v="1"/>
    <x v="11"/>
    <x v="5"/>
    <x v="55"/>
    <n v="855.78"/>
    <n v="977.38"/>
    <s v="High"/>
    <n v="0.14699999999999999"/>
    <n v="38"/>
    <n v="31680.795320000001"/>
    <n v="32519.64"/>
    <n v="-838.84467999999833"/>
    <n v="-2.6478018355506307E-2"/>
    <x v="0"/>
    <x v="0"/>
    <n v="0.14699999999999999"/>
    <n v="833.70514000000003"/>
    <n v="941.35800000000006"/>
    <n v="40"/>
    <n v="33348.205600000001"/>
    <n v="-4306.1144000000013"/>
  </r>
  <r>
    <s v="ORD-2025-931538"/>
    <x v="54"/>
    <x v="3"/>
    <d v="2025-03-01T00:00:00"/>
    <n v="20"/>
    <x v="2"/>
    <x v="5"/>
    <s v="São Paulo"/>
    <s v="Corporate"/>
    <x v="3"/>
    <x v="5"/>
    <x v="4"/>
    <x v="56"/>
    <n v="1154.6400000000001"/>
    <n v="2794.13"/>
    <s v="High"/>
    <n v="3.5000000000000003E-2"/>
    <n v="11"/>
    <n v="29659.68995"/>
    <n v="12701.04"/>
    <n v="16958.649949999999"/>
    <n v="0.57177435025749479"/>
    <x v="0"/>
    <x v="0"/>
    <n v="3.5000000000000003E-2"/>
    <n v="2696.33545"/>
    <n v="1270.1040000000003"/>
    <n v="12"/>
    <n v="32356.025399999999"/>
    <n v="17114.777399999999"/>
  </r>
  <r>
    <s v="ORD-2024-289089"/>
    <x v="55"/>
    <x v="1"/>
    <d v="2024-12-18T00:00:00"/>
    <n v="1"/>
    <x v="3"/>
    <x v="6"/>
    <s v="Munich"/>
    <s v="Education"/>
    <x v="0"/>
    <x v="4"/>
    <x v="6"/>
    <x v="57"/>
    <n v="346.82"/>
    <n v="701.95"/>
    <s v="High"/>
    <n v="0.14699999999999999"/>
    <n v="8"/>
    <n v="4790.1068000000005"/>
    <n v="2774.56"/>
    <n v="2015.5468000000005"/>
    <n v="0.42077283120284509"/>
    <x v="1"/>
    <x v="0"/>
    <n v="0.14699999999999999"/>
    <n v="598.76335000000006"/>
    <n v="381.50200000000001"/>
    <n v="9"/>
    <n v="5388.8701500000006"/>
    <n v="1955.3521500000004"/>
  </r>
  <r>
    <s v="ORD-2025-639542"/>
    <x v="56"/>
    <x v="6"/>
    <d v="2025-06-18T00:00:00"/>
    <n v="9"/>
    <x v="3"/>
    <x v="7"/>
    <s v="Marseille"/>
    <s v="Small Business"/>
    <x v="2"/>
    <x v="10"/>
    <x v="6"/>
    <x v="58"/>
    <n v="1225.5"/>
    <n v="5.27"/>
    <s v="High"/>
    <n v="7.4999999999999997E-2"/>
    <n v="56"/>
    <n v="272.98599999999999"/>
    <n v="68628"/>
    <n v="-68355.013999999996"/>
    <n v="-250.39750756449047"/>
    <x v="0"/>
    <x v="0"/>
    <n v="7.4999999999999997E-2"/>
    <n v="4.8747499999999997"/>
    <n v="1348.0500000000002"/>
    <n v="59"/>
    <n v="287.61025000000001"/>
    <n v="-79247.339750000014"/>
  </r>
  <r>
    <s v="ORD-2025-762301"/>
    <x v="57"/>
    <x v="6"/>
    <d v="2025-05-13T00:00:00"/>
    <n v="11"/>
    <x v="0"/>
    <x v="0"/>
    <s v="Nakuru"/>
    <s v="Small Business"/>
    <x v="1"/>
    <x v="8"/>
    <x v="6"/>
    <x v="59"/>
    <n v="1057.5999999999999"/>
    <n v="1437.06"/>
    <s v="High"/>
    <n v="0.20499999999999999"/>
    <n v="4"/>
    <n v="4569.8508000000002"/>
    <n v="4230.3999999999996"/>
    <n v="339.45080000000053"/>
    <n v="7.4280499485891424E-2"/>
    <x v="0"/>
    <x v="1"/>
    <n v="0.2"/>
    <n v="1149.6479999999999"/>
    <n v="1163.3599999999999"/>
    <n v="5"/>
    <n v="5748.24"/>
    <n v="-68.559999999999945"/>
  </r>
  <r>
    <s v="ORD-2024-906395"/>
    <x v="58"/>
    <x v="0"/>
    <d v="2024-04-09T00:00:00"/>
    <n v="30"/>
    <x v="3"/>
    <x v="7"/>
    <s v="Lyon"/>
    <s v="Corporate"/>
    <x v="4"/>
    <x v="2"/>
    <x v="0"/>
    <x v="60"/>
    <n v="1176.56"/>
    <n v="1911.89"/>
    <s v="High"/>
    <n v="0.11899999999999999"/>
    <n v="20"/>
    <n v="33687.501800000005"/>
    <n v="23531.199999999997"/>
    <n v="10156.301800000008"/>
    <n v="0.30148575160892477"/>
    <x v="0"/>
    <x v="0"/>
    <n v="0.11899999999999999"/>
    <n v="1684.37509"/>
    <n v="1294.2160000000001"/>
    <n v="21"/>
    <n v="35371.87689"/>
    <n v="8193.3408899999977"/>
  </r>
  <r>
    <s v="ORD-2025-779574"/>
    <x v="59"/>
    <x v="7"/>
    <d v="2025-09-12T00:00:00"/>
    <n v="2"/>
    <x v="1"/>
    <x v="2"/>
    <s v="Tokyo"/>
    <s v="Consumer"/>
    <x v="1"/>
    <x v="7"/>
    <x v="0"/>
    <x v="61"/>
    <n v="1470.15"/>
    <n v="2593.7800000000002"/>
    <s v="High"/>
    <n v="0.11"/>
    <n v="12"/>
    <n v="27701.570400000001"/>
    <n v="17641.800000000003"/>
    <n v="10059.770399999998"/>
    <n v="0.36314801849645306"/>
    <x v="1"/>
    <x v="0"/>
    <n v="0.11"/>
    <n v="2308.4642000000003"/>
    <n v="1617.1650000000002"/>
    <n v="13"/>
    <n v="30010.034600000006"/>
    <n v="8986.8896000000022"/>
  </r>
  <r>
    <s v="ORD-2025-526650"/>
    <x v="60"/>
    <x v="6"/>
    <d v="2025-05-25T00:00:00"/>
    <n v="28"/>
    <x v="3"/>
    <x v="7"/>
    <s v="Paris"/>
    <s v="Small Business"/>
    <x v="2"/>
    <x v="2"/>
    <x v="3"/>
    <x v="62"/>
    <n v="603.45000000000005"/>
    <n v="1244.08"/>
    <s v="High"/>
    <n v="0.2"/>
    <n v="11"/>
    <n v="10947.904"/>
    <n v="6637.9500000000007"/>
    <n v="4309.9539999999997"/>
    <n v="0.39367846119220623"/>
    <x v="0"/>
    <x v="0"/>
    <n v="0.2"/>
    <n v="995.26400000000001"/>
    <n v="663.79500000000007"/>
    <n v="12"/>
    <n v="11943.168"/>
    <n v="3977.6279999999992"/>
  </r>
  <r>
    <s v="ORD-2024-247979"/>
    <x v="61"/>
    <x v="1"/>
    <d v="2024-11-18T00:00:00"/>
    <n v="16"/>
    <x v="1"/>
    <x v="4"/>
    <s v="Mumbai"/>
    <s v="Small Business"/>
    <x v="3"/>
    <x v="7"/>
    <x v="5"/>
    <x v="63"/>
    <n v="1233.58"/>
    <n v="1912.51"/>
    <s v="High"/>
    <n v="0.255"/>
    <n v="51"/>
    <n v="72665.817450000002"/>
    <n v="62912.579999999994"/>
    <n v="9753.2374500000078"/>
    <n v="0.134220432553601"/>
    <x v="0"/>
    <x v="1"/>
    <n v="0.2"/>
    <n v="1530.008"/>
    <n v="1356.9380000000001"/>
    <n v="54"/>
    <n v="82620.432000000001"/>
    <n v="9345.779999999997"/>
  </r>
  <r>
    <s v="ORD-2023-480975"/>
    <x v="62"/>
    <x v="2"/>
    <d v="2023-02-26T00:00:00"/>
    <n v="11"/>
    <x v="0"/>
    <x v="11"/>
    <s v="Johannesburg"/>
    <s v="Non-Profit"/>
    <x v="0"/>
    <x v="11"/>
    <x v="4"/>
    <x v="64"/>
    <n v="498.5"/>
    <n v="755.87"/>
    <s v="High"/>
    <n v="0.13"/>
    <n v="40"/>
    <n v="26304.275999999998"/>
    <n v="19940"/>
    <n v="6364.275999999998"/>
    <n v="0.24194834330357537"/>
    <x v="0"/>
    <x v="0"/>
    <n v="0.13"/>
    <n v="657.6069"/>
    <n v="548.35"/>
    <n v="42"/>
    <n v="27619.489799999999"/>
    <n v="4588.7897999999986"/>
  </r>
  <r>
    <s v="ORD-2023-239789"/>
    <x v="63"/>
    <x v="4"/>
    <d v="2023-12-26T00:00:00"/>
    <n v="23"/>
    <x v="2"/>
    <x v="5"/>
    <s v="Rio de Janeiro"/>
    <s v="Education"/>
    <x v="0"/>
    <x v="7"/>
    <x v="3"/>
    <x v="65"/>
    <n v="1303.1099999999999"/>
    <n v="1145.67"/>
    <s v="High"/>
    <n v="0.184"/>
    <n v="13"/>
    <n v="12153.267360000002"/>
    <n v="16940.43"/>
    <n v="-4787.1626399999986"/>
    <n v="-0.39389922875851208"/>
    <x v="0"/>
    <x v="0"/>
    <n v="0.184"/>
    <n v="934.8667200000001"/>
    <n v="1433.421"/>
    <n v="14"/>
    <n v="13088.134080000002"/>
    <n v="-6979.7599199999995"/>
  </r>
  <r>
    <s v="ORD-2023-548874"/>
    <x v="64"/>
    <x v="2"/>
    <d v="2023-04-09T00:00:00"/>
    <n v="21"/>
    <x v="3"/>
    <x v="8"/>
    <s v="Manchester"/>
    <s v="Consumer"/>
    <x v="0"/>
    <x v="4"/>
    <x v="6"/>
    <x v="66"/>
    <n v="1082.17"/>
    <n v="1234.0999999999999"/>
    <s v="High"/>
    <n v="0.189"/>
    <n v="16"/>
    <n v="16013.681599999998"/>
    <n v="17314.72"/>
    <n v="-1301.0384000000031"/>
    <n v="-8.124542703534228E-2"/>
    <x v="0"/>
    <x v="0"/>
    <n v="0.189"/>
    <n v="1000.8550999999999"/>
    <n v="1190.3870000000002"/>
    <n v="17"/>
    <n v="17014.536699999997"/>
    <n v="-3222.0423000000051"/>
  </r>
  <r>
    <s v="ORD-2024-347736"/>
    <x v="65"/>
    <x v="5"/>
    <d v="2024-06-06T00:00:00"/>
    <n v="15"/>
    <x v="1"/>
    <x v="2"/>
    <s v="Nagoya"/>
    <s v="Corporate"/>
    <x v="3"/>
    <x v="0"/>
    <x v="5"/>
    <x v="67"/>
    <n v="673.88"/>
    <n v="1228.01"/>
    <s v="High"/>
    <n v="0.105"/>
    <n v="13"/>
    <n v="14287.896349999999"/>
    <n v="8760.44"/>
    <n v="5527.4563499999986"/>
    <n v="0.38686285332689996"/>
    <x v="0"/>
    <x v="0"/>
    <n v="0.105"/>
    <n v="1099.0689500000001"/>
    <n v="741.26800000000003"/>
    <n v="14"/>
    <n v="15386.965300000002"/>
    <n v="5009.2133000000013"/>
  </r>
  <r>
    <s v="ORD-2023-749324"/>
    <x v="66"/>
    <x v="10"/>
    <d v="2023-09-07T00:00:00"/>
    <n v="19"/>
    <x v="0"/>
    <x v="11"/>
    <s v="Johannesburg"/>
    <s v="Enterprise"/>
    <x v="0"/>
    <x v="14"/>
    <x v="5"/>
    <x v="68"/>
    <n v="494.61"/>
    <n v="605.23"/>
    <s v="High"/>
    <n v="0.20399999999999999"/>
    <n v="18"/>
    <n v="8671.7354400000004"/>
    <n v="8902.98"/>
    <n v="-231.24455999999918"/>
    <n v="-2.6666468505639647E-2"/>
    <x v="0"/>
    <x v="1"/>
    <n v="0.2"/>
    <n v="484.18400000000003"/>
    <n v="544.07100000000003"/>
    <n v="19"/>
    <n v="9199.496000000001"/>
    <n v="-1137.8530000000001"/>
  </r>
  <r>
    <s v="ORD-2023-809913"/>
    <x v="67"/>
    <x v="8"/>
    <d v="2023-05-10T00:00:00"/>
    <n v="19"/>
    <x v="1"/>
    <x v="9"/>
    <s v="Shanghai"/>
    <s v="Corporate"/>
    <x v="0"/>
    <x v="8"/>
    <x v="0"/>
    <x v="69"/>
    <n v="882.33"/>
    <n v="1880.15"/>
    <s v="High"/>
    <n v="0.05"/>
    <n v="5"/>
    <n v="8930.7124999999996"/>
    <n v="4411.6500000000005"/>
    <n v="4519.0624999999991"/>
    <n v="0.50601365792482955"/>
    <x v="0"/>
    <x v="0"/>
    <n v="0.05"/>
    <n v="1786.1424999999999"/>
    <n v="970.5630000000001"/>
    <n v="6"/>
    <n v="10716.855"/>
    <n v="4893.476999999999"/>
  </r>
  <r>
    <s v="ORD-2024-287210"/>
    <x v="68"/>
    <x v="0"/>
    <d v="2024-03-21T00:00:00"/>
    <n v="3"/>
    <x v="3"/>
    <x v="6"/>
    <s v="Munich"/>
    <s v="Small Business"/>
    <x v="1"/>
    <x v="12"/>
    <x v="6"/>
    <x v="70"/>
    <n v="910.63"/>
    <n v="1269.4000000000001"/>
    <s v="High"/>
    <n v="6.8000000000000005E-2"/>
    <n v="9"/>
    <n v="10647.727199999999"/>
    <n v="8195.67"/>
    <n v="2452.0571999999993"/>
    <n v="0.23028925834989455"/>
    <x v="1"/>
    <x v="0"/>
    <n v="6.8000000000000005E-2"/>
    <n v="1183.0808"/>
    <n v="1001.6930000000001"/>
    <n v="10"/>
    <n v="11830.807999999999"/>
    <n v="1813.8779999999986"/>
  </r>
  <r>
    <s v="ORD-2025-640677"/>
    <x v="69"/>
    <x v="6"/>
    <d v="2025-05-06T00:00:00"/>
    <n v="27"/>
    <x v="2"/>
    <x v="5"/>
    <s v="Brasília"/>
    <s v="Enterprise"/>
    <x v="2"/>
    <x v="9"/>
    <x v="4"/>
    <x v="71"/>
    <n v="264.19"/>
    <n v="620.92999999999995"/>
    <s v="High"/>
    <n v="0.14199999999999999"/>
    <n v="12"/>
    <n v="6393.0952799999995"/>
    <n v="3170.2799999999997"/>
    <n v="3222.8152799999998"/>
    <n v="0.50410875152794532"/>
    <x v="0"/>
    <x v="0"/>
    <n v="0.14199999999999999"/>
    <n v="532.75793999999996"/>
    <n v="290.60900000000004"/>
    <n v="13"/>
    <n v="6925.8532199999991"/>
    <n v="3147.9362199999991"/>
  </r>
  <r>
    <s v="ORD-2024-939873"/>
    <x v="70"/>
    <x v="5"/>
    <d v="2024-05-07T00:00:00"/>
    <n v="25"/>
    <x v="0"/>
    <x v="11"/>
    <s v="Johannesburg"/>
    <s v="Education"/>
    <x v="3"/>
    <x v="8"/>
    <x v="4"/>
    <x v="72"/>
    <n v="1376.51"/>
    <n v="1455.91"/>
    <s v="High"/>
    <n v="0.185"/>
    <n v="17"/>
    <n v="20171.63305"/>
    <n v="23400.67"/>
    <n v="-3229.0369499999979"/>
    <n v="-0.1600781127634085"/>
    <x v="0"/>
    <x v="0"/>
    <n v="0.185"/>
    <n v="1186.56665"/>
    <n v="1514.1610000000001"/>
    <n v="18"/>
    <n v="21358.199700000001"/>
    <n v="-5896.6983000000018"/>
  </r>
  <r>
    <s v="ORD-2024-800947"/>
    <x v="71"/>
    <x v="1"/>
    <d v="2024-12-20T00:00:00"/>
    <n v="5"/>
    <x v="1"/>
    <x v="9"/>
    <s v="Shenzhen"/>
    <s v="Small Business"/>
    <x v="4"/>
    <x v="1"/>
    <x v="2"/>
    <x v="73"/>
    <n v="717.55"/>
    <n v="546.42999999999995"/>
    <s v="High"/>
    <n v="4.7E-2"/>
    <n v="18"/>
    <n v="9373.460219999999"/>
    <n v="12915.9"/>
    <n v="-3542.4397800000006"/>
    <n v="-0.37792231437026369"/>
    <x v="1"/>
    <x v="0"/>
    <n v="4.7E-2"/>
    <n v="520.7477899999999"/>
    <n v="789.30500000000006"/>
    <n v="19"/>
    <n v="9894.2080099999985"/>
    <n v="-5102.5869900000034"/>
  </r>
  <r>
    <s v="ORD-2023-382272"/>
    <x v="72"/>
    <x v="8"/>
    <d v="2023-05-27T00:00:00"/>
    <n v="7"/>
    <x v="0"/>
    <x v="11"/>
    <s v="Durban"/>
    <s v="Corporate"/>
    <x v="3"/>
    <x v="8"/>
    <x v="0"/>
    <x v="74"/>
    <n v="917.88"/>
    <n v="1347.92"/>
    <s v="High"/>
    <n v="0.3"/>
    <n v="5"/>
    <n v="4717.72"/>
    <n v="4589.3999999999996"/>
    <n v="128.32000000000062"/>
    <n v="2.7199579457873848E-2"/>
    <x v="1"/>
    <x v="1"/>
    <n v="0.2"/>
    <n v="1078.336"/>
    <n v="1009.6680000000001"/>
    <n v="6"/>
    <n v="6470.0159999999996"/>
    <n v="412.00799999999936"/>
  </r>
  <r>
    <s v="ORD-2023-722117"/>
    <x v="73"/>
    <x v="10"/>
    <d v="2023-10-08T00:00:00"/>
    <n v="20"/>
    <x v="1"/>
    <x v="4"/>
    <s v="Delhi"/>
    <s v="Small Business"/>
    <x v="4"/>
    <x v="5"/>
    <x v="0"/>
    <x v="75"/>
    <n v="825.64"/>
    <n v="1108.43"/>
    <s v="High"/>
    <n v="0.114"/>
    <n v="7"/>
    <n v="6874.4828600000001"/>
    <n v="5779.48"/>
    <n v="1095.0028600000005"/>
    <n v="0.15928512475773349"/>
    <x v="0"/>
    <x v="0"/>
    <n v="0.114"/>
    <n v="982.06898000000001"/>
    <n v="908.20400000000006"/>
    <n v="8"/>
    <n v="7856.5518400000001"/>
    <n v="590.91983999999957"/>
  </r>
  <r>
    <s v="ORD-2024-446699"/>
    <x v="74"/>
    <x v="9"/>
    <d v="2024-09-25T00:00:00"/>
    <n v="28"/>
    <x v="2"/>
    <x v="5"/>
    <s v="Rio de Janeiro"/>
    <s v="Non-Profit"/>
    <x v="1"/>
    <x v="15"/>
    <x v="6"/>
    <x v="76"/>
    <n v="1394.65"/>
    <n v="3144.1"/>
    <s v="High"/>
    <n v="0.13400000000000001"/>
    <n v="13"/>
    <n v="35396.277799999996"/>
    <n v="18130.45"/>
    <n v="17265.827799999995"/>
    <n v="0.4877865378263021"/>
    <x v="0"/>
    <x v="0"/>
    <n v="0.13400000000000001"/>
    <n v="2722.7905999999998"/>
    <n v="1534.1150000000002"/>
    <n v="14"/>
    <n v="38119.068399999996"/>
    <n v="16641.458399999996"/>
  </r>
  <r>
    <s v="ORD-2024-451005"/>
    <x v="24"/>
    <x v="5"/>
    <d v="2024-07-07T00:00:00"/>
    <n v="7"/>
    <x v="2"/>
    <x v="5"/>
    <s v="Rio de Janeiro"/>
    <s v="Small Business"/>
    <x v="4"/>
    <x v="4"/>
    <x v="6"/>
    <x v="77"/>
    <n v="1112.98"/>
    <n v="2095.73"/>
    <s v="High"/>
    <n v="7.1999999999999995E-2"/>
    <n v="17"/>
    <n v="33062.236480000007"/>
    <n v="18920.66"/>
    <n v="14141.576480000007"/>
    <n v="0.42772594916724777"/>
    <x v="1"/>
    <x v="0"/>
    <n v="7.1999999999999995E-2"/>
    <n v="1944.83744"/>
    <n v="1224.278"/>
    <n v="18"/>
    <n v="35007.073920000003"/>
    <n v="12970.06992"/>
  </r>
  <r>
    <s v="ORD-2023-290279"/>
    <x v="75"/>
    <x v="8"/>
    <d v="2023-06-16T00:00:00"/>
    <n v="2"/>
    <x v="3"/>
    <x v="8"/>
    <s v="Manchester"/>
    <s v="Non-Profit"/>
    <x v="4"/>
    <x v="11"/>
    <x v="0"/>
    <x v="78"/>
    <n v="357.36"/>
    <n v="703.62"/>
    <s v="High"/>
    <n v="0.25700000000000001"/>
    <n v="20"/>
    <n v="10455.7932"/>
    <n v="7147.2000000000007"/>
    <n v="3308.5931999999993"/>
    <n v="0.31643636563125593"/>
    <x v="1"/>
    <x v="1"/>
    <n v="0.2"/>
    <n v="562.89600000000007"/>
    <n v="393.09600000000006"/>
    <n v="21"/>
    <n v="11820.816000000001"/>
    <n v="3565.8"/>
  </r>
  <r>
    <s v="ORD-2024-192263"/>
    <x v="76"/>
    <x v="1"/>
    <d v="2024-12-21T00:00:00"/>
    <n v="30"/>
    <x v="3"/>
    <x v="7"/>
    <s v="Marseille"/>
    <s v="Small Business"/>
    <x v="4"/>
    <x v="2"/>
    <x v="5"/>
    <x v="79"/>
    <n v="1122.68"/>
    <n v="1997.19"/>
    <s v="High"/>
    <n v="0.186"/>
    <n v="3"/>
    <n v="4877.1379800000004"/>
    <n v="3368.04"/>
    <n v="1509.0979800000005"/>
    <n v="0.30942285951073306"/>
    <x v="0"/>
    <x v="0"/>
    <n v="0.186"/>
    <n v="1625.7126600000001"/>
    <n v="1234.9480000000001"/>
    <n v="4"/>
    <n v="6502.8506400000006"/>
    <n v="1563.0586400000002"/>
  </r>
  <r>
    <s v="ORD-2023-159379"/>
    <x v="77"/>
    <x v="2"/>
    <d v="2023-02-11T00:00:00"/>
    <n v="3"/>
    <x v="0"/>
    <x v="11"/>
    <s v="Cape Town"/>
    <s v="Corporate"/>
    <x v="4"/>
    <x v="12"/>
    <x v="2"/>
    <x v="80"/>
    <n v="1410.05"/>
    <n v="2763.95"/>
    <s v="High"/>
    <n v="0.161"/>
    <n v="26"/>
    <n v="60292.805299999993"/>
    <n v="36661.299999999996"/>
    <n v="23631.505299999997"/>
    <n v="0.39194569206750779"/>
    <x v="1"/>
    <x v="0"/>
    <n v="0.161"/>
    <n v="2318.9540499999998"/>
    <n v="1551.0550000000001"/>
    <n v="28"/>
    <n v="64930.713399999993"/>
    <n v="21501.173399999992"/>
  </r>
  <r>
    <s v="ORD-2023-343322"/>
    <x v="66"/>
    <x v="10"/>
    <d v="2023-09-12T00:00:00"/>
    <n v="24"/>
    <x v="2"/>
    <x v="3"/>
    <s v="Vancouver"/>
    <s v="Enterprise"/>
    <x v="0"/>
    <x v="2"/>
    <x v="1"/>
    <x v="81"/>
    <n v="1183.95"/>
    <n v="1503.53"/>
    <s v="High"/>
    <n v="0.24099999999999999"/>
    <n v="16"/>
    <n v="18258.868320000001"/>
    <n v="18943.2"/>
    <n v="-684.33167999999932"/>
    <n v="-3.7479413729623705E-2"/>
    <x v="0"/>
    <x v="1"/>
    <n v="0.2"/>
    <n v="1202.8240000000001"/>
    <n v="1302.3450000000003"/>
    <n v="17"/>
    <n v="20448.008000000002"/>
    <n v="-1691.8570000000032"/>
  </r>
  <r>
    <s v="ORD-2025-114382"/>
    <x v="78"/>
    <x v="6"/>
    <d v="2025-05-24T00:00:00"/>
    <n v="10"/>
    <x v="3"/>
    <x v="7"/>
    <s v="Paris"/>
    <s v="Small Business"/>
    <x v="2"/>
    <x v="11"/>
    <x v="0"/>
    <x v="82"/>
    <n v="170.39"/>
    <n v="388.04"/>
    <s v="High"/>
    <n v="8.4000000000000005E-2"/>
    <n v="15"/>
    <n v="5331.6696000000002"/>
    <n v="2555.85"/>
    <n v="2775.8196000000003"/>
    <n v="0.52062858508711796"/>
    <x v="0"/>
    <x v="0"/>
    <n v="8.4000000000000005E-2"/>
    <n v="355.44464000000005"/>
    <n v="187.429"/>
    <n v="16"/>
    <n v="5687.1142400000008"/>
    <n v="2688.2502400000008"/>
  </r>
  <r>
    <s v="ORD-2025-488349"/>
    <x v="79"/>
    <x v="6"/>
    <d v="2025-04-30T00:00:00"/>
    <n v="7"/>
    <x v="2"/>
    <x v="10"/>
    <s v="San Francisco"/>
    <s v="Non-Profit"/>
    <x v="3"/>
    <x v="14"/>
    <x v="5"/>
    <x v="83"/>
    <n v="23.24"/>
    <n v="44.57"/>
    <s v="High"/>
    <n v="0.215"/>
    <n v="15"/>
    <n v="524.81174999999996"/>
    <n v="348.59999999999997"/>
    <n v="176.21174999999999"/>
    <n v="0.33576182316802167"/>
    <x v="1"/>
    <x v="1"/>
    <n v="0.2"/>
    <n v="35.655999999999999"/>
    <n v="25.564"/>
    <n v="16"/>
    <n v="570.49599999999998"/>
    <n v="161.47199999999998"/>
  </r>
  <r>
    <s v="ORD-2025-330203"/>
    <x v="80"/>
    <x v="3"/>
    <d v="2025-04-17T00:00:00"/>
    <n v="23"/>
    <x v="3"/>
    <x v="8"/>
    <s v="London"/>
    <s v="Consumer"/>
    <x v="0"/>
    <x v="10"/>
    <x v="2"/>
    <x v="84"/>
    <n v="1421.19"/>
    <n v="1808.26"/>
    <s v="High"/>
    <n v="0.104"/>
    <n v="13"/>
    <n v="21062.61248"/>
    <n v="18475.47"/>
    <n v="2587.1424799999986"/>
    <n v="0.12283103449093123"/>
    <x v="0"/>
    <x v="0"/>
    <n v="0.104"/>
    <n v="1620.2009600000001"/>
    <n v="1563.3090000000002"/>
    <n v="14"/>
    <n v="22682.813440000002"/>
    <n v="796.48743999999897"/>
  </r>
  <r>
    <s v="ORD-2023-841426"/>
    <x v="81"/>
    <x v="4"/>
    <d v="2023-12-23T00:00:00"/>
    <n v="1"/>
    <x v="0"/>
    <x v="11"/>
    <s v="Cape Town"/>
    <s v="Non-Profit"/>
    <x v="2"/>
    <x v="14"/>
    <x v="0"/>
    <x v="85"/>
    <n v="1186.18"/>
    <n v="1285.0899999999999"/>
    <s v="High"/>
    <n v="7.0000000000000007E-2"/>
    <n v="11"/>
    <n v="13146.470699999998"/>
    <n v="13047.980000000001"/>
    <n v="98.49069999999665"/>
    <n v="7.4917977796121861E-3"/>
    <x v="1"/>
    <x v="0"/>
    <n v="7.0000000000000007E-2"/>
    <n v="1195.1336999999999"/>
    <n v="1304.7980000000002"/>
    <n v="12"/>
    <n v="14341.604399999998"/>
    <n v="-1315.9716000000044"/>
  </r>
  <r>
    <s v="ORD-2024-594592"/>
    <x v="82"/>
    <x v="5"/>
    <d v="2024-04-25T00:00:00"/>
    <n v="19"/>
    <x v="1"/>
    <x v="9"/>
    <s v="Shanghai"/>
    <s v="Corporate"/>
    <x v="0"/>
    <x v="11"/>
    <x v="0"/>
    <x v="86"/>
    <n v="1366.48"/>
    <n v="1678.14"/>
    <s v="High"/>
    <n v="0.154"/>
    <n v="10"/>
    <n v="14197.064400000001"/>
    <n v="13664.8"/>
    <n v="532.26440000000184"/>
    <n v="3.7491159087790132E-2"/>
    <x v="0"/>
    <x v="0"/>
    <n v="0.154"/>
    <n v="1419.7064399999999"/>
    <n v="1503.1280000000002"/>
    <n v="11"/>
    <n v="15616.770839999999"/>
    <n v="-917.6371600000025"/>
  </r>
  <r>
    <s v="ORD-2025-863978"/>
    <x v="83"/>
    <x v="7"/>
    <d v="2025-08-19T00:00:00"/>
    <n v="12"/>
    <x v="0"/>
    <x v="0"/>
    <s v="Nakuru"/>
    <s v="Corporate"/>
    <x v="5"/>
    <x v="12"/>
    <x v="0"/>
    <x v="87"/>
    <n v="601.51"/>
    <n v="679.35"/>
    <s v="High"/>
    <n v="0.188"/>
    <n v="3"/>
    <n v="1654.8966000000003"/>
    <n v="1804.53"/>
    <n v="-149.63339999999971"/>
    <n v="-9.0418579626062243E-2"/>
    <x v="0"/>
    <x v="0"/>
    <n v="0.188"/>
    <n v="551.63220000000001"/>
    <n v="661.66100000000006"/>
    <n v="4"/>
    <n v="2206.5288"/>
    <n v="-440.11520000000019"/>
  </r>
  <r>
    <s v="ORD-2024-604471"/>
    <x v="84"/>
    <x v="0"/>
    <d v="2024-01-25T00:00:00"/>
    <n v="4"/>
    <x v="1"/>
    <x v="4"/>
    <s v="Delhi"/>
    <s v="Consumer"/>
    <x v="4"/>
    <x v="0"/>
    <x v="5"/>
    <x v="88"/>
    <n v="523.70000000000005"/>
    <n v="1109.92"/>
    <s v="High"/>
    <n v="0.03"/>
    <n v="11"/>
    <n v="11842.8464"/>
    <n v="5760.7000000000007"/>
    <n v="6082.1463999999996"/>
    <n v="0.51357133197302973"/>
    <x v="1"/>
    <x v="0"/>
    <n v="0.03"/>
    <n v="1076.6224"/>
    <n v="576.07000000000005"/>
    <n v="12"/>
    <n v="12919.468799999999"/>
    <n v="6006.6287999999986"/>
  </r>
  <r>
    <s v="ORD-2023-258768"/>
    <x v="85"/>
    <x v="8"/>
    <d v="2023-07-02T00:00:00"/>
    <n v="3"/>
    <x v="1"/>
    <x v="2"/>
    <s v="Nagoya"/>
    <s v="Education"/>
    <x v="2"/>
    <x v="9"/>
    <x v="5"/>
    <x v="89"/>
    <n v="55.65"/>
    <n v="83.57"/>
    <s v="High"/>
    <n v="6.6000000000000003E-2"/>
    <n v="8"/>
    <n v="624.43503999999996"/>
    <n v="445.2"/>
    <n v="179.23503999999997"/>
    <n v="0.2870355257449998"/>
    <x v="1"/>
    <x v="0"/>
    <n v="6.6000000000000003E-2"/>
    <n v="78.054379999999995"/>
    <n v="61.215000000000003"/>
    <n v="9"/>
    <n v="702.48942"/>
    <n v="151.55441999999994"/>
  </r>
  <r>
    <s v="ORD-2025-626047"/>
    <x v="86"/>
    <x v="6"/>
    <d v="2025-05-15T00:00:00"/>
    <n v="17"/>
    <x v="1"/>
    <x v="2"/>
    <s v="Nagoya"/>
    <s v="Education"/>
    <x v="4"/>
    <x v="13"/>
    <x v="2"/>
    <x v="90"/>
    <n v="691.19"/>
    <n v="1284.3"/>
    <s v="High"/>
    <n v="7.3999999999999996E-2"/>
    <n v="7"/>
    <n v="8324.8326000000015"/>
    <n v="4838.33"/>
    <n v="3486.5026000000016"/>
    <n v="0.41880753253825198"/>
    <x v="0"/>
    <x v="0"/>
    <n v="7.3999999999999996E-2"/>
    <n v="1189.2618"/>
    <n v="760.30900000000008"/>
    <n v="8"/>
    <n v="9514.0944"/>
    <n v="3431.6223999999993"/>
  </r>
  <r>
    <s v="ORD-2025-526752"/>
    <x v="56"/>
    <x v="6"/>
    <d v="2025-06-25T00:00:00"/>
    <n v="16"/>
    <x v="1"/>
    <x v="4"/>
    <s v="Hyderabad"/>
    <s v="Enterprise"/>
    <x v="3"/>
    <x v="12"/>
    <x v="3"/>
    <x v="91"/>
    <n v="527.33000000000004"/>
    <n v="911.72"/>
    <s v="High"/>
    <n v="0.14399999999999999"/>
    <n v="25"/>
    <n v="19510.808000000001"/>
    <n v="13183.250000000002"/>
    <n v="6327.5579999999991"/>
    <n v="0.32431040272652978"/>
    <x v="0"/>
    <x v="0"/>
    <n v="0.14399999999999999"/>
    <n v="780.43232"/>
    <n v="580.0630000000001"/>
    <n v="27"/>
    <n v="21071.672640000001"/>
    <n v="5409.971639999997"/>
  </r>
  <r>
    <s v="ORD-2023-374486"/>
    <x v="87"/>
    <x v="8"/>
    <d v="2023-07-01T00:00:00"/>
    <n v="7"/>
    <x v="2"/>
    <x v="5"/>
    <s v="Rio de Janeiro"/>
    <s v="Non-Profit"/>
    <x v="0"/>
    <x v="6"/>
    <x v="1"/>
    <x v="92"/>
    <n v="804.01"/>
    <n v="1405.07"/>
    <s v="High"/>
    <n v="9.6000000000000002E-2"/>
    <n v="8"/>
    <n v="10161.46624"/>
    <n v="6432.08"/>
    <n v="3729.3862399999998"/>
    <n v="0.36701260939287439"/>
    <x v="1"/>
    <x v="0"/>
    <n v="9.6000000000000002E-2"/>
    <n v="1270.18328"/>
    <n v="884.41100000000006"/>
    <n v="9"/>
    <n v="11431.649519999999"/>
    <n v="3471.9505199999994"/>
  </r>
  <r>
    <s v="ORD-2024-997336"/>
    <x v="88"/>
    <x v="1"/>
    <d v="2024-11-02T00:00:00"/>
    <n v="29"/>
    <x v="0"/>
    <x v="1"/>
    <s v="Abuja"/>
    <s v="Corporate"/>
    <x v="3"/>
    <x v="9"/>
    <x v="6"/>
    <x v="93"/>
    <n v="412.09"/>
    <n v="968.94"/>
    <s v="High"/>
    <n v="9.9000000000000005E-2"/>
    <n v="23"/>
    <n v="20079.343620000003"/>
    <n v="9478.07"/>
    <n v="10601.273620000004"/>
    <n v="0.52796913189137418"/>
    <x v="0"/>
    <x v="0"/>
    <n v="9.9000000000000005E-2"/>
    <n v="873.01494000000002"/>
    <n v="453.29900000000004"/>
    <n v="25"/>
    <n v="21825.373500000002"/>
    <n v="10492.898499999999"/>
  </r>
  <r>
    <s v="ORD-2025-725646"/>
    <x v="59"/>
    <x v="7"/>
    <d v="2025-09-30T00:00:00"/>
    <n v="20"/>
    <x v="0"/>
    <x v="0"/>
    <s v="Mombasa"/>
    <s v="Corporate"/>
    <x v="4"/>
    <x v="4"/>
    <x v="3"/>
    <x v="94"/>
    <n v="1009.48"/>
    <n v="1088.81"/>
    <s v="High"/>
    <n v="0.16"/>
    <n v="6"/>
    <n v="5487.6023999999998"/>
    <n v="6056.88"/>
    <n v="-569.27760000000035"/>
    <n v="-0.10373885688219693"/>
    <x v="0"/>
    <x v="0"/>
    <n v="0.16"/>
    <n v="914.60039999999992"/>
    <n v="1110.4280000000001"/>
    <n v="7"/>
    <n v="6402.2027999999991"/>
    <n v="-1370.7932000000014"/>
  </r>
  <r>
    <s v="ORD-2023-868734"/>
    <x v="89"/>
    <x v="8"/>
    <d v="2023-04-27T00:00:00"/>
    <n v="21"/>
    <x v="3"/>
    <x v="8"/>
    <s v="Manchester"/>
    <s v="Enterprise"/>
    <x v="3"/>
    <x v="2"/>
    <x v="1"/>
    <x v="95"/>
    <n v="1084.79"/>
    <n v="2484.9899999999998"/>
    <s v="High"/>
    <n v="3.4000000000000002E-2"/>
    <n v="18"/>
    <n v="43209.006119999991"/>
    <n v="19526.22"/>
    <n v="23682.78611999999"/>
    <n v="0.54809837685755114"/>
    <x v="0"/>
    <x v="0"/>
    <n v="3.4000000000000002E-2"/>
    <n v="2400.5003399999996"/>
    <n v="1193.269"/>
    <n v="19"/>
    <n v="45609.50645999999"/>
    <n v="22937.395459999992"/>
  </r>
  <r>
    <s v="ORD-2025-262491"/>
    <x v="90"/>
    <x v="7"/>
    <d v="2025-08-16T00:00:00"/>
    <n v="15"/>
    <x v="1"/>
    <x v="4"/>
    <s v="Unknown"/>
    <s v="Enterprise"/>
    <x v="4"/>
    <x v="7"/>
    <x v="5"/>
    <x v="96"/>
    <n v="24.44"/>
    <n v="28.69"/>
    <s v="High"/>
    <n v="0.14599999999999999"/>
    <n v="6"/>
    <n v="147.00756000000001"/>
    <n v="146.64000000000001"/>
    <n v="0.36755999999999744"/>
    <n v="2.5002795774584476E-3"/>
    <x v="0"/>
    <x v="0"/>
    <n v="0.14599999999999999"/>
    <n v="24.501260000000002"/>
    <n v="26.884000000000004"/>
    <n v="7"/>
    <n v="171.50882000000001"/>
    <n v="-16.679180000000013"/>
  </r>
  <r>
    <s v="ORD-2024-638884"/>
    <x v="91"/>
    <x v="5"/>
    <d v="2024-06-04T00:00:00"/>
    <n v="7"/>
    <x v="0"/>
    <x v="1"/>
    <s v="Abuja"/>
    <s v="Enterprise"/>
    <x v="1"/>
    <x v="9"/>
    <x v="6"/>
    <x v="97"/>
    <n v="1227.08"/>
    <n v="1896.62"/>
    <s v="High"/>
    <n v="0"/>
    <n v="18"/>
    <n v="34139.159999999996"/>
    <n v="22087.439999999999"/>
    <n v="12051.719999999998"/>
    <n v="0.353017473189147"/>
    <x v="1"/>
    <x v="0"/>
    <n v="0"/>
    <n v="1896.62"/>
    <n v="1349.788"/>
    <n v="19"/>
    <n v="36035.78"/>
    <n v="10389.807999999997"/>
  </r>
  <r>
    <s v="ORD-2025-541501"/>
    <x v="92"/>
    <x v="7"/>
    <d v="2025-08-18T00:00:00"/>
    <n v="27"/>
    <x v="1"/>
    <x v="9"/>
    <s v="Shenzhen"/>
    <s v="Non-Profit"/>
    <x v="2"/>
    <x v="12"/>
    <x v="2"/>
    <x v="98"/>
    <n v="547.32000000000005"/>
    <n v="419.17"/>
    <s v="High"/>
    <n v="9.1999999999999998E-2"/>
    <n v="14"/>
    <n v="5328.4890400000004"/>
    <n v="7662.4800000000005"/>
    <n v="-2333.9909600000001"/>
    <n v="-0.43802116181137907"/>
    <x v="0"/>
    <x v="0"/>
    <n v="9.1999999999999998E-2"/>
    <n v="380.60636000000005"/>
    <n v="602.05200000000013"/>
    <n v="15"/>
    <n v="5709.0954000000011"/>
    <n v="-3321.6846000000014"/>
  </r>
  <r>
    <s v="ORD-2023-422918"/>
    <x v="2"/>
    <x v="2"/>
    <d v="2023-03-20T00:00:00"/>
    <n v="20"/>
    <x v="3"/>
    <x v="6"/>
    <s v="Berlin"/>
    <s v="Small Business"/>
    <x v="4"/>
    <x v="10"/>
    <x v="4"/>
    <x v="99"/>
    <n v="1200.78"/>
    <n v="2001.17"/>
    <s v="High"/>
    <n v="0.29199999999999998"/>
    <n v="18"/>
    <n v="25502.910479999999"/>
    <n v="21614.04"/>
    <n v="3888.8704799999978"/>
    <n v="0.15248732034132906"/>
    <x v="0"/>
    <x v="1"/>
    <n v="0.2"/>
    <n v="1600.9360000000001"/>
    <n v="1320.8580000000002"/>
    <n v="19"/>
    <n v="30417.784000000003"/>
    <n v="5321.482"/>
  </r>
  <r>
    <s v="ORD-2025-328504"/>
    <x v="93"/>
    <x v="3"/>
    <d v="2025-02-15T00:00:00"/>
    <n v="19"/>
    <x v="1"/>
    <x v="9"/>
    <s v="Shenzhen"/>
    <s v="Non-Profit"/>
    <x v="4"/>
    <x v="4"/>
    <x v="3"/>
    <x v="100"/>
    <n v="1253.22"/>
    <n v="3104.71"/>
    <s v="High"/>
    <n v="0"/>
    <n v="17"/>
    <n v="52780.07"/>
    <n v="21304.74"/>
    <n v="31475.329999999998"/>
    <n v="0.59634877331538205"/>
    <x v="0"/>
    <x v="0"/>
    <n v="0"/>
    <n v="3104.71"/>
    <n v="1378.5420000000001"/>
    <n v="18"/>
    <n v="55884.78"/>
    <n v="31071.023999999998"/>
  </r>
  <r>
    <s v="ORD-2024-851883"/>
    <x v="94"/>
    <x v="0"/>
    <d v="2024-01-22T00:00:00"/>
    <n v="9"/>
    <x v="1"/>
    <x v="4"/>
    <s v="Mumbai"/>
    <s v="Enterprise"/>
    <x v="2"/>
    <x v="1"/>
    <x v="0"/>
    <x v="101"/>
    <n v="313.60000000000002"/>
    <n v="334.28"/>
    <s v="High"/>
    <n v="0.14000000000000001"/>
    <n v="22"/>
    <n v="6324.5775999999996"/>
    <n v="6899.2000000000007"/>
    <n v="-574.62240000000111"/>
    <n v="-9.0855458868905517E-2"/>
    <x v="0"/>
    <x v="0"/>
    <n v="0.14000000000000001"/>
    <n v="287.48079999999999"/>
    <n v="344.96000000000004"/>
    <n v="24"/>
    <n v="6899.5391999999993"/>
    <n v="-1379.5008000000012"/>
  </r>
  <r>
    <s v="ORD-2025-662997"/>
    <x v="95"/>
    <x v="3"/>
    <d v="2025-04-04T00:00:00"/>
    <n v="4"/>
    <x v="0"/>
    <x v="0"/>
    <s v="Nakuru"/>
    <s v="Corporate"/>
    <x v="4"/>
    <x v="0"/>
    <x v="4"/>
    <x v="102"/>
    <n v="862.08"/>
    <n v="1952.83"/>
    <s v="High"/>
    <n v="0"/>
    <n v="7"/>
    <n v="13669.81"/>
    <n v="6034.56"/>
    <n v="7635.2499999999991"/>
    <n v="0.5585483631447693"/>
    <x v="1"/>
    <x v="0"/>
    <n v="0"/>
    <n v="1952.83"/>
    <n v="948.28800000000012"/>
    <n v="8"/>
    <n v="15622.64"/>
    <n v="8036.3359999999984"/>
  </r>
  <r>
    <s v="ORD-2024-478165"/>
    <x v="96"/>
    <x v="1"/>
    <d v="2024-12-28T00:00:00"/>
    <n v="23"/>
    <x v="2"/>
    <x v="3"/>
    <s v="Vancouver"/>
    <s v="Corporate"/>
    <x v="4"/>
    <x v="9"/>
    <x v="6"/>
    <x v="103"/>
    <n v="107.03"/>
    <n v="242.29"/>
    <s v="High"/>
    <n v="0.18"/>
    <n v="30"/>
    <n v="5960.3340000000007"/>
    <n v="3210.9"/>
    <n v="2749.4340000000007"/>
    <n v="0.46128857879440988"/>
    <x v="0"/>
    <x v="0"/>
    <n v="0.18"/>
    <n v="198.67780000000002"/>
    <n v="117.733"/>
    <n v="32"/>
    <n v="6357.6896000000006"/>
    <n v="2590.2336000000005"/>
  </r>
  <r>
    <s v="ORD-2024-771210"/>
    <x v="97"/>
    <x v="9"/>
    <d v="2024-10-05T00:00:00"/>
    <n v="21"/>
    <x v="1"/>
    <x v="9"/>
    <s v="Shanghai"/>
    <s v="Small Business"/>
    <x v="1"/>
    <x v="10"/>
    <x v="4"/>
    <x v="104"/>
    <n v="1405.56"/>
    <n v="2968.87"/>
    <s v="High"/>
    <n v="0.16900000000000001"/>
    <n v="5"/>
    <n v="12335.654849999999"/>
    <n v="7027.7999999999993"/>
    <n v="5307.8548499999997"/>
    <n v="0.4302856163327235"/>
    <x v="0"/>
    <x v="0"/>
    <n v="0.16900000000000001"/>
    <n v="2467.1309699999997"/>
    <n v="1546.116"/>
    <n v="6"/>
    <n v="14802.785819999997"/>
    <n v="5526.0898199999983"/>
  </r>
  <r>
    <s v="ORD-2024-155337"/>
    <x v="98"/>
    <x v="5"/>
    <d v="2024-05-27T00:00:00"/>
    <n v="6"/>
    <x v="0"/>
    <x v="11"/>
    <s v="Johannesburg"/>
    <s v="Non-Profit"/>
    <x v="1"/>
    <x v="12"/>
    <x v="0"/>
    <x v="105"/>
    <n v="1157.51"/>
    <n v="1394.3"/>
    <s v="High"/>
    <n v="0.27800000000000002"/>
    <n v="12"/>
    <n v="12080.215199999999"/>
    <n v="13890.119999999999"/>
    <n v="-1809.9048000000003"/>
    <n v="-0.14982388724333326"/>
    <x v="1"/>
    <x v="1"/>
    <n v="0.2"/>
    <n v="1115.44"/>
    <n v="1273.2610000000002"/>
    <n v="13"/>
    <n v="14500.720000000001"/>
    <n v="-2051.6730000000016"/>
  </r>
  <r>
    <s v="ORD-2023-251563"/>
    <x v="20"/>
    <x v="8"/>
    <d v="2023-06-07T00:00:00"/>
    <n v="27"/>
    <x v="0"/>
    <x v="0"/>
    <s v="Mombasa"/>
    <s v="Corporate"/>
    <x v="1"/>
    <x v="1"/>
    <x v="3"/>
    <x v="106"/>
    <n v="12.85"/>
    <n v="15.41"/>
    <s v="High"/>
    <n v="0.13700000000000001"/>
    <n v="39"/>
    <n v="518.65436999999997"/>
    <n v="501.15"/>
    <n v="17.504369999999994"/>
    <n v="3.3749585489851353E-2"/>
    <x v="0"/>
    <x v="0"/>
    <n v="0.13700000000000001"/>
    <n v="13.298830000000001"/>
    <n v="14.135000000000002"/>
    <n v="41"/>
    <n v="545.25202999999999"/>
    <n v="-34.282970000000041"/>
  </r>
  <r>
    <s v="ORD-2024-286833"/>
    <x v="99"/>
    <x v="9"/>
    <d v="2024-09-04T00:00:00"/>
    <n v="21"/>
    <x v="3"/>
    <x v="8"/>
    <s v="Manchester"/>
    <s v="Non-Profit"/>
    <x v="1"/>
    <x v="1"/>
    <x v="3"/>
    <x v="107"/>
    <n v="1138.8"/>
    <n v="2250.81"/>
    <s v="High"/>
    <n v="0.123"/>
    <n v="12"/>
    <n v="23687.524440000001"/>
    <n v="13665.599999999999"/>
    <n v="10021.924440000003"/>
    <n v="0.42308872188756258"/>
    <x v="0"/>
    <x v="0"/>
    <n v="0.123"/>
    <n v="1973.96037"/>
    <n v="1252.68"/>
    <n v="13"/>
    <n v="25661.484810000002"/>
    <n v="9376.6448099999998"/>
  </r>
  <r>
    <s v="ORD-2024-792558"/>
    <x v="100"/>
    <x v="1"/>
    <d v="2024-11-08T00:00:00"/>
    <n v="23"/>
    <x v="1"/>
    <x v="2"/>
    <s v="Osaka"/>
    <s v="Small Business"/>
    <x v="0"/>
    <x v="1"/>
    <x v="2"/>
    <x v="108"/>
    <n v="82.14"/>
    <n v="166.04"/>
    <s v="High"/>
    <n v="0"/>
    <n v="10"/>
    <n v="1660.3999999999999"/>
    <n v="821.4"/>
    <n v="838.99999999999989"/>
    <n v="0.50529992772825827"/>
    <x v="0"/>
    <x v="0"/>
    <n v="0"/>
    <n v="166.04"/>
    <n v="90.354000000000013"/>
    <n v="11"/>
    <n v="1826.4399999999998"/>
    <n v="832.54599999999982"/>
  </r>
  <r>
    <s v="ORD-2024-166150"/>
    <x v="101"/>
    <x v="5"/>
    <d v="2024-06-08T00:00:00"/>
    <n v="6"/>
    <x v="0"/>
    <x v="0"/>
    <s v="Kisumu"/>
    <s v="Consumer"/>
    <x v="2"/>
    <x v="8"/>
    <x v="6"/>
    <x v="109"/>
    <n v="292.94"/>
    <n v="356.55"/>
    <s v="High"/>
    <n v="0.22900000000000001"/>
    <n v="2"/>
    <n v="549.80010000000004"/>
    <n v="585.88"/>
    <n v="-36.079899999999952"/>
    <n v="-6.5623669402751925E-2"/>
    <x v="1"/>
    <x v="1"/>
    <n v="0.2"/>
    <n v="285.24"/>
    <n v="322.23400000000004"/>
    <n v="3"/>
    <n v="855.72"/>
    <n v="-110.98200000000008"/>
  </r>
  <r>
    <s v="ORD-2024-909942"/>
    <x v="102"/>
    <x v="5"/>
    <d v="2024-07-07T00:00:00"/>
    <n v="28"/>
    <x v="1"/>
    <x v="9"/>
    <s v="Shenzhen"/>
    <s v="Corporate"/>
    <x v="1"/>
    <x v="1"/>
    <x v="0"/>
    <x v="110"/>
    <n v="550.22"/>
    <n v="1025.05"/>
    <s v="High"/>
    <n v="0"/>
    <n v="27"/>
    <n v="27676.35"/>
    <n v="14855.94"/>
    <n v="12820.409999999998"/>
    <n v="0.46322618408858102"/>
    <x v="0"/>
    <x v="0"/>
    <n v="0"/>
    <n v="1025.05"/>
    <n v="605.24200000000008"/>
    <n v="29"/>
    <n v="29726.449999999997"/>
    <n v="12174.431999999997"/>
  </r>
  <r>
    <s v="ORD-2024-223618"/>
    <x v="103"/>
    <x v="5"/>
    <d v="2024-06-11T00:00:00"/>
    <n v="1"/>
    <x v="3"/>
    <x v="8"/>
    <s v="Birmingham"/>
    <s v="Small Business"/>
    <x v="2"/>
    <x v="12"/>
    <x v="4"/>
    <x v="111"/>
    <n v="1187.1300000000001"/>
    <n v="1795.17"/>
    <s v="High"/>
    <n v="1.2E-2"/>
    <n v="17"/>
    <n v="30151.675319999998"/>
    <n v="20181.210000000003"/>
    <n v="9970.4653199999957"/>
    <n v="0.33067699271046663"/>
    <x v="1"/>
    <x v="0"/>
    <n v="1.2E-2"/>
    <n v="1773.62796"/>
    <n v="1305.8430000000003"/>
    <n v="18"/>
    <n v="31925.30328"/>
    <n v="8420.1292799999956"/>
  </r>
  <r>
    <s v="ORD-2024-919471"/>
    <x v="104"/>
    <x v="5"/>
    <d v="2024-07-26T00:00:00"/>
    <n v="27"/>
    <x v="0"/>
    <x v="11"/>
    <s v="Durban"/>
    <s v="Enterprise"/>
    <x v="3"/>
    <x v="5"/>
    <x v="2"/>
    <x v="112"/>
    <n v="5.36"/>
    <n v="4.37"/>
    <s v="High"/>
    <n v="0.11799999999999999"/>
    <n v="9"/>
    <n v="34.689059999999998"/>
    <n v="48.24"/>
    <n v="-13.550940000000004"/>
    <n v="-0.39064016148030545"/>
    <x v="0"/>
    <x v="0"/>
    <n v="0.11799999999999999"/>
    <n v="3.8543400000000001"/>
    <n v="5.8960000000000008"/>
    <n v="10"/>
    <n v="38.543399999999998"/>
    <n v="-20.416600000000006"/>
  </r>
  <r>
    <s v="ORD-2025-649239"/>
    <x v="105"/>
    <x v="3"/>
    <d v="2025-01-24T00:00:00"/>
    <n v="7"/>
    <x v="2"/>
    <x v="10"/>
    <s v="Austin"/>
    <s v="Enterprise"/>
    <x v="1"/>
    <x v="3"/>
    <x v="6"/>
    <x v="113"/>
    <n v="142.09"/>
    <n v="218.5"/>
    <s v="High"/>
    <n v="0.11899999999999999"/>
    <n v="11"/>
    <n v="2117.4834999999998"/>
    <n v="1562.99"/>
    <n v="554.49349999999981"/>
    <n v="0.26186437816398561"/>
    <x v="1"/>
    <x v="0"/>
    <n v="0.11899999999999999"/>
    <n v="192.49850000000001"/>
    <n v="156.29900000000001"/>
    <n v="12"/>
    <n v="2309.982"/>
    <n v="434.39400000000001"/>
  </r>
  <r>
    <s v="ORD-2023-975863"/>
    <x v="106"/>
    <x v="4"/>
    <d v="2023-12-05T00:00:00"/>
    <n v="15"/>
    <x v="1"/>
    <x v="2"/>
    <s v="Tokyo"/>
    <s v="Enterprise"/>
    <x v="0"/>
    <x v="4"/>
    <x v="2"/>
    <x v="114"/>
    <n v="354.24"/>
    <n v="249.87"/>
    <s v="High"/>
    <n v="0"/>
    <n v="6"/>
    <n v="1499.22"/>
    <n v="2125.44"/>
    <n v="-626.22"/>
    <n v="-0.41769720254532355"/>
    <x v="0"/>
    <x v="0"/>
    <n v="0"/>
    <n v="249.87"/>
    <n v="389.66400000000004"/>
    <n v="7"/>
    <n v="1749.0900000000001"/>
    <n v="-978.55800000000022"/>
  </r>
  <r>
    <s v="ORD-2023-869884"/>
    <x v="107"/>
    <x v="2"/>
    <d v="2023-03-05T00:00:00"/>
    <n v="3"/>
    <x v="2"/>
    <x v="5"/>
    <s v="Brasília"/>
    <s v="Enterprise"/>
    <x v="4"/>
    <x v="3"/>
    <x v="5"/>
    <x v="115"/>
    <n v="1473.58"/>
    <n v="3436.52"/>
    <s v="High"/>
    <n v="0.108"/>
    <n v="8"/>
    <n v="24523.006720000001"/>
    <n v="11788.64"/>
    <n v="12734.366720000002"/>
    <n v="0.51928243813652564"/>
    <x v="1"/>
    <x v="0"/>
    <n v="0.108"/>
    <n v="3065.3758400000002"/>
    <n v="1620.9380000000001"/>
    <n v="9"/>
    <n v="27588.382560000002"/>
    <n v="12999.940560000001"/>
  </r>
  <r>
    <s v="ORD-2025-698069"/>
    <x v="108"/>
    <x v="6"/>
    <d v="2025-06-10T00:00:00"/>
    <n v="7"/>
    <x v="2"/>
    <x v="3"/>
    <s v="Toronto"/>
    <s v="Consumer"/>
    <x v="3"/>
    <x v="7"/>
    <x v="1"/>
    <x v="116"/>
    <n v="75.180000000000007"/>
    <n v="53.45"/>
    <s v="High"/>
    <n v="0.157"/>
    <n v="17"/>
    <n v="765.99195000000009"/>
    <n v="1278.0600000000002"/>
    <n v="-512.06805000000008"/>
    <n v="-0.66850317421743144"/>
    <x v="1"/>
    <x v="0"/>
    <n v="0.157"/>
    <n v="45.058350000000004"/>
    <n v="82.698000000000008"/>
    <n v="18"/>
    <n v="811.05030000000011"/>
    <n v="-677.51370000000009"/>
  </r>
  <r>
    <s v="ORD-2024-474999"/>
    <x v="6"/>
    <x v="1"/>
    <d v="2025-01-02T00:00:00"/>
    <n v="6"/>
    <x v="3"/>
    <x v="6"/>
    <s v="Frankfurt"/>
    <s v="Education"/>
    <x v="4"/>
    <x v="9"/>
    <x v="4"/>
    <x v="117"/>
    <n v="1391.99"/>
    <n v="3469.7"/>
    <s v="High"/>
    <n v="0.184"/>
    <n v="23"/>
    <n v="65119.329599999997"/>
    <n v="32015.77"/>
    <n v="33103.559599999993"/>
    <n v="0.50835227886006973"/>
    <x v="1"/>
    <x v="0"/>
    <n v="0.184"/>
    <n v="2831.2752"/>
    <n v="1531.1890000000001"/>
    <n v="25"/>
    <n v="70781.88"/>
    <n v="32502.154999999999"/>
  </r>
  <r>
    <s v="ORD-2023-427304"/>
    <x v="109"/>
    <x v="8"/>
    <d v="2023-06-19T00:00:00"/>
    <n v="10"/>
    <x v="1"/>
    <x v="9"/>
    <s v="Beijing"/>
    <s v="Enterprise"/>
    <x v="0"/>
    <x v="9"/>
    <x v="5"/>
    <x v="118"/>
    <n v="339.61"/>
    <n v="621.02"/>
    <s v="High"/>
    <n v="7.0999999999999994E-2"/>
    <n v="10"/>
    <n v="5769.2758000000003"/>
    <n v="3396.1000000000004"/>
    <n v="2373.1758"/>
    <n v="0.41134726129750981"/>
    <x v="0"/>
    <x v="0"/>
    <n v="7.0999999999999994E-2"/>
    <n v="576.92758000000003"/>
    <n v="373.57100000000003"/>
    <n v="11"/>
    <n v="6346.2033800000008"/>
    <n v="2236.92238"/>
  </r>
  <r>
    <s v="ORD-2025-956101"/>
    <x v="110"/>
    <x v="7"/>
    <d v="2025-07-18T00:00:00"/>
    <n v="9"/>
    <x v="2"/>
    <x v="3"/>
    <s v="Vancouver"/>
    <s v="Education"/>
    <x v="3"/>
    <x v="2"/>
    <x v="4"/>
    <x v="119"/>
    <n v="57.96"/>
    <n v="88.51"/>
    <s v="High"/>
    <n v="4.2999999999999997E-2"/>
    <n v="7"/>
    <n v="592.92849000000001"/>
    <n v="405.72"/>
    <n v="187.20848999999998"/>
    <n v="0.3157353595877978"/>
    <x v="0"/>
    <x v="0"/>
    <n v="4.2999999999999997E-2"/>
    <n v="84.704070000000002"/>
    <n v="63.756000000000007"/>
    <n v="8"/>
    <n v="677.63256000000001"/>
    <n v="167.58455999999995"/>
  </r>
  <r>
    <s v="ORD-2025-184082"/>
    <x v="111"/>
    <x v="6"/>
    <d v="2025-07-12T00:00:00"/>
    <n v="23"/>
    <x v="3"/>
    <x v="8"/>
    <s v="Unknown"/>
    <s v="Non-Profit"/>
    <x v="4"/>
    <x v="15"/>
    <x v="2"/>
    <x v="120"/>
    <n v="801.24"/>
    <n v="1959.09"/>
    <s v="High"/>
    <n v="0.123"/>
    <n v="23"/>
    <n v="39516.804389999998"/>
    <n v="18428.52"/>
    <n v="21088.284389999997"/>
    <n v="0.53365358650651762"/>
    <x v="0"/>
    <x v="0"/>
    <n v="0.123"/>
    <n v="1718.12193"/>
    <n v="881.36400000000003"/>
    <n v="25"/>
    <n v="42953.04825"/>
    <n v="20918.948250000001"/>
  </r>
  <r>
    <s v="ORD-2023-576840"/>
    <x v="112"/>
    <x v="4"/>
    <d v="2023-12-13T00:00:00"/>
    <n v="24"/>
    <x v="3"/>
    <x v="7"/>
    <s v="Lyon"/>
    <s v="Non-Profit"/>
    <x v="4"/>
    <x v="10"/>
    <x v="5"/>
    <x v="121"/>
    <n v="1297.42"/>
    <n v="2742.97"/>
    <s v="High"/>
    <n v="6.9000000000000006E-2"/>
    <n v="9"/>
    <n v="22983.34563"/>
    <n v="11676.78"/>
    <n v="11306.565629999999"/>
    <n v="0.49194602961727291"/>
    <x v="0"/>
    <x v="0"/>
    <n v="6.9000000000000006E-2"/>
    <n v="2553.70507"/>
    <n v="1427.1620000000003"/>
    <n v="10"/>
    <n v="25537.0507"/>
    <n v="11265.430699999997"/>
  </r>
  <r>
    <s v="ORD-2023-178249"/>
    <x v="113"/>
    <x v="4"/>
    <d v="2024-01-20T00:00:00"/>
    <n v="22"/>
    <x v="0"/>
    <x v="0"/>
    <s v="Kisumu"/>
    <s v="Corporate"/>
    <x v="4"/>
    <x v="4"/>
    <x v="3"/>
    <x v="122"/>
    <n v="1395.49"/>
    <n v="1679.42"/>
    <s v="High"/>
    <n v="0.20300000000000001"/>
    <n v="12"/>
    <n v="16061.972879999999"/>
    <n v="16745.88"/>
    <n v="-683.90712000000167"/>
    <n v="-4.2579272490964493E-2"/>
    <x v="0"/>
    <x v="1"/>
    <n v="0.2"/>
    <n v="1343.5360000000001"/>
    <n v="1535.0390000000002"/>
    <n v="13"/>
    <n v="17465.968000000001"/>
    <n v="-2489.539000000002"/>
  </r>
  <r>
    <s v="ORD-2024-588972"/>
    <x v="61"/>
    <x v="1"/>
    <d v="2024-11-29T00:00:00"/>
    <n v="27"/>
    <x v="2"/>
    <x v="5"/>
    <s v="Brasília"/>
    <s v="Small Business"/>
    <x v="4"/>
    <x v="2"/>
    <x v="2"/>
    <x v="123"/>
    <n v="1363.51"/>
    <n v="1433.9"/>
    <s v="High"/>
    <n v="5.7000000000000002E-2"/>
    <n v="8"/>
    <n v="10817.3416"/>
    <n v="10908.08"/>
    <n v="-90.738400000000183"/>
    <n v="-8.3882346842037592E-3"/>
    <x v="0"/>
    <x v="0"/>
    <n v="5.7000000000000002E-2"/>
    <n v="1352.1677"/>
    <n v="1499.8610000000001"/>
    <n v="9"/>
    <n v="12169.5093"/>
    <n v="-1329.2397000000012"/>
  </r>
  <r>
    <s v="ORD-2023-603238"/>
    <x v="114"/>
    <x v="10"/>
    <d v="2023-09-04T00:00:00"/>
    <n v="14"/>
    <x v="2"/>
    <x v="3"/>
    <s v="Montreal"/>
    <s v="Education"/>
    <x v="3"/>
    <x v="9"/>
    <x v="0"/>
    <x v="124"/>
    <n v="178.19"/>
    <n v="284.43"/>
    <s v="High"/>
    <n v="8.8999999999999996E-2"/>
    <n v="8"/>
    <n v="2072.9258400000003"/>
    <n v="1425.52"/>
    <n v="647.40584000000035"/>
    <n v="0.31231500302972742"/>
    <x v="0"/>
    <x v="0"/>
    <n v="8.8999999999999996E-2"/>
    <n v="259.11573000000004"/>
    <n v="196.00900000000001"/>
    <n v="9"/>
    <n v="2332.0415700000003"/>
    <n v="567.96057000000019"/>
  </r>
  <r>
    <s v="ORD-2023-883066"/>
    <x v="115"/>
    <x v="10"/>
    <d v="2023-09-06T00:00:00"/>
    <n v="25"/>
    <x v="1"/>
    <x v="9"/>
    <s v="Shanghai"/>
    <s v="Small Business"/>
    <x v="0"/>
    <x v="5"/>
    <x v="0"/>
    <x v="125"/>
    <n v="950.77"/>
    <n v="694.78"/>
    <s v="High"/>
    <n v="8.4000000000000005E-2"/>
    <n v="14"/>
    <n v="8909.8587200000002"/>
    <n v="13310.779999999999"/>
    <n v="-4400.9212799999987"/>
    <n v="-0.49393839097821279"/>
    <x v="0"/>
    <x v="0"/>
    <n v="8.4000000000000005E-2"/>
    <n v="636.41848000000005"/>
    <n v="1045.847"/>
    <n v="15"/>
    <n v="9546.2772000000004"/>
    <n v="-6141.4277999999995"/>
  </r>
  <r>
    <s v="ORD-2024-584090"/>
    <x v="116"/>
    <x v="5"/>
    <d v="2024-06-26T00:00:00"/>
    <n v="19"/>
    <x v="3"/>
    <x v="6"/>
    <s v="Berlin"/>
    <s v="Non-Profit"/>
    <x v="2"/>
    <x v="12"/>
    <x v="0"/>
    <x v="126"/>
    <n v="1064.32"/>
    <n v="1848.39"/>
    <s v="High"/>
    <n v="7.2999999999999995E-2"/>
    <n v="38"/>
    <n v="65111.38614000001"/>
    <n v="40444.159999999996"/>
    <n v="24667.226140000013"/>
    <n v="0.3788465827921631"/>
    <x v="0"/>
    <x v="0"/>
    <n v="7.2999999999999995E-2"/>
    <n v="1713.4575300000001"/>
    <n v="1170.752"/>
    <n v="40"/>
    <n v="68538.301200000002"/>
    <n v="21708.221200000007"/>
  </r>
  <r>
    <s v="ORD-2025-537785"/>
    <x v="117"/>
    <x v="7"/>
    <d v="2025-08-14T00:00:00"/>
    <n v="9"/>
    <x v="3"/>
    <x v="8"/>
    <s v="London"/>
    <s v="Non-Profit"/>
    <x v="4"/>
    <x v="6"/>
    <x v="0"/>
    <x v="127"/>
    <n v="41.76"/>
    <n v="45.19"/>
    <s v="High"/>
    <n v="0.17899999999999999"/>
    <n v="23"/>
    <n v="853.32276999999988"/>
    <n v="960.4799999999999"/>
    <n v="-107.15723000000003"/>
    <n v="-0.12557643340514638"/>
    <x v="0"/>
    <x v="0"/>
    <n v="0.17899999999999999"/>
    <n v="37.100989999999996"/>
    <n v="45.936"/>
    <n v="25"/>
    <n v="927.52474999999993"/>
    <n v="-220.87525000000011"/>
  </r>
  <r>
    <s v="ORD-2024-605518"/>
    <x v="118"/>
    <x v="5"/>
    <d v="2024-06-13T00:00:00"/>
    <n v="14"/>
    <x v="2"/>
    <x v="10"/>
    <s v="San Francisco"/>
    <s v="Small Business"/>
    <x v="0"/>
    <x v="9"/>
    <x v="3"/>
    <x v="128"/>
    <n v="157.78"/>
    <n v="361.1"/>
    <s v="High"/>
    <n v="0.187"/>
    <n v="9"/>
    <n v="2642.1686999999997"/>
    <n v="1420.02"/>
    <n v="1222.1486999999997"/>
    <n v="0.46255513510549112"/>
    <x v="0"/>
    <x v="0"/>
    <n v="0.187"/>
    <n v="293.57429999999999"/>
    <n v="173.55800000000002"/>
    <n v="10"/>
    <n v="2935.7429999999999"/>
    <n v="1200.1629999999998"/>
  </r>
  <r>
    <s v="ORD-2023-521818"/>
    <x v="119"/>
    <x v="2"/>
    <d v="2023-01-30T00:00:00"/>
    <n v="8"/>
    <x v="2"/>
    <x v="10"/>
    <s v="San Francisco"/>
    <s v="Small Business"/>
    <x v="1"/>
    <x v="8"/>
    <x v="2"/>
    <x v="129"/>
    <n v="413.52"/>
    <n v="1004.34"/>
    <s v="High"/>
    <n v="0.111"/>
    <n v="18"/>
    <n v="16071.44868"/>
    <n v="7443.36"/>
    <n v="8628.0886800000007"/>
    <n v="0.53685817948304593"/>
    <x v="0"/>
    <x v="0"/>
    <n v="0.111"/>
    <n v="892.85826000000009"/>
    <n v="454.87200000000001"/>
    <n v="19"/>
    <n v="16964.306940000002"/>
    <n v="8321.7389400000011"/>
  </r>
  <r>
    <s v="ORD-2025-650719"/>
    <x v="120"/>
    <x v="3"/>
    <d v="2025-02-28T00:00:00"/>
    <n v="16"/>
    <x v="2"/>
    <x v="5"/>
    <s v="São Paulo"/>
    <s v="Non-Profit"/>
    <x v="4"/>
    <x v="5"/>
    <x v="5"/>
    <x v="130"/>
    <n v="414.95"/>
    <n v="1027.73"/>
    <s v="High"/>
    <n v="6.3E-2"/>
    <n v="8"/>
    <n v="7703.8640800000003"/>
    <n v="3319.6"/>
    <n v="4384.2640800000008"/>
    <n v="0.56909935513815568"/>
    <x v="0"/>
    <x v="0"/>
    <n v="6.3E-2"/>
    <n v="962.98301000000004"/>
    <n v="456.44500000000005"/>
    <n v="9"/>
    <n v="8666.8470900000011"/>
    <n v="4558.8420900000001"/>
  </r>
  <r>
    <s v="ORD-2025-501927"/>
    <x v="121"/>
    <x v="3"/>
    <d v="2025-03-24T00:00:00"/>
    <n v="21"/>
    <x v="0"/>
    <x v="1"/>
    <s v="Abuja"/>
    <s v="Enterprise"/>
    <x v="4"/>
    <x v="10"/>
    <x v="6"/>
    <x v="131"/>
    <n v="555.95000000000005"/>
    <n v="468.09"/>
    <s v="High"/>
    <n v="0.14199999999999999"/>
    <n v="11"/>
    <n v="4417.8334199999999"/>
    <n v="6115.4500000000007"/>
    <n v="-1697.6165800000008"/>
    <n v="-0.38426450674095375"/>
    <x v="0"/>
    <x v="0"/>
    <n v="0.14199999999999999"/>
    <n v="401.62121999999999"/>
    <n v="611.54500000000007"/>
    <n v="12"/>
    <n v="4819.4546399999999"/>
    <n v="-2519.0853600000009"/>
  </r>
  <r>
    <s v="ORD-2023-430904"/>
    <x v="122"/>
    <x v="2"/>
    <d v="2023-01-31T00:00:00"/>
    <n v="4"/>
    <x v="3"/>
    <x v="8"/>
    <s v="Manchester"/>
    <s v="Enterprise"/>
    <x v="1"/>
    <x v="13"/>
    <x v="4"/>
    <x v="132"/>
    <n v="941.2"/>
    <n v="668.02"/>
    <s v="High"/>
    <n v="0.22"/>
    <n v="16"/>
    <n v="8336.8896000000004"/>
    <n v="15059.2"/>
    <n v="-6722.3104000000003"/>
    <n v="-0.80633314371825193"/>
    <x v="1"/>
    <x v="1"/>
    <n v="0.2"/>
    <n v="534.41600000000005"/>
    <n v="1035.3200000000002"/>
    <n v="17"/>
    <n v="9085.0720000000001"/>
    <n v="-8515.3680000000022"/>
  </r>
  <r>
    <s v="ORD-2025-354346"/>
    <x v="123"/>
    <x v="3"/>
    <d v="2025-01-15T00:00:00"/>
    <n v="6"/>
    <x v="1"/>
    <x v="9"/>
    <s v="Beijing"/>
    <s v="Education"/>
    <x v="1"/>
    <x v="0"/>
    <x v="3"/>
    <x v="133"/>
    <n v="304.77999999999997"/>
    <n v="537.27"/>
    <s v="High"/>
    <n v="0.187"/>
    <n v="8"/>
    <n v="3494.4040799999998"/>
    <n v="2438.2399999999998"/>
    <n v="1056.16408"/>
    <n v="0.3022444044307549"/>
    <x v="1"/>
    <x v="0"/>
    <n v="0.187"/>
    <n v="436.80050999999997"/>
    <n v="335.25799999999998"/>
    <n v="9"/>
    <n v="3931.2045899999998"/>
    <n v="913.88258999999994"/>
  </r>
  <r>
    <s v="ORD-2024-164288"/>
    <x v="124"/>
    <x v="1"/>
    <d v="2024-12-26T00:00:00"/>
    <n v="5"/>
    <x v="2"/>
    <x v="10"/>
    <s v="San Francisco"/>
    <s v="Consumer"/>
    <x v="2"/>
    <x v="12"/>
    <x v="1"/>
    <x v="134"/>
    <n v="699.57"/>
    <n v="572.71"/>
    <s v="High"/>
    <n v="0.192"/>
    <n v="26"/>
    <n v="12031.491680000001"/>
    <n v="18188.82"/>
    <n v="-6157.3283199999987"/>
    <n v="-0.51176765805651114"/>
    <x v="1"/>
    <x v="0"/>
    <n v="0.192"/>
    <n v="462.74968000000007"/>
    <n v="769.52700000000016"/>
    <n v="28"/>
    <n v="12956.991040000003"/>
    <n v="-8589.7649600000022"/>
  </r>
  <r>
    <s v="ORD-2023-867285"/>
    <x v="125"/>
    <x v="8"/>
    <d v="2023-04-17T00:00:00"/>
    <n v="5"/>
    <x v="3"/>
    <x v="7"/>
    <s v="Lyon"/>
    <s v="Enterprise"/>
    <x v="4"/>
    <x v="6"/>
    <x v="5"/>
    <x v="135"/>
    <n v="1087.81"/>
    <n v="2323.87"/>
    <s v="High"/>
    <n v="9.4E-2"/>
    <n v="13"/>
    <n v="27370.540859999997"/>
    <n v="14141.529999999999"/>
    <n v="13229.010859999999"/>
    <n v="0.48333026839572651"/>
    <x v="1"/>
    <x v="0"/>
    <n v="9.4E-2"/>
    <n v="2105.4262199999998"/>
    <n v="1196.5910000000001"/>
    <n v="14"/>
    <n v="29475.967079999999"/>
    <n v="12723.693079999995"/>
  </r>
  <r>
    <s v="ORD-2024-836421"/>
    <x v="126"/>
    <x v="1"/>
    <d v="2025-01-12T00:00:00"/>
    <n v="29"/>
    <x v="1"/>
    <x v="9"/>
    <s v="Shenzhen"/>
    <s v="Education"/>
    <x v="1"/>
    <x v="1"/>
    <x v="0"/>
    <x v="136"/>
    <n v="1412.15"/>
    <n v="1631.04"/>
    <s v="High"/>
    <n v="8.9999999999999993E-3"/>
    <n v="6"/>
    <n v="9698.1638399999993"/>
    <n v="8472.9000000000015"/>
    <n v="1225.2638399999978"/>
    <n v="0.12633977526203535"/>
    <x v="0"/>
    <x v="0"/>
    <n v="8.9999999999999993E-3"/>
    <n v="1616.3606399999999"/>
    <n v="1553.3650000000002"/>
    <n v="7"/>
    <n v="11314.52448"/>
    <n v="440.96947999999747"/>
  </r>
  <r>
    <s v="ORD-2023-613287"/>
    <x v="50"/>
    <x v="2"/>
    <d v="2023-04-12T00:00:00"/>
    <n v="12"/>
    <x v="0"/>
    <x v="0"/>
    <s v="Mombasa"/>
    <s v="Small Business"/>
    <x v="1"/>
    <x v="0"/>
    <x v="3"/>
    <x v="137"/>
    <n v="304.22000000000003"/>
    <n v="393.31"/>
    <s v="High"/>
    <n v="0.26500000000000001"/>
    <n v="15"/>
    <n v="4336.2427499999994"/>
    <n v="4563.3"/>
    <n v="-227.05725000000075"/>
    <n v="-5.2362670424759034E-2"/>
    <x v="0"/>
    <x v="1"/>
    <n v="0.2"/>
    <n v="314.64800000000002"/>
    <n v="334.64200000000005"/>
    <n v="16"/>
    <n v="5034.3680000000004"/>
    <n v="-319.90400000000045"/>
  </r>
  <r>
    <s v="ORD-2024-783321"/>
    <x v="127"/>
    <x v="1"/>
    <d v="2024-12-15T00:00:00"/>
    <n v="25"/>
    <x v="3"/>
    <x v="7"/>
    <s v="Paris"/>
    <s v="Corporate"/>
    <x v="1"/>
    <x v="3"/>
    <x v="1"/>
    <x v="138"/>
    <n v="1203.58"/>
    <n v="1856.16"/>
    <s v="High"/>
    <n v="0.129"/>
    <n v="22"/>
    <n v="35567.737920000007"/>
    <n v="26478.76"/>
    <n v="9088.9779200000085"/>
    <n v="0.25553994860295032"/>
    <x v="0"/>
    <x v="0"/>
    <n v="0.129"/>
    <n v="1616.7153600000001"/>
    <n v="1323.9380000000001"/>
    <n v="24"/>
    <n v="38801.168640000004"/>
    <n v="7026.6566400000011"/>
  </r>
  <r>
    <s v="ORD-2024-232632"/>
    <x v="128"/>
    <x v="0"/>
    <d v="2024-02-14T00:00:00"/>
    <n v="0"/>
    <x v="1"/>
    <x v="9"/>
    <s v="Beijing"/>
    <s v="Corporate"/>
    <x v="3"/>
    <x v="4"/>
    <x v="6"/>
    <x v="139"/>
    <n v="65.930000000000007"/>
    <n v="84.9"/>
    <s v="High"/>
    <n v="0.25900000000000001"/>
    <n v="23"/>
    <n v="1446.9507000000001"/>
    <n v="1516.39"/>
    <n v="-69.439300000000003"/>
    <n v="-4.7990093926489688E-2"/>
    <x v="1"/>
    <x v="1"/>
    <n v="0.2"/>
    <n v="67.92"/>
    <n v="72.52300000000001"/>
    <n v="25"/>
    <n v="1698"/>
    <n v="-115.07500000000022"/>
  </r>
  <r>
    <s v="ORD-2023-906481"/>
    <x v="129"/>
    <x v="8"/>
    <d v="2023-05-18T00:00:00"/>
    <n v="16"/>
    <x v="1"/>
    <x v="4"/>
    <s v="Delhi"/>
    <s v="Small Business"/>
    <x v="2"/>
    <x v="11"/>
    <x v="5"/>
    <x v="140"/>
    <n v="1463.92"/>
    <n v="2252.2399999999998"/>
    <s v="High"/>
    <n v="0.11799999999999999"/>
    <n v="44"/>
    <n v="87404.929919999995"/>
    <n v="64412.480000000003"/>
    <n v="22992.449919999992"/>
    <n v="0.26305667130040061"/>
    <x v="0"/>
    <x v="0"/>
    <n v="0.11799999999999999"/>
    <n v="1986.4756799999998"/>
    <n v="1610.3120000000001"/>
    <n v="47"/>
    <n v="93364.35695999999"/>
    <n v="17679.692959999986"/>
  </r>
  <r>
    <s v="ORD-2024-902741"/>
    <x v="130"/>
    <x v="1"/>
    <d v="2025-01-11T00:00:00"/>
    <n v="19"/>
    <x v="3"/>
    <x v="6"/>
    <s v="Berlin"/>
    <s v="Education"/>
    <x v="0"/>
    <x v="11"/>
    <x v="3"/>
    <x v="141"/>
    <n v="501.81"/>
    <n v="921.62"/>
    <s v="High"/>
    <n v="0.01"/>
    <n v="9"/>
    <n v="8211.6342000000004"/>
    <n v="4516.29"/>
    <n v="3695.3442000000005"/>
    <n v="0.45001325071202031"/>
    <x v="0"/>
    <x v="0"/>
    <n v="0.01"/>
    <n v="912.40380000000005"/>
    <n v="551.9910000000001"/>
    <n v="10"/>
    <n v="9124.0380000000005"/>
    <n v="3604.1279999999997"/>
  </r>
  <r>
    <s v="ORD-2023-912395"/>
    <x v="131"/>
    <x v="10"/>
    <d v="2023-08-25T00:00:00"/>
    <n v="30"/>
    <x v="2"/>
    <x v="10"/>
    <s v="New York"/>
    <s v="Consumer"/>
    <x v="0"/>
    <x v="12"/>
    <x v="6"/>
    <x v="142"/>
    <n v="1261.48"/>
    <n v="1643.18"/>
    <s v="High"/>
    <n v="0.151"/>
    <n v="23"/>
    <n v="32086.37586"/>
    <n v="29014.04"/>
    <n v="3072.3358599999992"/>
    <n v="9.5752037357079045E-2"/>
    <x v="0"/>
    <x v="0"/>
    <n v="0.151"/>
    <n v="1395.0598199999999"/>
    <n v="1387.6280000000002"/>
    <n v="25"/>
    <n v="34876.495499999997"/>
    <n v="185.79549999999472"/>
  </r>
  <r>
    <s v="ORD-2024-389102"/>
    <x v="132"/>
    <x v="5"/>
    <d v="2024-07-06T00:00:00"/>
    <n v="21"/>
    <x v="2"/>
    <x v="3"/>
    <s v="Toronto"/>
    <s v="Enterprise"/>
    <x v="3"/>
    <x v="4"/>
    <x v="1"/>
    <x v="143"/>
    <n v="817.23"/>
    <n v="1467.17"/>
    <s v="High"/>
    <n v="0.245"/>
    <n v="9"/>
    <n v="9969.4201499999999"/>
    <n v="7355.07"/>
    <n v="2614.3501500000002"/>
    <n v="0.26223693160328893"/>
    <x v="0"/>
    <x v="1"/>
    <n v="0.2"/>
    <n v="1173.7360000000001"/>
    <n v="898.95300000000009"/>
    <n v="10"/>
    <n v="11737.36"/>
    <n v="2747.83"/>
  </r>
  <r>
    <s v="ORD-2023-309373"/>
    <x v="133"/>
    <x v="10"/>
    <d v="2023-07-14T00:00:00"/>
    <n v="9"/>
    <x v="2"/>
    <x v="5"/>
    <s v="Brasília"/>
    <s v="Enterprise"/>
    <x v="4"/>
    <x v="5"/>
    <x v="2"/>
    <x v="144"/>
    <n v="578.85"/>
    <n v="998.76"/>
    <s v="High"/>
    <n v="8.2000000000000003E-2"/>
    <n v="28"/>
    <n v="25672.127039999999"/>
    <n v="16207.800000000001"/>
    <n v="9464.3270399999983"/>
    <n v="0.36866158480960831"/>
    <x v="0"/>
    <x v="0"/>
    <n v="8.2000000000000003E-2"/>
    <n v="916.86167999999998"/>
    <n v="636.73500000000013"/>
    <n v="30"/>
    <n v="27505.850399999999"/>
    <n v="8403.8003999999964"/>
  </r>
  <r>
    <s v="ORD-2023-825495"/>
    <x v="134"/>
    <x v="4"/>
    <d v="2023-12-07T00:00:00"/>
    <n v="7"/>
    <x v="0"/>
    <x v="11"/>
    <s v="Durban"/>
    <s v="Small Business"/>
    <x v="2"/>
    <x v="6"/>
    <x v="4"/>
    <x v="145"/>
    <n v="275.56"/>
    <n v="630.72"/>
    <s v="High"/>
    <n v="0.107"/>
    <n v="23"/>
    <n v="12954.358080000002"/>
    <n v="6337.88"/>
    <n v="6616.4780800000017"/>
    <n v="0.5107530638831933"/>
    <x v="1"/>
    <x v="0"/>
    <n v="0.107"/>
    <n v="563.23296000000005"/>
    <n v="303.11600000000004"/>
    <n v="25"/>
    <n v="14080.824000000001"/>
    <n v="6502.924"/>
  </r>
  <r>
    <s v="ORD-2025-244832"/>
    <x v="135"/>
    <x v="7"/>
    <d v="2025-09-28T00:00:00"/>
    <n v="17"/>
    <x v="0"/>
    <x v="0"/>
    <s v="Nairobi"/>
    <s v="Non-Profit"/>
    <x v="3"/>
    <x v="1"/>
    <x v="4"/>
    <x v="146"/>
    <n v="891.46"/>
    <n v="728.61"/>
    <s v="High"/>
    <n v="0.185"/>
    <n v="6"/>
    <n v="3562.9028999999996"/>
    <n v="5348.76"/>
    <n v="-1785.8571000000006"/>
    <n v="-0.50123653383874167"/>
    <x v="0"/>
    <x v="0"/>
    <n v="0.185"/>
    <n v="593.81714999999997"/>
    <n v="980.60600000000011"/>
    <n v="7"/>
    <n v="4156.7200499999999"/>
    <n v="-2707.5219500000012"/>
  </r>
  <r>
    <s v="ORD-2024-211453"/>
    <x v="136"/>
    <x v="5"/>
    <d v="2024-04-24T00:00:00"/>
    <n v="20"/>
    <x v="3"/>
    <x v="6"/>
    <s v="Frankfurt"/>
    <s v="Non-Profit"/>
    <x v="4"/>
    <x v="7"/>
    <x v="6"/>
    <x v="147"/>
    <n v="683.42"/>
    <n v="951.51"/>
    <s v="High"/>
    <n v="0"/>
    <n v="14"/>
    <n v="13321.14"/>
    <n v="9567.8799999999992"/>
    <n v="3753.26"/>
    <n v="0.28175216235247136"/>
    <x v="0"/>
    <x v="0"/>
    <n v="0"/>
    <n v="951.51"/>
    <n v="751.76200000000006"/>
    <n v="15"/>
    <n v="14272.65"/>
    <n v="2996.2199999999989"/>
  </r>
  <r>
    <s v="ORD-2023-192324"/>
    <x v="137"/>
    <x v="10"/>
    <d v="2023-09-16T00:00:00"/>
    <n v="2"/>
    <x v="3"/>
    <x v="7"/>
    <s v="Lyon"/>
    <s v="Non-Profit"/>
    <x v="4"/>
    <x v="5"/>
    <x v="1"/>
    <x v="148"/>
    <n v="376.83"/>
    <n v="732.88"/>
    <s v="High"/>
    <n v="0.188"/>
    <n v="25"/>
    <n v="14877.464000000002"/>
    <n v="9420.75"/>
    <n v="5456.7140000000018"/>
    <n v="0.36677716040852132"/>
    <x v="1"/>
    <x v="0"/>
    <n v="0.188"/>
    <n v="595.09856000000002"/>
    <n v="414.51300000000003"/>
    <n v="27"/>
    <n v="16067.661120000001"/>
    <n v="4875.8101200000001"/>
  </r>
  <r>
    <s v="ORD-2024-438404"/>
    <x v="138"/>
    <x v="9"/>
    <d v="2024-10-18T00:00:00"/>
    <n v="25"/>
    <x v="2"/>
    <x v="3"/>
    <s v="Vancouver"/>
    <s v="Small Business"/>
    <x v="1"/>
    <x v="13"/>
    <x v="3"/>
    <x v="149"/>
    <n v="1297"/>
    <n v="2411.52"/>
    <s v="High"/>
    <n v="2.1000000000000001E-2"/>
    <n v="18"/>
    <n v="42495.805439999996"/>
    <n v="23346"/>
    <n v="19149.805439999996"/>
    <n v="0.45062813239385913"/>
    <x v="0"/>
    <x v="0"/>
    <n v="2.1000000000000001E-2"/>
    <n v="2360.87808"/>
    <n v="1426.7"/>
    <n v="19"/>
    <n v="44856.683519999999"/>
    <n v="17749.383519999999"/>
  </r>
  <r>
    <s v="ORD-2025-246470"/>
    <x v="139"/>
    <x v="6"/>
    <d v="2025-05-16T00:00:00"/>
    <n v="30"/>
    <x v="2"/>
    <x v="3"/>
    <s v="Montreal"/>
    <s v="Enterprise"/>
    <x v="3"/>
    <x v="11"/>
    <x v="1"/>
    <x v="150"/>
    <n v="763.32"/>
    <n v="568.29"/>
    <s v="High"/>
    <n v="0.13100000000000001"/>
    <n v="16"/>
    <n v="7901.5041599999995"/>
    <n v="12213.12"/>
    <n v="-4311.6158400000013"/>
    <n v="-0.54567026134426555"/>
    <x v="0"/>
    <x v="0"/>
    <n v="0.13100000000000001"/>
    <n v="493.84400999999997"/>
    <n v="839.65200000000016"/>
    <n v="17"/>
    <n v="8395.3481699999993"/>
    <n v="-5878.7358300000033"/>
  </r>
  <r>
    <s v="ORD-2023-497686"/>
    <x v="140"/>
    <x v="10"/>
    <d v="2023-07-23T00:00:00"/>
    <n v="20"/>
    <x v="0"/>
    <x v="11"/>
    <s v="Johannesburg"/>
    <s v="Small Business"/>
    <x v="3"/>
    <x v="9"/>
    <x v="4"/>
    <x v="151"/>
    <n v="1001.96"/>
    <n v="1254.95"/>
    <s v="High"/>
    <n v="4.4999999999999998E-2"/>
    <n v="18"/>
    <n v="21572.590500000002"/>
    <n v="18035.28"/>
    <n v="3537.3105000000032"/>
    <n v="0.16397244920585699"/>
    <x v="0"/>
    <x v="0"/>
    <n v="4.4999999999999998E-2"/>
    <n v="1198.4772499999999"/>
    <n v="1102.1560000000002"/>
    <n v="19"/>
    <n v="22771.067749999998"/>
    <n v="1830.103749999995"/>
  </r>
  <r>
    <s v="ORD-2023-596758"/>
    <x v="141"/>
    <x v="4"/>
    <d v="2023-12-14T00:00:00"/>
    <n v="7"/>
    <x v="1"/>
    <x v="2"/>
    <s v="Tokyo"/>
    <s v="Non-Profit"/>
    <x v="2"/>
    <x v="10"/>
    <x v="1"/>
    <x v="152"/>
    <n v="1097.5899999999999"/>
    <n v="845.55"/>
    <s v="High"/>
    <n v="0.184"/>
    <n v="6"/>
    <n v="4139.8127999999997"/>
    <n v="6585.5399999999991"/>
    <n v="-2445.7271999999994"/>
    <n v="-0.59078207594314402"/>
    <x v="1"/>
    <x v="0"/>
    <n v="0.184"/>
    <n v="689.96879999999999"/>
    <n v="1207.3489999999999"/>
    <n v="7"/>
    <n v="4829.7816000000003"/>
    <n v="-3621.6613999999995"/>
  </r>
  <r>
    <s v="ORD-2024-201376"/>
    <x v="142"/>
    <x v="0"/>
    <d v="2024-03-04T00:00:00"/>
    <n v="15"/>
    <x v="0"/>
    <x v="0"/>
    <s v="Kisumu"/>
    <s v="Education"/>
    <x v="4"/>
    <x v="11"/>
    <x v="1"/>
    <x v="153"/>
    <n v="928.68"/>
    <n v="2145.17"/>
    <s v="High"/>
    <n v="0.13600000000000001"/>
    <n v="16"/>
    <n v="29654.83008"/>
    <n v="14858.88"/>
    <n v="14795.950080000001"/>
    <n v="0.49893896003062177"/>
    <x v="0"/>
    <x v="0"/>
    <n v="0.13600000000000001"/>
    <n v="1853.42688"/>
    <n v="1021.548"/>
    <n v="17"/>
    <n v="31508.256959999999"/>
    <n v="14141.94096"/>
  </r>
  <r>
    <s v="ORD-2023-842488"/>
    <x v="143"/>
    <x v="4"/>
    <d v="2023-11-02T00:00:00"/>
    <n v="2"/>
    <x v="0"/>
    <x v="0"/>
    <s v="Kisumu"/>
    <s v="Education"/>
    <x v="0"/>
    <x v="7"/>
    <x v="6"/>
    <x v="154"/>
    <n v="867.89"/>
    <n v="1349.94"/>
    <s v="High"/>
    <n v="0.184"/>
    <n v="10"/>
    <n v="11015.510400000003"/>
    <n v="8678.9"/>
    <n v="2336.6104000000032"/>
    <n v="0.21212003031652557"/>
    <x v="1"/>
    <x v="0"/>
    <n v="0.184"/>
    <n v="1101.5510400000001"/>
    <n v="954.67900000000009"/>
    <n v="11"/>
    <n v="12117.061440000001"/>
    <n v="1615.5924399999997"/>
  </r>
  <r>
    <s v="ORD-2024-136321"/>
    <x v="144"/>
    <x v="9"/>
    <d v="2024-08-17T00:00:00"/>
    <n v="10"/>
    <x v="1"/>
    <x v="2"/>
    <s v="Osaka"/>
    <s v="Consumer"/>
    <x v="1"/>
    <x v="11"/>
    <x v="2"/>
    <x v="155"/>
    <n v="436.58"/>
    <n v="527.48"/>
    <s v="High"/>
    <n v="0.111"/>
    <n v="19"/>
    <n v="8909.6646800000017"/>
    <n v="8295.02"/>
    <n v="614.64468000000124"/>
    <n v="6.8986286473802644E-2"/>
    <x v="0"/>
    <x v="0"/>
    <n v="0.111"/>
    <n v="468.92972000000003"/>
    <n v="480.238"/>
    <n v="20"/>
    <n v="9378.5944"/>
    <n v="-226.16559999999936"/>
  </r>
  <r>
    <s v="ORD-2024-764468"/>
    <x v="145"/>
    <x v="0"/>
    <d v="2024-02-21T00:00:00"/>
    <n v="20"/>
    <x v="3"/>
    <x v="7"/>
    <s v="Paris"/>
    <s v="Small Business"/>
    <x v="2"/>
    <x v="8"/>
    <x v="2"/>
    <x v="156"/>
    <n v="656.2"/>
    <n v="1467.17"/>
    <s v="High"/>
    <n v="1.7999999999999999E-2"/>
    <n v="5"/>
    <n v="7203.8047000000006"/>
    <n v="3281"/>
    <n v="3922.8047000000006"/>
    <n v="0.54454623124360946"/>
    <x v="0"/>
    <x v="0"/>
    <n v="1.7999999999999999E-2"/>
    <n v="1440.7609400000001"/>
    <n v="721.82000000000016"/>
    <n v="6"/>
    <n v="8644.5656400000007"/>
    <n v="4313.6456399999997"/>
  </r>
  <r>
    <s v="ORD-2024-553449"/>
    <x v="38"/>
    <x v="9"/>
    <d v="2024-09-18T00:00:00"/>
    <n v="22"/>
    <x v="1"/>
    <x v="4"/>
    <s v="Delhi"/>
    <s v="Consumer"/>
    <x v="4"/>
    <x v="5"/>
    <x v="0"/>
    <x v="157"/>
    <n v="896.75"/>
    <n v="1651.14"/>
    <s v="High"/>
    <n v="2.5000000000000001E-2"/>
    <n v="15"/>
    <n v="24147.922500000001"/>
    <n v="13451.25"/>
    <n v="10696.672500000001"/>
    <n v="0.44296450346815552"/>
    <x v="0"/>
    <x v="0"/>
    <n v="2.5000000000000001E-2"/>
    <n v="1609.8615"/>
    <n v="986.42500000000007"/>
    <n v="16"/>
    <n v="25757.784"/>
    <n v="9974.9839999999986"/>
  </r>
  <r>
    <s v="ORD-2025-766923"/>
    <x v="146"/>
    <x v="3"/>
    <d v="2025-02-15T00:00:00"/>
    <n v="0"/>
    <x v="3"/>
    <x v="6"/>
    <s v="Frankfurt"/>
    <s v="Small Business"/>
    <x v="2"/>
    <x v="4"/>
    <x v="6"/>
    <x v="158"/>
    <n v="815.83"/>
    <n v="1982.18"/>
    <s v="High"/>
    <n v="0.127"/>
    <n v="6"/>
    <n v="10382.65884"/>
    <n v="4894.9800000000005"/>
    <n v="5487.6788399999996"/>
    <n v="0.52854272923408507"/>
    <x v="1"/>
    <x v="0"/>
    <n v="0.127"/>
    <n v="1730.4431400000001"/>
    <n v="897.41300000000012"/>
    <n v="7"/>
    <n v="12113.101980000001"/>
    <n v="5831.2109799999998"/>
  </r>
  <r>
    <s v="ORD-2025-418232"/>
    <x v="90"/>
    <x v="7"/>
    <d v="2025-08-21T00:00:00"/>
    <n v="20"/>
    <x v="1"/>
    <x v="9"/>
    <s v="Shanghai"/>
    <s v="Corporate"/>
    <x v="4"/>
    <x v="2"/>
    <x v="3"/>
    <x v="159"/>
    <n v="1220.4100000000001"/>
    <n v="2552.2199999999998"/>
    <s v="High"/>
    <n v="0.18099999999999999"/>
    <n v="14"/>
    <n v="29263.754519999995"/>
    <n v="17085.740000000002"/>
    <n v="12178.014519999993"/>
    <n v="0.41614668793360271"/>
    <x v="0"/>
    <x v="0"/>
    <n v="0.18099999999999999"/>
    <n v="2090.2681799999996"/>
    <n v="1342.4510000000002"/>
    <n v="15"/>
    <n v="31354.022699999994"/>
    <n v="11217.257699999989"/>
  </r>
  <r>
    <s v="ORD-2023-848013"/>
    <x v="147"/>
    <x v="2"/>
    <d v="2023-03-04T00:00:00"/>
    <n v="12"/>
    <x v="1"/>
    <x v="4"/>
    <s v="Delhi"/>
    <s v="Consumer"/>
    <x v="3"/>
    <x v="12"/>
    <x v="5"/>
    <x v="160"/>
    <n v="299.75"/>
    <n v="523.01"/>
    <s v="High"/>
    <n v="0.157"/>
    <n v="50"/>
    <n v="22044.871499999997"/>
    <n v="14987.5"/>
    <n v="7057.3714999999975"/>
    <n v="0.32013665854210122"/>
    <x v="0"/>
    <x v="0"/>
    <n v="0.157"/>
    <n v="440.89742999999999"/>
    <n v="329.72500000000002"/>
    <n v="53"/>
    <n v="23367.56379"/>
    <n v="5892.1387899999982"/>
  </r>
  <r>
    <s v="ORD-2024-357368"/>
    <x v="148"/>
    <x v="1"/>
    <d v="2024-11-24T00:00:00"/>
    <n v="25"/>
    <x v="1"/>
    <x v="9"/>
    <s v="Shenzhen"/>
    <s v="Small Business"/>
    <x v="1"/>
    <x v="6"/>
    <x v="0"/>
    <x v="161"/>
    <n v="811.05"/>
    <n v="1217.71"/>
    <s v="High"/>
    <n v="7.1999999999999995E-2"/>
    <n v="5"/>
    <n v="5650.1744000000008"/>
    <n v="4055.25"/>
    <n v="1594.9244000000008"/>
    <n v="0.28227879125288602"/>
    <x v="0"/>
    <x v="0"/>
    <n v="7.1999999999999995E-2"/>
    <n v="1130.0348800000002"/>
    <n v="892.15499999999997"/>
    <n v="6"/>
    <n v="6780.2092800000009"/>
    <n v="1427.2792800000011"/>
  </r>
  <r>
    <s v="ORD-2024-219735"/>
    <x v="149"/>
    <x v="5"/>
    <d v="2024-04-07T00:00:00"/>
    <n v="4"/>
    <x v="2"/>
    <x v="5"/>
    <s v="Brasília"/>
    <s v="Non-Profit"/>
    <x v="4"/>
    <x v="13"/>
    <x v="3"/>
    <x v="162"/>
    <n v="1023.27"/>
    <n v="1343.64"/>
    <s v="High"/>
    <n v="0.13300000000000001"/>
    <n v="7"/>
    <n v="8154.5511600000009"/>
    <n v="7162.8899999999994"/>
    <n v="991.66116000000147"/>
    <n v="0.12160830688810116"/>
    <x v="1"/>
    <x v="0"/>
    <n v="0.13300000000000001"/>
    <n v="1164.93588"/>
    <n v="1125.597"/>
    <n v="8"/>
    <n v="9319.48704"/>
    <n v="314.71104000000014"/>
  </r>
  <r>
    <s v="ORD-2023-240507"/>
    <x v="150"/>
    <x v="2"/>
    <d v="2023-03-26T00:00:00"/>
    <n v="1"/>
    <x v="1"/>
    <x v="2"/>
    <s v="Osaka"/>
    <s v="Small Business"/>
    <x v="3"/>
    <x v="2"/>
    <x v="5"/>
    <x v="163"/>
    <n v="135.12"/>
    <n v="301.7"/>
    <s v="High"/>
    <n v="0.14000000000000001"/>
    <n v="47"/>
    <n v="12194.714"/>
    <n v="6350.64"/>
    <n v="5844.0739999999996"/>
    <n v="0.47923009920527859"/>
    <x v="1"/>
    <x v="0"/>
    <n v="0.14000000000000001"/>
    <n v="259.46199999999999"/>
    <n v="148.63200000000001"/>
    <n v="50"/>
    <n v="12973.099999999999"/>
    <n v="5541.4999999999991"/>
  </r>
  <r>
    <s v="ORD-2024-134084"/>
    <x v="151"/>
    <x v="5"/>
    <d v="2024-06-16T00:00:00"/>
    <n v="12"/>
    <x v="1"/>
    <x v="9"/>
    <s v="Shanghai"/>
    <s v="Corporate"/>
    <x v="0"/>
    <x v="1"/>
    <x v="1"/>
    <x v="164"/>
    <n v="918.42"/>
    <n v="1511.71"/>
    <s v="High"/>
    <n v="0.02"/>
    <n v="8"/>
    <n v="11851.806399999999"/>
    <n v="7347.36"/>
    <n v="4504.4463999999998"/>
    <n v="0.38006412254590999"/>
    <x v="0"/>
    <x v="0"/>
    <n v="0.02"/>
    <n v="1481.4757999999999"/>
    <n v="1010.2620000000001"/>
    <n v="9"/>
    <n v="13333.2822"/>
    <n v="4240.9241999999986"/>
  </r>
  <r>
    <s v="ORD-2023-884625"/>
    <x v="152"/>
    <x v="2"/>
    <d v="2023-03-12T00:00:00"/>
    <n v="21"/>
    <x v="3"/>
    <x v="6"/>
    <s v="Berlin"/>
    <s v="Small Business"/>
    <x v="4"/>
    <x v="4"/>
    <x v="5"/>
    <x v="165"/>
    <n v="1234.81"/>
    <n v="2055.2399999999998"/>
    <s v="High"/>
    <n v="5.2999999999999999E-2"/>
    <n v="44"/>
    <n v="85637.740319999997"/>
    <n v="54331.64"/>
    <n v="31306.100319999998"/>
    <n v="0.36556429680441616"/>
    <x v="0"/>
    <x v="0"/>
    <n v="5.2999999999999999E-2"/>
    <n v="1946.3122799999996"/>
    <n v="1358.2909999999999"/>
    <n v="47"/>
    <n v="91476.677159999977"/>
    <n v="27637.000159999985"/>
  </r>
  <r>
    <s v="ORD-2023-157993"/>
    <x v="153"/>
    <x v="8"/>
    <d v="2023-05-18T00:00:00"/>
    <n v="30"/>
    <x v="1"/>
    <x v="9"/>
    <s v="Shenzhen"/>
    <s v="Non-Profit"/>
    <x v="0"/>
    <x v="10"/>
    <x v="4"/>
    <x v="166"/>
    <n v="329.03"/>
    <n v="391.15"/>
    <s v="High"/>
    <n v="0.19700000000000001"/>
    <n v="46"/>
    <n v="14448.298699999998"/>
    <n v="15135.38"/>
    <n v="-687.08130000000165"/>
    <n v="-4.7554477815440081E-2"/>
    <x v="0"/>
    <x v="0"/>
    <n v="0.19700000000000001"/>
    <n v="314.09344999999996"/>
    <n v="361.93299999999999"/>
    <n v="49"/>
    <n v="15390.579049999998"/>
    <n v="-2344.1379500000016"/>
  </r>
  <r>
    <s v="ORD-2024-329104"/>
    <x v="154"/>
    <x v="5"/>
    <d v="2024-06-14T00:00:00"/>
    <n v="22"/>
    <x v="3"/>
    <x v="7"/>
    <s v="Marseille"/>
    <s v="Small Business"/>
    <x v="1"/>
    <x v="13"/>
    <x v="5"/>
    <x v="167"/>
    <n v="1481.74"/>
    <n v="1848.97"/>
    <s v="High"/>
    <n v="0.254"/>
    <n v="9"/>
    <n v="12413.98458"/>
    <n v="13335.66"/>
    <n v="-921.67541999999958"/>
    <n v="-7.4244930309072407E-2"/>
    <x v="0"/>
    <x v="1"/>
    <n v="0.2"/>
    <n v="1479.1760000000002"/>
    <n v="1629.9140000000002"/>
    <n v="10"/>
    <n v="14791.760000000002"/>
    <n v="-1507.3800000000006"/>
  </r>
  <r>
    <s v="ORD-2023-304451"/>
    <x v="155"/>
    <x v="4"/>
    <d v="2023-10-23T00:00:00"/>
    <n v="16"/>
    <x v="1"/>
    <x v="4"/>
    <s v="Hyderabad"/>
    <s v="Consumer"/>
    <x v="0"/>
    <x v="3"/>
    <x v="5"/>
    <x v="168"/>
    <n v="906.81"/>
    <n v="1395.56"/>
    <s v="High"/>
    <n v="0.185"/>
    <n v="6"/>
    <n v="6824.2884000000004"/>
    <n v="5440.86"/>
    <n v="1383.4284000000007"/>
    <n v="0.20272126834498974"/>
    <x v="0"/>
    <x v="0"/>
    <n v="0.185"/>
    <n v="1137.3814"/>
    <n v="997.49099999999999"/>
    <n v="7"/>
    <n v="7961.6697999999997"/>
    <n v="979.2328"/>
  </r>
  <r>
    <s v="ORD-2024-942981"/>
    <x v="156"/>
    <x v="1"/>
    <d v="2024-11-08T00:00:00"/>
    <n v="30"/>
    <x v="3"/>
    <x v="8"/>
    <s v="Manchester"/>
    <s v="Small Business"/>
    <x v="3"/>
    <x v="1"/>
    <x v="0"/>
    <x v="169"/>
    <n v="343.85"/>
    <n v="538.04"/>
    <s v="High"/>
    <n v="0.13900000000000001"/>
    <n v="5"/>
    <n v="2316.2621999999997"/>
    <n v="1719.25"/>
    <n v="597.01219999999967"/>
    <n v="0.25774810813732563"/>
    <x v="0"/>
    <x v="0"/>
    <n v="0.13900000000000001"/>
    <n v="463.25243999999998"/>
    <n v="378.23500000000007"/>
    <n v="6"/>
    <n v="2779.5146399999999"/>
    <n v="510.10463999999945"/>
  </r>
  <r>
    <s v="ORD-2024-605629"/>
    <x v="157"/>
    <x v="9"/>
    <d v="2024-07-15T00:00:00"/>
    <n v="0"/>
    <x v="1"/>
    <x v="2"/>
    <s v="Tokyo"/>
    <s v="Small Business"/>
    <x v="2"/>
    <x v="3"/>
    <x v="6"/>
    <x v="170"/>
    <n v="801.77"/>
    <n v="1218.92"/>
    <s v="High"/>
    <n v="0.254"/>
    <n v="16"/>
    <n v="14549.029120000001"/>
    <n v="12828.32"/>
    <n v="1720.7091200000013"/>
    <n v="0.11826968698788344"/>
    <x v="1"/>
    <x v="1"/>
    <n v="0.2"/>
    <n v="975.13600000000008"/>
    <n v="881.947"/>
    <n v="17"/>
    <n v="16577.312000000002"/>
    <n v="1584.2130000000013"/>
  </r>
  <r>
    <s v="ORD-2023-450877"/>
    <x v="158"/>
    <x v="10"/>
    <d v="2023-10-10T00:00:00"/>
    <n v="19"/>
    <x v="1"/>
    <x v="2"/>
    <s v="Tokyo"/>
    <s v="Education"/>
    <x v="1"/>
    <x v="14"/>
    <x v="0"/>
    <x v="171"/>
    <n v="845.63"/>
    <n v="2062.12"/>
    <s v="High"/>
    <n v="0.13400000000000001"/>
    <n v="5"/>
    <n v="8928.9795999999988"/>
    <n v="4228.1499999999996"/>
    <n v="4700.8295999999991"/>
    <n v="0.52646884757133949"/>
    <x v="0"/>
    <x v="0"/>
    <n v="0.13400000000000001"/>
    <n v="1785.7959199999998"/>
    <n v="930.1930000000001"/>
    <n v="6"/>
    <n v="10714.775519999999"/>
    <n v="5133.617519999998"/>
  </r>
  <r>
    <s v="ORD-2023-286994"/>
    <x v="159"/>
    <x v="2"/>
    <d v="2023-03-09T00:00:00"/>
    <n v="13"/>
    <x v="2"/>
    <x v="10"/>
    <s v="New York"/>
    <s v="Enterprise"/>
    <x v="1"/>
    <x v="12"/>
    <x v="0"/>
    <x v="172"/>
    <n v="6.85"/>
    <n v="10.18"/>
    <s v="High"/>
    <n v="4.7E-2"/>
    <n v="10"/>
    <n v="97.0154"/>
    <n v="68.5"/>
    <n v="28.5154"/>
    <n v="0.2939265312517394"/>
    <x v="0"/>
    <x v="0"/>
    <n v="4.7E-2"/>
    <n v="9.7015399999999996"/>
    <n v="7.5350000000000001"/>
    <n v="11"/>
    <n v="106.71693999999999"/>
    <n v="23.831939999999996"/>
  </r>
  <r>
    <s v="ORD-2025-700847"/>
    <x v="9"/>
    <x v="6"/>
    <d v="2025-05-28T00:00:00"/>
    <n v="7"/>
    <x v="0"/>
    <x v="11"/>
    <s v="Johannesburg"/>
    <s v="Non-Profit"/>
    <x v="3"/>
    <x v="7"/>
    <x v="4"/>
    <x v="173"/>
    <n v="1263.8399999999999"/>
    <n v="2281.7199999999998"/>
    <s v="High"/>
    <n v="7.8E-2"/>
    <n v="15"/>
    <n v="31556.187599999997"/>
    <n v="18957.599999999999"/>
    <n v="12598.587599999999"/>
    <n v="0.39924301882398494"/>
    <x v="1"/>
    <x v="0"/>
    <n v="7.8E-2"/>
    <n v="2103.74584"/>
    <n v="1390.2239999999999"/>
    <n v="16"/>
    <n v="33659.933440000001"/>
    <n v="11416.349440000002"/>
  </r>
  <r>
    <s v="ORD-2024-970848"/>
    <x v="154"/>
    <x v="5"/>
    <d v="2024-06-03T00:00:00"/>
    <n v="11"/>
    <x v="0"/>
    <x v="11"/>
    <s v="Johannesburg"/>
    <s v="Small Business"/>
    <x v="3"/>
    <x v="9"/>
    <x v="1"/>
    <x v="174"/>
    <n v="180.89"/>
    <n v="249.57"/>
    <s v="High"/>
    <n v="2.1999999999999999E-2"/>
    <n v="8"/>
    <n v="1952.6356799999999"/>
    <n v="1447.12"/>
    <n v="505.51567999999997"/>
    <n v="0.25888888806948362"/>
    <x v="0"/>
    <x v="0"/>
    <n v="2.1999999999999999E-2"/>
    <n v="244.07945999999998"/>
    <n v="198.97900000000001"/>
    <n v="9"/>
    <n v="2196.7151399999998"/>
    <n v="405.90413999999976"/>
  </r>
  <r>
    <s v="ORD-2025-845715"/>
    <x v="160"/>
    <x v="6"/>
    <d v="2025-05-04T00:00:00"/>
    <n v="20"/>
    <x v="3"/>
    <x v="8"/>
    <s v="Birmingham"/>
    <s v="Enterprise"/>
    <x v="2"/>
    <x v="11"/>
    <x v="5"/>
    <x v="175"/>
    <n v="1413.87"/>
    <n v="3275"/>
    <s v="High"/>
    <n v="0.255"/>
    <n v="38"/>
    <n v="92715.25"/>
    <n v="53727.06"/>
    <n v="38988.19"/>
    <n v="0.42051539525590453"/>
    <x v="0"/>
    <x v="1"/>
    <n v="0.2"/>
    <n v="2620"/>
    <n v="1555.2570000000001"/>
    <n v="40"/>
    <n v="104800"/>
    <n v="42589.72"/>
  </r>
  <r>
    <s v="ORD-2023-664749"/>
    <x v="161"/>
    <x v="10"/>
    <d v="2023-09-11T00:00:00"/>
    <n v="15"/>
    <x v="3"/>
    <x v="8"/>
    <s v="London"/>
    <s v="Consumer"/>
    <x v="2"/>
    <x v="13"/>
    <x v="1"/>
    <x v="176"/>
    <n v="943.79"/>
    <n v="1913.76"/>
    <s v="High"/>
    <n v="9.0999999999999998E-2"/>
    <n v="9"/>
    <n v="15656.47056"/>
    <n v="8494.11"/>
    <n v="7162.3605599999992"/>
    <n v="0.45746967891338081"/>
    <x v="0"/>
    <x v="0"/>
    <n v="9.0999999999999998E-2"/>
    <n v="1739.6078400000001"/>
    <n v="1038.1690000000001"/>
    <n v="10"/>
    <n v="17396.078400000002"/>
    <n v="7014.3883999999998"/>
  </r>
  <r>
    <s v="ORD-2024-960952"/>
    <x v="162"/>
    <x v="0"/>
    <d v="2024-02-21T00:00:00"/>
    <n v="18"/>
    <x v="3"/>
    <x v="6"/>
    <s v="Frankfurt"/>
    <s v="Corporate"/>
    <x v="0"/>
    <x v="10"/>
    <x v="0"/>
    <x v="177"/>
    <n v="39.229999999999997"/>
    <n v="30.09"/>
    <s v="High"/>
    <n v="0.17699999999999999"/>
    <n v="13"/>
    <n v="321.93290999999999"/>
    <n v="509.98999999999995"/>
    <n v="-188.05708999999996"/>
    <n v="-0.58414993981199359"/>
    <x v="0"/>
    <x v="0"/>
    <n v="0.17699999999999999"/>
    <n v="24.76407"/>
    <n v="43.152999999999999"/>
    <n v="14"/>
    <n v="346.69698"/>
    <n v="-257.44502"/>
  </r>
  <r>
    <s v="ORD-2023-987700"/>
    <x v="163"/>
    <x v="8"/>
    <d v="2023-04-16T00:00:00"/>
    <n v="11"/>
    <x v="2"/>
    <x v="3"/>
    <s v="Vancouver"/>
    <s v="Non-Profit"/>
    <x v="1"/>
    <x v="7"/>
    <x v="5"/>
    <x v="178"/>
    <n v="213.1"/>
    <n v="501.31"/>
    <s v="High"/>
    <n v="5.6000000000000001E-2"/>
    <n v="15"/>
    <n v="7098.5495999999994"/>
    <n v="3196.5"/>
    <n v="3902.0495999999994"/>
    <n v="0.54969674368409005"/>
    <x v="0"/>
    <x v="0"/>
    <n v="5.6000000000000001E-2"/>
    <n v="473.23663999999997"/>
    <n v="234.41000000000003"/>
    <n v="16"/>
    <n v="7571.7862399999995"/>
    <n v="3821.2262399999991"/>
  </r>
  <r>
    <s v="ORD-2025-652467"/>
    <x v="164"/>
    <x v="7"/>
    <d v="2025-09-12T00:00:00"/>
    <n v="22"/>
    <x v="1"/>
    <x v="9"/>
    <s v="Shenzhen"/>
    <s v="Education"/>
    <x v="0"/>
    <x v="5"/>
    <x v="1"/>
    <x v="179"/>
    <n v="352.66"/>
    <n v="411.18"/>
    <s v="High"/>
    <n v="0.17299999999999999"/>
    <n v="13"/>
    <n v="4420.5961799999995"/>
    <n v="4584.58"/>
    <n v="-163.98382000000038"/>
    <n v="-3.7095408248758066E-2"/>
    <x v="0"/>
    <x v="0"/>
    <n v="0.17299999999999999"/>
    <n v="340.04586"/>
    <n v="387.92600000000004"/>
    <n v="14"/>
    <n v="4760.6420399999997"/>
    <n v="-670.32196000000056"/>
  </r>
  <r>
    <s v="ORD-2025-667201"/>
    <x v="165"/>
    <x v="7"/>
    <d v="2025-09-18T00:00:00"/>
    <n v="3"/>
    <x v="2"/>
    <x v="5"/>
    <s v="Rio de Janeiro"/>
    <s v="Non-Profit"/>
    <x v="4"/>
    <x v="4"/>
    <x v="6"/>
    <x v="180"/>
    <n v="5.5"/>
    <n v="5.92"/>
    <s v="High"/>
    <n v="0.21199999999999999"/>
    <n v="4"/>
    <n v="18.659839999999999"/>
    <n v="22"/>
    <n v="-3.3401600000000009"/>
    <n v="-0.17900260666758133"/>
    <x v="1"/>
    <x v="1"/>
    <n v="0.2"/>
    <n v="4.7359999999999998"/>
    <n v="6.0500000000000007"/>
    <n v="5"/>
    <n v="23.68"/>
    <n v="-6.5700000000000047"/>
  </r>
  <r>
    <s v="ORD-2024-237478"/>
    <x v="166"/>
    <x v="1"/>
    <d v="2024-10-11T00:00:00"/>
    <n v="8"/>
    <x v="1"/>
    <x v="9"/>
    <s v="Beijing"/>
    <s v="Enterprise"/>
    <x v="4"/>
    <x v="5"/>
    <x v="3"/>
    <x v="181"/>
    <n v="1132.6099999999999"/>
    <n v="2206.63"/>
    <s v="High"/>
    <n v="6.3E-2"/>
    <n v="20"/>
    <n v="41352.246200000009"/>
    <n v="22652.199999999997"/>
    <n v="18700.046200000012"/>
    <n v="0.45221355351671338"/>
    <x v="0"/>
    <x v="0"/>
    <n v="6.3E-2"/>
    <n v="2067.6123100000004"/>
    <n v="1245.8710000000001"/>
    <n v="21"/>
    <n v="43419.858510000005"/>
    <n v="17256.567510000008"/>
  </r>
  <r>
    <s v="ORD-2025-898843"/>
    <x v="167"/>
    <x v="3"/>
    <d v="2025-03-04T00:00:00"/>
    <n v="30"/>
    <x v="1"/>
    <x v="2"/>
    <s v="Osaka"/>
    <s v="Education"/>
    <x v="3"/>
    <x v="4"/>
    <x v="6"/>
    <x v="182"/>
    <n v="766.59"/>
    <n v="1912.8"/>
    <s v="High"/>
    <n v="0.19600000000000001"/>
    <n v="5"/>
    <n v="7689.4560000000001"/>
    <n v="3832.9500000000003"/>
    <n v="3856.5059999999999"/>
    <n v="0.50153170783472845"/>
    <x v="0"/>
    <x v="0"/>
    <n v="0.19600000000000001"/>
    <n v="1537.8912"/>
    <n v="843.24900000000014"/>
    <n v="6"/>
    <n v="9227.3472000000002"/>
    <n v="4167.8531999999996"/>
  </r>
  <r>
    <s v="ORD-2023-334213"/>
    <x v="66"/>
    <x v="10"/>
    <d v="2023-08-23T00:00:00"/>
    <n v="4"/>
    <x v="0"/>
    <x v="1"/>
    <s v="Abuja"/>
    <s v="Small Business"/>
    <x v="1"/>
    <x v="1"/>
    <x v="5"/>
    <x v="183"/>
    <n v="790.63"/>
    <n v="1382.31"/>
    <s v="High"/>
    <n v="0.10100000000000001"/>
    <n v="7"/>
    <n v="8698.8768300000011"/>
    <n v="5534.41"/>
    <n v="3164.4668300000012"/>
    <n v="0.36377878338116448"/>
    <x v="1"/>
    <x v="0"/>
    <n v="0.10100000000000001"/>
    <n v="1242.69669"/>
    <n v="869.6930000000001"/>
    <n v="8"/>
    <n v="9941.5735199999999"/>
    <n v="2984.0295199999991"/>
  </r>
  <r>
    <s v="ORD-2024-640340"/>
    <x v="168"/>
    <x v="1"/>
    <d v="2024-10-29T00:00:00"/>
    <n v="7"/>
    <x v="0"/>
    <x v="1"/>
    <s v="Port Harcourt"/>
    <s v="Enterprise"/>
    <x v="3"/>
    <x v="12"/>
    <x v="5"/>
    <x v="184"/>
    <n v="1023.06"/>
    <n v="1355.61"/>
    <s v="High"/>
    <n v="0.153"/>
    <n v="23"/>
    <n v="26408.63841"/>
    <n v="23530.379999999997"/>
    <n v="2878.2584100000022"/>
    <n v="0.10898927711888809"/>
    <x v="1"/>
    <x v="0"/>
    <n v="0.153"/>
    <n v="1148.2016699999999"/>
    <n v="1125.366"/>
    <n v="25"/>
    <n v="28705.041749999997"/>
    <n v="570.89174999999841"/>
  </r>
  <r>
    <s v="ORD-2023-399631"/>
    <x v="169"/>
    <x v="8"/>
    <d v="2023-07-21T00:00:00"/>
    <n v="29"/>
    <x v="3"/>
    <x v="7"/>
    <s v="Lyon"/>
    <s v="Corporate"/>
    <x v="0"/>
    <x v="1"/>
    <x v="6"/>
    <x v="185"/>
    <n v="734.34"/>
    <n v="887.9"/>
    <s v="High"/>
    <n v="2.5000000000000001E-2"/>
    <n v="12"/>
    <n v="10388.429999999998"/>
    <n v="8812.08"/>
    <n v="1576.3499999999985"/>
    <n v="0.15174092716608753"/>
    <x v="0"/>
    <x v="0"/>
    <n v="2.5000000000000001E-2"/>
    <n v="865.70249999999999"/>
    <n v="807.77400000000011"/>
    <n v="13"/>
    <n v="11254.1325"/>
    <n v="753.07049999999833"/>
  </r>
  <r>
    <s v="ORD-2025-542939"/>
    <x v="170"/>
    <x v="3"/>
    <d v="2025-02-08T00:00:00"/>
    <n v="26"/>
    <x v="3"/>
    <x v="7"/>
    <s v="Paris"/>
    <s v="Non-Profit"/>
    <x v="5"/>
    <x v="6"/>
    <x v="5"/>
    <x v="186"/>
    <n v="594.74"/>
    <n v="1020.69"/>
    <s v="High"/>
    <n v="0.21099999999999999"/>
    <n v="6"/>
    <n v="4831.9464600000001"/>
    <n v="3568.44"/>
    <n v="1263.5064600000001"/>
    <n v="0.26149016146176424"/>
    <x v="0"/>
    <x v="1"/>
    <n v="0.2"/>
    <n v="816.55200000000013"/>
    <n v="654.21400000000006"/>
    <n v="7"/>
    <n v="5715.8640000000014"/>
    <n v="1136.3660000000004"/>
  </r>
  <r>
    <s v="ORD-2023-825836"/>
    <x v="171"/>
    <x v="10"/>
    <d v="2023-07-31T00:00:00"/>
    <n v="12"/>
    <x v="2"/>
    <x v="5"/>
    <s v="Rio de Janeiro"/>
    <s v="Corporate"/>
    <x v="0"/>
    <x v="0"/>
    <x v="5"/>
    <x v="187"/>
    <n v="1334.64"/>
    <n v="2273.42"/>
    <s v="High"/>
    <n v="0.11799999999999999"/>
    <n v="14"/>
    <n v="28072.190160000002"/>
    <n v="18684.960000000003"/>
    <n v="9387.2301599999992"/>
    <n v="0.33439607335575267"/>
    <x v="0"/>
    <x v="0"/>
    <n v="0.11799999999999999"/>
    <n v="2005.15644"/>
    <n v="1468.1040000000003"/>
    <n v="15"/>
    <n v="30077.346600000001"/>
    <n v="8055.7865999999958"/>
  </r>
  <r>
    <s v="ORD-2024-503082"/>
    <x v="172"/>
    <x v="5"/>
    <d v="2024-06-08T00:00:00"/>
    <n v="20"/>
    <x v="2"/>
    <x v="5"/>
    <s v="Brasília"/>
    <s v="Small Business"/>
    <x v="0"/>
    <x v="6"/>
    <x v="5"/>
    <x v="188"/>
    <n v="1075.9000000000001"/>
    <n v="1242.1500000000001"/>
    <s v="High"/>
    <n v="1.2E-2"/>
    <n v="7"/>
    <n v="8590.7094000000016"/>
    <n v="7531.3000000000011"/>
    <n v="1059.4094000000005"/>
    <n v="0.12332036280961853"/>
    <x v="0"/>
    <x v="0"/>
    <n v="1.2E-2"/>
    <n v="1227.2442000000001"/>
    <n v="1183.4900000000002"/>
    <n v="8"/>
    <n v="9817.9536000000007"/>
    <n v="350.03359999999884"/>
  </r>
  <r>
    <s v="ORD-2024-760799"/>
    <x v="162"/>
    <x v="0"/>
    <d v="2024-02-19T00:00:00"/>
    <n v="16"/>
    <x v="1"/>
    <x v="9"/>
    <s v="Shenzhen"/>
    <s v="Small Business"/>
    <x v="1"/>
    <x v="10"/>
    <x v="4"/>
    <x v="189"/>
    <n v="993.75"/>
    <n v="1310.29"/>
    <s v="High"/>
    <n v="0.215"/>
    <n v="19"/>
    <n v="19542.975350000001"/>
    <n v="18881.25"/>
    <n v="661.72535000000062"/>
    <n v="3.3860010471742245E-2"/>
    <x v="0"/>
    <x v="1"/>
    <n v="0.2"/>
    <n v="1048.232"/>
    <n v="1093.125"/>
    <n v="20"/>
    <n v="20964.64"/>
    <n v="-897.86000000000058"/>
  </r>
  <r>
    <s v="ORD-2023-197661"/>
    <x v="173"/>
    <x v="10"/>
    <d v="2023-08-22T00:00:00"/>
    <n v="14"/>
    <x v="3"/>
    <x v="8"/>
    <s v="Birmingham"/>
    <s v="Non-Profit"/>
    <x v="4"/>
    <x v="13"/>
    <x v="5"/>
    <x v="190"/>
    <n v="446.69"/>
    <n v="967.25"/>
    <s v="High"/>
    <n v="9.4E-2"/>
    <n v="10"/>
    <n v="8763.2849999999999"/>
    <n v="4466.8999999999996"/>
    <n v="4296.3850000000002"/>
    <n v="0.49027105702941309"/>
    <x v="0"/>
    <x v="0"/>
    <n v="9.4E-2"/>
    <n v="876.32850000000008"/>
    <n v="491.35900000000004"/>
    <n v="11"/>
    <n v="9639.6135000000013"/>
    <n v="4234.6645000000008"/>
  </r>
  <r>
    <s v="ORD-2024-212990"/>
    <x v="174"/>
    <x v="9"/>
    <d v="2024-09-03T00:00:00"/>
    <n v="22"/>
    <x v="2"/>
    <x v="10"/>
    <s v="Austin"/>
    <s v="Consumer"/>
    <x v="3"/>
    <x v="2"/>
    <x v="4"/>
    <x v="191"/>
    <n v="797.8"/>
    <n v="886.22"/>
    <s v="High"/>
    <n v="0.23599999999999999"/>
    <n v="36"/>
    <n v="24374.594880000001"/>
    <n v="28720.799999999999"/>
    <n v="-4346.2051199999987"/>
    <n v="-0.17830881462428633"/>
    <x v="0"/>
    <x v="1"/>
    <n v="0.2"/>
    <n v="708.97600000000011"/>
    <n v="877.58"/>
    <n v="38"/>
    <n v="26941.088000000003"/>
    <n v="-6406.9519999999975"/>
  </r>
  <r>
    <s v="ORD-2023-925146"/>
    <x v="175"/>
    <x v="4"/>
    <d v="2023-11-13T00:00:00"/>
    <n v="29"/>
    <x v="1"/>
    <x v="9"/>
    <s v="Shenzhen"/>
    <s v="Non-Profit"/>
    <x v="3"/>
    <x v="1"/>
    <x v="1"/>
    <x v="192"/>
    <n v="986.44"/>
    <n v="790.61"/>
    <s v="High"/>
    <n v="7.1999999999999995E-2"/>
    <n v="6"/>
    <n v="4402.1164799999997"/>
    <n v="5918.64"/>
    <n v="-1516.5235200000006"/>
    <n v="-0.34449872621271499"/>
    <x v="0"/>
    <x v="0"/>
    <n v="7.1999999999999995E-2"/>
    <n v="733.68608000000006"/>
    <n v="1085.0840000000001"/>
    <n v="7"/>
    <n v="5135.8025600000001"/>
    <n v="-2459.7854400000001"/>
  </r>
  <r>
    <s v="ORD-2023-177794"/>
    <x v="176"/>
    <x v="8"/>
    <d v="2023-05-26T00:00:00"/>
    <n v="22"/>
    <x v="2"/>
    <x v="10"/>
    <s v="San Francisco"/>
    <s v="Enterprise"/>
    <x v="1"/>
    <x v="1"/>
    <x v="2"/>
    <x v="193"/>
    <n v="249.71"/>
    <n v="361.33"/>
    <s v="High"/>
    <n v="9.4E-2"/>
    <n v="12"/>
    <n v="3928.3797600000003"/>
    <n v="2996.52"/>
    <n v="931.85976000000028"/>
    <n v="0.23721223937881206"/>
    <x v="0"/>
    <x v="0"/>
    <n v="9.4E-2"/>
    <n v="327.36498"/>
    <n v="274.68100000000004"/>
    <n v="13"/>
    <n v="4255.7447400000001"/>
    <n v="684.89173999999957"/>
  </r>
  <r>
    <s v="ORD-2024-444710"/>
    <x v="177"/>
    <x v="9"/>
    <d v="2024-10-01T00:00:00"/>
    <n v="9"/>
    <x v="2"/>
    <x v="5"/>
    <s v="São Paulo"/>
    <s v="Non-Profit"/>
    <x v="1"/>
    <x v="11"/>
    <x v="5"/>
    <x v="194"/>
    <n v="1378.8"/>
    <n v="1952.04"/>
    <s v="High"/>
    <n v="0.159"/>
    <n v="19"/>
    <n v="31191.64716"/>
    <n v="26197.200000000001"/>
    <n v="4994.4471599999997"/>
    <n v="0.16012130216723058"/>
    <x v="0"/>
    <x v="0"/>
    <n v="0.159"/>
    <n v="1641.6656399999999"/>
    <n v="1516.68"/>
    <n v="20"/>
    <n v="32833.3128"/>
    <n v="2499.7127999999975"/>
  </r>
  <r>
    <s v="ORD-2024-668926"/>
    <x v="1"/>
    <x v="1"/>
    <d v="2024-11-14T00:00:00"/>
    <n v="22"/>
    <x v="1"/>
    <x v="2"/>
    <s v="Osaka"/>
    <s v="Non-Profit"/>
    <x v="4"/>
    <x v="5"/>
    <x v="3"/>
    <x v="195"/>
    <n v="1406.4"/>
    <n v="1564.76"/>
    <s v="High"/>
    <n v="0.185"/>
    <n v="17"/>
    <n v="21679.749799999998"/>
    <n v="23908.800000000003"/>
    <n v="-2229.0502000000051"/>
    <n v="-0.10281715520536151"/>
    <x v="0"/>
    <x v="0"/>
    <n v="0.185"/>
    <n v="1275.2793999999999"/>
    <n v="1547.0400000000002"/>
    <n v="18"/>
    <n v="22955.029199999997"/>
    <n v="-4891.6908000000058"/>
  </r>
  <r>
    <s v="ORD-2024-968374"/>
    <x v="178"/>
    <x v="0"/>
    <d v="2024-03-03T00:00:00"/>
    <n v="21"/>
    <x v="0"/>
    <x v="0"/>
    <s v="Kisumu"/>
    <s v="Enterprise"/>
    <x v="1"/>
    <x v="5"/>
    <x v="3"/>
    <x v="196"/>
    <n v="516.86"/>
    <n v="852.54"/>
    <s v="High"/>
    <n v="5.0999999999999997E-2"/>
    <n v="14"/>
    <n v="11326.846439999999"/>
    <n v="7236.04"/>
    <n v="4090.8064399999994"/>
    <n v="0.36116022775355994"/>
    <x v="0"/>
    <x v="0"/>
    <n v="5.0999999999999997E-2"/>
    <n v="809.06045999999992"/>
    <n v="568.54600000000005"/>
    <n v="15"/>
    <n v="12135.906899999998"/>
    <n v="3607.7168999999981"/>
  </r>
  <r>
    <s v="ORD-2023-575584"/>
    <x v="179"/>
    <x v="2"/>
    <d v="2023-02-21T00:00:00"/>
    <n v="22"/>
    <x v="3"/>
    <x v="6"/>
    <s v="Munich"/>
    <s v="Small Business"/>
    <x v="2"/>
    <x v="3"/>
    <x v="2"/>
    <x v="197"/>
    <n v="1142.8800000000001"/>
    <n v="1465.29"/>
    <s v="High"/>
    <n v="0.186"/>
    <n v="7"/>
    <n v="8349.2224200000001"/>
    <n v="8000.1600000000008"/>
    <n v="349.06241999999929"/>
    <n v="4.1807775915017401E-2"/>
    <x v="0"/>
    <x v="0"/>
    <n v="0.186"/>
    <n v="1192.7460599999999"/>
    <n v="1257.1680000000001"/>
    <n v="8"/>
    <n v="9541.9684799999995"/>
    <n v="-515.37552000000142"/>
  </r>
  <r>
    <s v="ORD-2023-701153"/>
    <x v="27"/>
    <x v="8"/>
    <d v="2023-05-13T00:00:00"/>
    <n v="29"/>
    <x v="3"/>
    <x v="6"/>
    <s v="Frankfurt"/>
    <s v="Consumer"/>
    <x v="4"/>
    <x v="1"/>
    <x v="1"/>
    <x v="198"/>
    <n v="1320.33"/>
    <n v="2645.23"/>
    <s v="High"/>
    <n v="0.155"/>
    <n v="25"/>
    <n v="55880.483749999999"/>
    <n v="33008.25"/>
    <n v="22872.233749999999"/>
    <n v="0.40930629470436536"/>
    <x v="0"/>
    <x v="0"/>
    <n v="0.155"/>
    <n v="2235.2193499999998"/>
    <n v="1452.3630000000001"/>
    <n v="27"/>
    <n v="60350.922449999998"/>
    <n v="21137.121449999995"/>
  </r>
  <r>
    <s v="ORD-2023-382017"/>
    <x v="180"/>
    <x v="2"/>
    <d v="2023-01-19T00:00:00"/>
    <n v="6"/>
    <x v="2"/>
    <x v="10"/>
    <s v="Chicago"/>
    <s v="Corporate"/>
    <x v="4"/>
    <x v="10"/>
    <x v="3"/>
    <x v="199"/>
    <n v="833.57"/>
    <n v="881.57"/>
    <s v="High"/>
    <n v="5.7000000000000002E-2"/>
    <n v="18"/>
    <n v="14963.769179999999"/>
    <n v="15004.26"/>
    <n v="-40.490820000000895"/>
    <n v="-2.7059238560107821E-3"/>
    <x v="1"/>
    <x v="0"/>
    <n v="5.7000000000000002E-2"/>
    <n v="831.32051000000001"/>
    <n v="916.92700000000013"/>
    <n v="19"/>
    <n v="15795.089690000001"/>
    <n v="-1626.5233100000023"/>
  </r>
  <r>
    <s v="ORD-2024-999607"/>
    <x v="181"/>
    <x v="0"/>
    <d v="2024-01-29T00:00:00"/>
    <n v="17"/>
    <x v="2"/>
    <x v="10"/>
    <s v="Chicago"/>
    <s v="Education"/>
    <x v="3"/>
    <x v="8"/>
    <x v="1"/>
    <x v="200"/>
    <n v="493.76"/>
    <n v="625.04"/>
    <s v="High"/>
    <n v="0.25800000000000001"/>
    <n v="10"/>
    <n v="4637.7968000000001"/>
    <n v="4937.6000000000004"/>
    <n v="-299.80320000000029"/>
    <n v="-6.464345311549663E-2"/>
    <x v="0"/>
    <x v="1"/>
    <n v="0.2"/>
    <n v="500.03199999999998"/>
    <n v="543.13600000000008"/>
    <n v="11"/>
    <n v="5500.3519999999999"/>
    <n v="-474.14400000000109"/>
  </r>
  <r>
    <s v="ORD-2023-133848"/>
    <x v="182"/>
    <x v="10"/>
    <d v="2023-09-07T00:00:00"/>
    <n v="23"/>
    <x v="2"/>
    <x v="10"/>
    <s v="New York"/>
    <s v="Enterprise"/>
    <x v="1"/>
    <x v="11"/>
    <x v="3"/>
    <x v="201"/>
    <n v="590.33000000000004"/>
    <n v="973.04"/>
    <s v="High"/>
    <n v="0"/>
    <n v="26"/>
    <n v="25299.040000000001"/>
    <n v="15348.580000000002"/>
    <n v="9950.4599999999991"/>
    <n v="0.39331373838691108"/>
    <x v="0"/>
    <x v="0"/>
    <n v="0"/>
    <n v="973.04"/>
    <n v="649.36300000000006"/>
    <n v="28"/>
    <n v="27245.119999999999"/>
    <n v="9062.9559999999983"/>
  </r>
  <r>
    <s v="ORD-2023-586275"/>
    <x v="183"/>
    <x v="2"/>
    <d v="2023-02-03T00:00:00"/>
    <n v="14"/>
    <x v="0"/>
    <x v="0"/>
    <s v="Kisumu"/>
    <s v="Corporate"/>
    <x v="0"/>
    <x v="12"/>
    <x v="2"/>
    <x v="202"/>
    <n v="884.36"/>
    <n v="1545.34"/>
    <s v="High"/>
    <n v="0.24299999999999999"/>
    <n v="41"/>
    <n v="47962.717579999997"/>
    <n v="36258.76"/>
    <n v="11703.957579999995"/>
    <n v="0.24402198562827965"/>
    <x v="0"/>
    <x v="1"/>
    <n v="0.2"/>
    <n v="1236.2719999999999"/>
    <n v="972.79600000000005"/>
    <n v="44"/>
    <n v="54395.967999999993"/>
    <n v="11592.943999999996"/>
  </r>
  <r>
    <s v="ORD-2025-964661"/>
    <x v="184"/>
    <x v="3"/>
    <d v="2025-02-25T00:00:00"/>
    <n v="21"/>
    <x v="3"/>
    <x v="8"/>
    <s v="Birmingham"/>
    <s v="Corporate"/>
    <x v="2"/>
    <x v="14"/>
    <x v="5"/>
    <x v="203"/>
    <n v="1016.32"/>
    <n v="2253.42"/>
    <s v="High"/>
    <n v="5.5E-2"/>
    <n v="12"/>
    <n v="25553.782800000001"/>
    <n v="12195.84"/>
    <n v="13357.942800000001"/>
    <n v="0.52273837124419797"/>
    <x v="0"/>
    <x v="0"/>
    <n v="5.5E-2"/>
    <n v="2129.4818999999998"/>
    <n v="1117.9520000000002"/>
    <n v="13"/>
    <n v="27683.264699999996"/>
    <n v="13149.888699999994"/>
  </r>
  <r>
    <s v="ORD-2023-390998"/>
    <x v="43"/>
    <x v="8"/>
    <d v="2023-04-28T00:00:00"/>
    <n v="9"/>
    <x v="3"/>
    <x v="6"/>
    <s v="Berlin"/>
    <s v="Education"/>
    <x v="1"/>
    <x v="6"/>
    <x v="5"/>
    <x v="204"/>
    <n v="1178.42"/>
    <n v="2446.56"/>
    <s v="High"/>
    <n v="2.9000000000000001E-2"/>
    <n v="11"/>
    <n v="26131.70736"/>
    <n v="12962.62"/>
    <n v="13169.08736"/>
    <n v="0.5039505141618883"/>
    <x v="0"/>
    <x v="0"/>
    <n v="2.9000000000000001E-2"/>
    <n v="2375.6097599999998"/>
    <n v="1296.2620000000002"/>
    <n v="12"/>
    <n v="28507.31712"/>
    <n v="12952.173119999996"/>
  </r>
  <r>
    <s v="ORD-2023-920483"/>
    <x v="185"/>
    <x v="10"/>
    <d v="2023-08-01T00:00:00"/>
    <n v="30"/>
    <x v="3"/>
    <x v="8"/>
    <s v="Birmingham"/>
    <s v="Small Business"/>
    <x v="0"/>
    <x v="5"/>
    <x v="0"/>
    <x v="205"/>
    <n v="137.46"/>
    <n v="188.3"/>
    <s v="High"/>
    <n v="3.7999999999999999E-2"/>
    <n v="37"/>
    <n v="6702.3501999999999"/>
    <n v="5086.0200000000004"/>
    <n v="1616.3301999999994"/>
    <n v="0.24115872071262398"/>
    <x v="0"/>
    <x v="0"/>
    <n v="3.7999999999999999E-2"/>
    <n v="181.1446"/>
    <n v="151.20600000000002"/>
    <n v="39"/>
    <n v="7064.6394"/>
    <n v="1167.6053999999992"/>
  </r>
  <r>
    <s v="ORD-2025-146850"/>
    <x v="51"/>
    <x v="3"/>
    <d v="2025-02-14T00:00:00"/>
    <n v="24"/>
    <x v="0"/>
    <x v="0"/>
    <s v="Nairobi"/>
    <s v="Small Business"/>
    <x v="0"/>
    <x v="1"/>
    <x v="6"/>
    <x v="206"/>
    <n v="1030.44"/>
    <n v="2562.84"/>
    <s v="High"/>
    <n v="0.14799999999999999"/>
    <n v="13"/>
    <n v="28386.015839999996"/>
    <n v="13395.720000000001"/>
    <n v="14990.295839999995"/>
    <n v="0.52808734852027039"/>
    <x v="0"/>
    <x v="0"/>
    <n v="0.14799999999999999"/>
    <n v="2183.5396799999999"/>
    <n v="1133.4840000000002"/>
    <n v="14"/>
    <n v="30569.555519999998"/>
    <n v="14700.779519999996"/>
  </r>
  <r>
    <s v="ORD-2024-687100"/>
    <x v="186"/>
    <x v="9"/>
    <d v="2024-10-07T00:00:00"/>
    <n v="27"/>
    <x v="0"/>
    <x v="0"/>
    <s v="Kisumu"/>
    <s v="Consumer"/>
    <x v="0"/>
    <x v="4"/>
    <x v="1"/>
    <x v="207"/>
    <n v="1248.3900000000001"/>
    <n v="1805.11"/>
    <s v="High"/>
    <n v="0.20300000000000001"/>
    <n v="11"/>
    <n v="15825.399369999997"/>
    <n v="13732.29"/>
    <n v="2093.1093699999965"/>
    <n v="0.13226265707820786"/>
    <x v="0"/>
    <x v="1"/>
    <n v="0.2"/>
    <n v="1444.088"/>
    <n v="1373.2290000000003"/>
    <n v="12"/>
    <n v="17329.056"/>
    <n v="850.30799999999635"/>
  </r>
  <r>
    <s v="ORD-2025-629393"/>
    <x v="187"/>
    <x v="7"/>
    <d v="2025-08-07T00:00:00"/>
    <n v="17"/>
    <x v="0"/>
    <x v="1"/>
    <s v="Lagos"/>
    <s v="Enterprise"/>
    <x v="4"/>
    <x v="12"/>
    <x v="6"/>
    <x v="208"/>
    <n v="1204.95"/>
    <n v="2065.73"/>
    <s v="High"/>
    <n v="0.13600000000000001"/>
    <n v="10"/>
    <n v="17847.907199999998"/>
    <n v="12049.5"/>
    <n v="5798.4071999999978"/>
    <n v="0.32487882949100039"/>
    <x v="0"/>
    <x v="0"/>
    <n v="0.13600000000000001"/>
    <n v="1784.79072"/>
    <n v="1325.4450000000002"/>
    <n v="11"/>
    <n v="19632.697919999999"/>
    <n v="5052.8029199999983"/>
  </r>
  <r>
    <s v="ORD-2024-686712"/>
    <x v="188"/>
    <x v="1"/>
    <d v="2024-10-23T00:00:00"/>
    <n v="21"/>
    <x v="0"/>
    <x v="11"/>
    <s v="Durban"/>
    <s v="Corporate"/>
    <x v="2"/>
    <x v="8"/>
    <x v="0"/>
    <x v="209"/>
    <n v="1095.6099999999999"/>
    <n v="2366.5100000000002"/>
    <s v="High"/>
    <n v="0.152"/>
    <n v="9"/>
    <n v="18061.204320000004"/>
    <n v="9860.49"/>
    <n v="8200.7143200000046"/>
    <n v="0.4540513564158607"/>
    <x v="0"/>
    <x v="0"/>
    <n v="0.152"/>
    <n v="2006.8004800000001"/>
    <n v="1205.171"/>
    <n v="10"/>
    <n v="20068.004800000002"/>
    <n v="8016.2948000000006"/>
  </r>
  <r>
    <s v="ORD-2025-586799"/>
    <x v="189"/>
    <x v="7"/>
    <d v="2025-08-04T00:00:00"/>
    <n v="21"/>
    <x v="2"/>
    <x v="3"/>
    <s v="Montreal"/>
    <s v="Consumer"/>
    <x v="1"/>
    <x v="10"/>
    <x v="5"/>
    <x v="210"/>
    <n v="90.3"/>
    <n v="131.76"/>
    <s v="High"/>
    <n v="0.10199999999999999"/>
    <n v="15"/>
    <n v="1774.8072"/>
    <n v="1354.5"/>
    <n v="420.30719999999997"/>
    <n v="0.23681851189244668"/>
    <x v="0"/>
    <x v="0"/>
    <n v="0.10199999999999999"/>
    <n v="118.32047999999999"/>
    <n v="99.33"/>
    <n v="16"/>
    <n v="1893.1276799999998"/>
    <n v="303.84767999999985"/>
  </r>
  <r>
    <s v="ORD-2024-988736"/>
    <x v="190"/>
    <x v="9"/>
    <d v="2024-10-01T00:00:00"/>
    <n v="22"/>
    <x v="1"/>
    <x v="9"/>
    <s v="Shenzhen"/>
    <s v="Consumer"/>
    <x v="4"/>
    <x v="4"/>
    <x v="1"/>
    <x v="211"/>
    <n v="1166.18"/>
    <n v="1335.02"/>
    <s v="High"/>
    <n v="0.128"/>
    <n v="6"/>
    <n v="6984.8246399999998"/>
    <n v="6997.08"/>
    <n v="-12.25536000000011"/>
    <n v="-1.7545694604582242E-3"/>
    <x v="0"/>
    <x v="0"/>
    <n v="0.128"/>
    <n v="1164.13744"/>
    <n v="1282.7980000000002"/>
    <n v="7"/>
    <n v="8148.9620799999993"/>
    <n v="-830.62392000000182"/>
  </r>
  <r>
    <s v="ORD-2025-564184"/>
    <x v="191"/>
    <x v="3"/>
    <d v="2025-02-06T00:00:00"/>
    <n v="8"/>
    <x v="0"/>
    <x v="0"/>
    <s v="Kisumu"/>
    <s v="Education"/>
    <x v="0"/>
    <x v="5"/>
    <x v="3"/>
    <x v="212"/>
    <n v="1445.27"/>
    <n v="2691.45"/>
    <s v="High"/>
    <n v="0"/>
    <n v="9"/>
    <n v="24223.05"/>
    <n v="13007.43"/>
    <n v="11215.619999999999"/>
    <n v="0.46301436028906351"/>
    <x v="0"/>
    <x v="0"/>
    <n v="0"/>
    <n v="2691.45"/>
    <n v="1589.797"/>
    <n v="10"/>
    <n v="26914.5"/>
    <n v="11016.529999999999"/>
  </r>
  <r>
    <s v="ORD-2023-653343"/>
    <x v="192"/>
    <x v="4"/>
    <d v="2023-11-28T00:00:00"/>
    <n v="18"/>
    <x v="2"/>
    <x v="5"/>
    <s v="Brasília"/>
    <s v="Education"/>
    <x v="2"/>
    <x v="4"/>
    <x v="6"/>
    <x v="213"/>
    <n v="388.51"/>
    <n v="776.46"/>
    <s v="High"/>
    <n v="0.157"/>
    <n v="12"/>
    <n v="7854.6693599999999"/>
    <n v="4662.12"/>
    <n v="3192.54936"/>
    <n v="0.40645241876864946"/>
    <x v="0"/>
    <x v="0"/>
    <n v="0.157"/>
    <n v="654.55578000000003"/>
    <n v="427.36100000000005"/>
    <n v="13"/>
    <n v="8509.2251400000005"/>
    <n v="2953.5321399999998"/>
  </r>
  <r>
    <s v="ORD-2024-197852"/>
    <x v="193"/>
    <x v="0"/>
    <d v="2024-03-30T00:00:00"/>
    <n v="30"/>
    <x v="1"/>
    <x v="2"/>
    <s v="Nagoya"/>
    <s v="Small Business"/>
    <x v="4"/>
    <x v="2"/>
    <x v="2"/>
    <x v="214"/>
    <n v="231.11"/>
    <n v="318.17"/>
    <s v="High"/>
    <n v="0.20100000000000001"/>
    <n v="60"/>
    <n v="15253.069799999999"/>
    <n v="13866.6"/>
    <n v="1386.4697999999989"/>
    <n v="9.0897754889969692E-2"/>
    <x v="0"/>
    <x v="1"/>
    <n v="0.2"/>
    <n v="254.53600000000003"/>
    <n v="254.22100000000003"/>
    <n v="63"/>
    <n v="16035.768000000002"/>
    <n v="19.844999999999857"/>
  </r>
  <r>
    <s v="ORD-2023-431328"/>
    <x v="194"/>
    <x v="4"/>
    <d v="2024-01-14T00:00:00"/>
    <n v="25"/>
    <x v="1"/>
    <x v="4"/>
    <s v="Mumbai"/>
    <s v="Non-Profit"/>
    <x v="2"/>
    <x v="4"/>
    <x v="5"/>
    <x v="215"/>
    <n v="1085.6099999999999"/>
    <n v="1246.4100000000001"/>
    <s v="High"/>
    <n v="0.113"/>
    <n v="7"/>
    <n v="7738.9596900000006"/>
    <n v="7599.2699999999995"/>
    <n v="139.68969000000106"/>
    <n v="1.8050189637310417E-2"/>
    <x v="0"/>
    <x v="0"/>
    <n v="0.113"/>
    <n v="1105.5656700000002"/>
    <n v="1194.171"/>
    <n v="8"/>
    <n v="8844.5253600000015"/>
    <n v="-708.84263999999894"/>
  </r>
  <r>
    <s v="ORD-2023-613317"/>
    <x v="119"/>
    <x v="2"/>
    <d v="2023-01-29T00:00:00"/>
    <n v="7"/>
    <x v="3"/>
    <x v="6"/>
    <s v="Munich"/>
    <s v="Corporate"/>
    <x v="4"/>
    <x v="9"/>
    <x v="5"/>
    <x v="216"/>
    <n v="150.86000000000001"/>
    <n v="346.96"/>
    <s v="High"/>
    <n v="0.19600000000000001"/>
    <n v="8"/>
    <n v="2231.6467200000002"/>
    <n v="1206.8800000000001"/>
    <n v="1024.7667200000001"/>
    <n v="0.45919755614365343"/>
    <x v="1"/>
    <x v="0"/>
    <n v="0.19600000000000001"/>
    <n v="278.95584000000002"/>
    <n v="165.94600000000003"/>
    <n v="9"/>
    <n v="2510.6025600000003"/>
    <n v="1017.0885599999999"/>
  </r>
  <r>
    <s v="ORD-2024-720756"/>
    <x v="195"/>
    <x v="1"/>
    <d v="2024-11-09T00:00:00"/>
    <n v="29"/>
    <x v="1"/>
    <x v="9"/>
    <s v="Shanghai"/>
    <s v="Non-Profit"/>
    <x v="1"/>
    <x v="9"/>
    <x v="1"/>
    <x v="217"/>
    <n v="391.64"/>
    <n v="504.76"/>
    <s v="High"/>
    <n v="4.0000000000000001E-3"/>
    <n v="13"/>
    <n v="6535.6324800000002"/>
    <n v="5091.32"/>
    <n v="1444.3124800000005"/>
    <n v="0.22099046793402319"/>
    <x v="0"/>
    <x v="0"/>
    <n v="4.0000000000000001E-3"/>
    <n v="502.74095999999997"/>
    <n v="430.80400000000003"/>
    <n v="14"/>
    <n v="7038.3734399999994"/>
    <n v="1007.1174399999992"/>
  </r>
  <r>
    <s v="ORD-2024-777623"/>
    <x v="196"/>
    <x v="9"/>
    <d v="2024-10-14T00:00:00"/>
    <n v="25"/>
    <x v="2"/>
    <x v="5"/>
    <s v="Rio de Janeiro"/>
    <s v="Small Business"/>
    <x v="0"/>
    <x v="11"/>
    <x v="1"/>
    <x v="218"/>
    <n v="386.96"/>
    <n v="937.46"/>
    <s v="High"/>
    <n v="0.26600000000000001"/>
    <n v="41"/>
    <n v="28211.92124"/>
    <n v="15865.359999999999"/>
    <n v="12346.561240000001"/>
    <n v="0.43763631462626335"/>
    <x v="0"/>
    <x v="1"/>
    <n v="0.2"/>
    <n v="749.96800000000007"/>
    <n v="425.65600000000001"/>
    <n v="44"/>
    <n v="32998.592000000004"/>
    <n v="14269.728000000003"/>
  </r>
  <r>
    <s v="ORD-2025-762212"/>
    <x v="197"/>
    <x v="7"/>
    <d v="2025-09-24T00:00:00"/>
    <n v="30"/>
    <x v="0"/>
    <x v="0"/>
    <s v="Nairobi"/>
    <s v="Consumer"/>
    <x v="4"/>
    <x v="5"/>
    <x v="0"/>
    <x v="219"/>
    <n v="589.14"/>
    <n v="1300.58"/>
    <s v="High"/>
    <n v="5.5E-2"/>
    <n v="11"/>
    <n v="13519.529099999998"/>
    <n v="6480.54"/>
    <n v="7038.989099999998"/>
    <n v="0.52065342275863724"/>
    <x v="0"/>
    <x v="0"/>
    <n v="5.5E-2"/>
    <n v="1229.0481"/>
    <n v="648.05400000000009"/>
    <n v="12"/>
    <n v="14748.5772"/>
    <n v="6971.9291999999987"/>
  </r>
  <r>
    <s v="ORD-2023-271918"/>
    <x v="198"/>
    <x v="10"/>
    <d v="2023-10-02T00:00:00"/>
    <n v="7"/>
    <x v="2"/>
    <x v="10"/>
    <s v="New York"/>
    <s v="Education"/>
    <x v="2"/>
    <x v="2"/>
    <x v="6"/>
    <x v="220"/>
    <n v="145.58000000000001"/>
    <n v="228.15"/>
    <s v="High"/>
    <n v="0.20399999999999999"/>
    <n v="5"/>
    <n v="908.03700000000003"/>
    <n v="727.90000000000009"/>
    <n v="180.13699999999994"/>
    <n v="0.19838068272548359"/>
    <x v="1"/>
    <x v="1"/>
    <n v="0.2"/>
    <n v="182.52"/>
    <n v="160.13800000000003"/>
    <n v="6"/>
    <n v="1095.1200000000001"/>
    <n v="134.29199999999986"/>
  </r>
  <r>
    <s v="ORD-2023-713375"/>
    <x v="199"/>
    <x v="10"/>
    <d v="2023-09-10T00:00:00"/>
    <n v="15"/>
    <x v="0"/>
    <x v="11"/>
    <s v="Cape Town"/>
    <s v="Non-Profit"/>
    <x v="4"/>
    <x v="13"/>
    <x v="0"/>
    <x v="221"/>
    <n v="241.14"/>
    <n v="496.52"/>
    <s v="High"/>
    <n v="9.2999999999999999E-2"/>
    <n v="10"/>
    <n v="4503.4363999999996"/>
    <n v="2411.3999999999996"/>
    <n v="2092.0364"/>
    <n v="0.46454223268257994"/>
    <x v="0"/>
    <x v="0"/>
    <n v="9.2999999999999999E-2"/>
    <n v="450.34363999999999"/>
    <n v="265.25400000000002"/>
    <n v="11"/>
    <n v="4953.7800399999996"/>
    <n v="2035.9860399999998"/>
  </r>
  <r>
    <s v="ORD-2025-678688"/>
    <x v="200"/>
    <x v="7"/>
    <d v="2025-07-17T00:00:00"/>
    <n v="1"/>
    <x v="0"/>
    <x v="11"/>
    <s v="Durban"/>
    <s v="Small Business"/>
    <x v="3"/>
    <x v="5"/>
    <x v="2"/>
    <x v="222"/>
    <n v="1198.9000000000001"/>
    <n v="2941.2"/>
    <s v="High"/>
    <n v="5.0999999999999997E-2"/>
    <n v="24"/>
    <n v="66988.771199999988"/>
    <n v="28773.600000000002"/>
    <n v="38215.171199999982"/>
    <n v="0.57047129713583977"/>
    <x v="1"/>
    <x v="0"/>
    <n v="5.0999999999999997E-2"/>
    <n v="2791.1987999999997"/>
    <n v="1318.7900000000002"/>
    <n v="26"/>
    <n v="72571.168799999985"/>
    <n v="38282.628799999984"/>
  </r>
  <r>
    <s v="ORD-2023-501220"/>
    <x v="43"/>
    <x v="8"/>
    <d v="2023-05-07T00:00:00"/>
    <n v="18"/>
    <x v="3"/>
    <x v="8"/>
    <s v="Birmingham"/>
    <s v="Enterprise"/>
    <x v="0"/>
    <x v="13"/>
    <x v="4"/>
    <x v="223"/>
    <n v="1089.1500000000001"/>
    <n v="1088.2"/>
    <s v="High"/>
    <n v="5.0999999999999997E-2"/>
    <n v="15"/>
    <n v="15490.527"/>
    <n v="16337.250000000002"/>
    <n v="-846.72300000000178"/>
    <n v="-5.4660696824582002E-2"/>
    <x v="0"/>
    <x v="0"/>
    <n v="5.0999999999999997E-2"/>
    <n v="1032.7018"/>
    <n v="1198.0650000000003"/>
    <n v="16"/>
    <n v="16523.228800000001"/>
    <n v="-2645.8112000000037"/>
  </r>
  <r>
    <s v="ORD-2023-195665"/>
    <x v="201"/>
    <x v="4"/>
    <d v="2023-12-20T00:00:00"/>
    <n v="1"/>
    <x v="2"/>
    <x v="5"/>
    <s v="Rio de Janeiro"/>
    <s v="Consumer"/>
    <x v="3"/>
    <x v="1"/>
    <x v="3"/>
    <x v="224"/>
    <n v="1080.43"/>
    <n v="2529.15"/>
    <s v="High"/>
    <n v="0.14699999999999999"/>
    <n v="10"/>
    <n v="21573.6495"/>
    <n v="10804.300000000001"/>
    <n v="10769.349499999998"/>
    <n v="0.49918997247081437"/>
    <x v="1"/>
    <x v="0"/>
    <n v="0.14699999999999999"/>
    <n v="2157.3649500000001"/>
    <n v="1188.4730000000002"/>
    <n v="11"/>
    <n v="23731.014450000002"/>
    <n v="10657.811449999999"/>
  </r>
  <r>
    <s v="ORD-2023-290237"/>
    <x v="202"/>
    <x v="10"/>
    <d v="2023-08-07T00:00:00"/>
    <n v="8"/>
    <x v="1"/>
    <x v="2"/>
    <s v="Nagoya"/>
    <s v="Education"/>
    <x v="2"/>
    <x v="8"/>
    <x v="2"/>
    <x v="225"/>
    <n v="1352.44"/>
    <n v="2698.01"/>
    <s v="High"/>
    <n v="0.13100000000000001"/>
    <n v="13"/>
    <n v="30479.418970000002"/>
    <n v="17581.72"/>
    <n v="12897.698970000001"/>
    <n v="0.42316091992090887"/>
    <x v="0"/>
    <x v="0"/>
    <n v="0.13100000000000001"/>
    <n v="2344.57069"/>
    <n v="1487.6840000000002"/>
    <n v="14"/>
    <n v="32823.989659999999"/>
    <n v="11996.413659999998"/>
  </r>
  <r>
    <s v="ORD-2023-302041"/>
    <x v="203"/>
    <x v="4"/>
    <d v="2023-10-29T00:00:00"/>
    <n v="25"/>
    <x v="2"/>
    <x v="10"/>
    <s v="San Francisco"/>
    <s v="Small Business"/>
    <x v="3"/>
    <x v="7"/>
    <x v="6"/>
    <x v="226"/>
    <n v="1239.8399999999999"/>
    <n v="1482.75"/>
    <s v="High"/>
    <n v="6.7000000000000004E-2"/>
    <n v="4"/>
    <n v="5533.6230000000005"/>
    <n v="4959.3599999999997"/>
    <n v="574.26300000000083"/>
    <n v="0.10377703721413634"/>
    <x v="0"/>
    <x v="0"/>
    <n v="6.7000000000000004E-2"/>
    <n v="1383.4057500000001"/>
    <n v="1363.8240000000001"/>
    <n v="5"/>
    <n v="6917.0287500000004"/>
    <n v="97.908750000000282"/>
  </r>
  <r>
    <s v="ORD-2025-289139"/>
    <x v="204"/>
    <x v="7"/>
    <d v="2025-08-30T00:00:00"/>
    <n v="20"/>
    <x v="2"/>
    <x v="10"/>
    <s v="San Francisco"/>
    <s v="Corporate"/>
    <x v="2"/>
    <x v="11"/>
    <x v="1"/>
    <x v="227"/>
    <n v="933.29"/>
    <n v="1456.81"/>
    <s v="High"/>
    <n v="0.123"/>
    <n v="13"/>
    <n v="16609.090809999998"/>
    <n v="12132.77"/>
    <n v="4476.3208099999974"/>
    <n v="0.26951028573489977"/>
    <x v="0"/>
    <x v="0"/>
    <n v="0.123"/>
    <n v="1277.62237"/>
    <n v="1026.6190000000001"/>
    <n v="14"/>
    <n v="17886.713179999999"/>
    <n v="3514.0471799999987"/>
  </r>
  <r>
    <s v="ORD-2023-949710"/>
    <x v="205"/>
    <x v="2"/>
    <d v="2023-04-01T00:00:00"/>
    <n v="25"/>
    <x v="0"/>
    <x v="0"/>
    <s v="Nairobi"/>
    <s v="Consumer"/>
    <x v="2"/>
    <x v="14"/>
    <x v="1"/>
    <x v="228"/>
    <n v="1024.0999999999999"/>
    <n v="918.19"/>
    <s v="High"/>
    <n v="0.189"/>
    <n v="10"/>
    <n v="7446.5209000000004"/>
    <n v="10241"/>
    <n v="-2794.4790999999996"/>
    <n v="-0.37527311579827827"/>
    <x v="0"/>
    <x v="0"/>
    <n v="0.189"/>
    <n v="744.65209000000004"/>
    <n v="1126.51"/>
    <n v="11"/>
    <n v="8191.1729900000009"/>
    <n v="-4200.4370099999996"/>
  </r>
  <r>
    <s v="ORD-2023-603650"/>
    <x v="206"/>
    <x v="8"/>
    <d v="2023-06-10T00:00:00"/>
    <n v="18"/>
    <x v="1"/>
    <x v="9"/>
    <s v="Shanghai"/>
    <s v="Corporate"/>
    <x v="3"/>
    <x v="6"/>
    <x v="0"/>
    <x v="229"/>
    <n v="54.62"/>
    <n v="48.94"/>
    <s v="High"/>
    <n v="0.14799999999999999"/>
    <n v="16"/>
    <n v="667.15008"/>
    <n v="873.92"/>
    <n v="-206.76991999999996"/>
    <n v="-0.3099301434543783"/>
    <x v="0"/>
    <x v="0"/>
    <n v="0.14799999999999999"/>
    <n v="41.69688"/>
    <n v="60.082000000000001"/>
    <n v="17"/>
    <n v="708.84695999999997"/>
    <n v="-312.54704000000004"/>
  </r>
  <r>
    <s v="ORD-2025-757957"/>
    <x v="207"/>
    <x v="6"/>
    <d v="2025-05-06T00:00:00"/>
    <n v="12"/>
    <x v="2"/>
    <x v="5"/>
    <s v="Brasília"/>
    <s v="Consumer"/>
    <x v="1"/>
    <x v="0"/>
    <x v="3"/>
    <x v="230"/>
    <n v="394.13"/>
    <n v="932.29"/>
    <s v="High"/>
    <n v="0.109"/>
    <n v="7"/>
    <n v="5814.6927299999998"/>
    <n v="2758.91"/>
    <n v="3055.7827299999999"/>
    <n v="0.5255278089303268"/>
    <x v="0"/>
    <x v="0"/>
    <n v="0.109"/>
    <n v="830.67039"/>
    <n v="433.54300000000001"/>
    <n v="8"/>
    <n v="6645.36312"/>
    <n v="3177.0191199999999"/>
  </r>
  <r>
    <s v="ORD-2024-423853"/>
    <x v="208"/>
    <x v="9"/>
    <d v="2024-09-08T00:00:00"/>
    <n v="5"/>
    <x v="0"/>
    <x v="1"/>
    <s v="Lagos"/>
    <s v="Small Business"/>
    <x v="4"/>
    <x v="11"/>
    <x v="1"/>
    <x v="231"/>
    <n v="197.63"/>
    <n v="325.79000000000002"/>
    <s v="High"/>
    <n v="0.11600000000000001"/>
    <n v="10"/>
    <n v="2879.9836"/>
    <n v="1976.3"/>
    <n v="903.68360000000007"/>
    <n v="0.31378081458519419"/>
    <x v="1"/>
    <x v="0"/>
    <n v="0.11600000000000001"/>
    <n v="287.99836000000005"/>
    <n v="217.393"/>
    <n v="11"/>
    <n v="3167.9819600000005"/>
    <n v="776.65896000000055"/>
  </r>
  <r>
    <s v="ORD-2024-569164"/>
    <x v="209"/>
    <x v="9"/>
    <d v="2024-09-25T00:00:00"/>
    <n v="20"/>
    <x v="1"/>
    <x v="2"/>
    <s v="Osaka"/>
    <s v="Enterprise"/>
    <x v="3"/>
    <x v="14"/>
    <x v="5"/>
    <x v="232"/>
    <n v="195.54"/>
    <n v="405.97"/>
    <s v="High"/>
    <n v="0.187"/>
    <n v="16"/>
    <n v="5280.8577599999999"/>
    <n v="3128.64"/>
    <n v="2152.21776"/>
    <n v="0.40755079152141377"/>
    <x v="0"/>
    <x v="0"/>
    <n v="0.187"/>
    <n v="330.05360999999999"/>
    <n v="215.09400000000002"/>
    <n v="17"/>
    <n v="5610.9113699999998"/>
    <n v="1954.3133699999994"/>
  </r>
  <r>
    <s v="ORD-2023-946143"/>
    <x v="210"/>
    <x v="2"/>
    <d v="2023-03-30T00:00:00"/>
    <n v="16"/>
    <x v="0"/>
    <x v="11"/>
    <s v="Cape Town"/>
    <s v="Consumer"/>
    <x v="3"/>
    <x v="11"/>
    <x v="0"/>
    <x v="233"/>
    <n v="1309.77"/>
    <n v="1589.07"/>
    <s v="High"/>
    <n v="0.10199999999999999"/>
    <n v="10"/>
    <n v="14269.848599999999"/>
    <n v="13097.7"/>
    <n v="1172.1485999999986"/>
    <n v="8.2141628328137886E-2"/>
    <x v="0"/>
    <x v="0"/>
    <n v="0.10199999999999999"/>
    <n v="1426.98486"/>
    <n v="1440.7470000000001"/>
    <n v="11"/>
    <n v="15696.83346"/>
    <n v="-151.38354000000049"/>
  </r>
  <r>
    <s v="ORD-2024-281211"/>
    <x v="39"/>
    <x v="0"/>
    <d v="2024-02-02T00:00:00"/>
    <n v="22"/>
    <x v="1"/>
    <x v="2"/>
    <s v="Nagoya"/>
    <s v="Small Business"/>
    <x v="1"/>
    <x v="15"/>
    <x v="1"/>
    <x v="234"/>
    <n v="1237.68"/>
    <n v="1432.8"/>
    <s v="High"/>
    <n v="6.8000000000000005E-2"/>
    <n v="13"/>
    <n v="17359.804799999998"/>
    <n v="16089.84"/>
    <n v="1269.9647999999979"/>
    <n v="7.315547695559331E-2"/>
    <x v="0"/>
    <x v="0"/>
    <n v="6.8000000000000005E-2"/>
    <n v="1335.3695999999998"/>
    <n v="1361.4480000000001"/>
    <n v="14"/>
    <n v="18695.174399999996"/>
    <n v="-365.0976000000046"/>
  </r>
  <r>
    <s v="ORD-2024-805860"/>
    <x v="211"/>
    <x v="9"/>
    <d v="2024-10-02T00:00:00"/>
    <n v="19"/>
    <x v="0"/>
    <x v="0"/>
    <s v="Mombasa"/>
    <s v="Small Business"/>
    <x v="0"/>
    <x v="12"/>
    <x v="3"/>
    <x v="235"/>
    <n v="1338.99"/>
    <n v="1765.76"/>
    <s v="High"/>
    <n v="0.126"/>
    <n v="24"/>
    <n v="37038.581760000001"/>
    <n v="32135.760000000002"/>
    <n v="4902.8217599999989"/>
    <n v="0.1323706666677725"/>
    <x v="0"/>
    <x v="0"/>
    <n v="0.126"/>
    <n v="1543.27424"/>
    <n v="1472.8890000000001"/>
    <n v="26"/>
    <n v="40125.130239999999"/>
    <n v="1830.0162399999958"/>
  </r>
  <r>
    <s v="ORD-2025-132174"/>
    <x v="212"/>
    <x v="7"/>
    <d v="2025-07-23T00:00:00"/>
    <n v="6"/>
    <x v="2"/>
    <x v="3"/>
    <s v="Vancouver"/>
    <s v="Consumer"/>
    <x v="1"/>
    <x v="10"/>
    <x v="0"/>
    <x v="236"/>
    <n v="1364.89"/>
    <n v="2757.54"/>
    <s v="High"/>
    <n v="0.17199999999999999"/>
    <n v="61"/>
    <n v="139277.83032000001"/>
    <n v="83258.290000000008"/>
    <n v="56019.54032"/>
    <n v="0.4022143379983118"/>
    <x v="1"/>
    <x v="0"/>
    <n v="0.17199999999999999"/>
    <n v="2283.2431200000001"/>
    <n v="1501.3790000000001"/>
    <n v="65"/>
    <n v="148410.8028"/>
    <n v="50821.167799999996"/>
  </r>
  <r>
    <s v="ORD-2023-964434"/>
    <x v="213"/>
    <x v="4"/>
    <d v="2023-12-07T00:00:00"/>
    <n v="9"/>
    <x v="1"/>
    <x v="4"/>
    <s v="Delhi"/>
    <s v="Enterprise"/>
    <x v="2"/>
    <x v="4"/>
    <x v="3"/>
    <x v="237"/>
    <n v="699.33"/>
    <n v="873.75"/>
    <s v="High"/>
    <n v="0.23499999999999999"/>
    <n v="10"/>
    <n v="6684.1875"/>
    <n v="6993.3"/>
    <n v="-309.11250000000018"/>
    <n v="-4.6245336475076469E-2"/>
    <x v="0"/>
    <x v="1"/>
    <n v="0.2"/>
    <n v="699"/>
    <n v="769.26300000000015"/>
    <n v="11"/>
    <n v="7689"/>
    <n v="-772.89300000000162"/>
  </r>
  <r>
    <s v="ORD-2024-897622"/>
    <x v="214"/>
    <x v="0"/>
    <d v="2024-04-24T00:00:00"/>
    <n v="25"/>
    <x v="2"/>
    <x v="10"/>
    <s v="Austin"/>
    <s v="Non-Profit"/>
    <x v="1"/>
    <x v="3"/>
    <x v="4"/>
    <x v="238"/>
    <n v="160.82"/>
    <n v="258.52"/>
    <s v="High"/>
    <n v="0.13"/>
    <n v="17"/>
    <n v="3823.5108"/>
    <n v="2733.94"/>
    <n v="1089.5708"/>
    <n v="0.28496605789631874"/>
    <x v="0"/>
    <x v="0"/>
    <n v="0.13"/>
    <n v="224.91239999999999"/>
    <n v="176.90200000000002"/>
    <n v="18"/>
    <n v="4048.4231999999997"/>
    <n v="864.18719999999962"/>
  </r>
  <r>
    <s v="ORD-2023-517216"/>
    <x v="215"/>
    <x v="10"/>
    <d v="2023-10-08T00:00:00"/>
    <n v="19"/>
    <x v="1"/>
    <x v="4"/>
    <s v="Bengaluru"/>
    <s v="Education"/>
    <x v="4"/>
    <x v="1"/>
    <x v="1"/>
    <x v="239"/>
    <n v="385.32"/>
    <n v="606.76"/>
    <s v="High"/>
    <n v="8.5999999999999993E-2"/>
    <n v="8"/>
    <n v="4436.6291200000005"/>
    <n v="3082.56"/>
    <n v="1354.0691200000006"/>
    <n v="0.30520223425842735"/>
    <x v="0"/>
    <x v="0"/>
    <n v="8.5999999999999993E-2"/>
    <n v="554.57864000000006"/>
    <n v="423.85200000000003"/>
    <n v="9"/>
    <n v="4991.2077600000002"/>
    <n v="1176.5397600000003"/>
  </r>
  <r>
    <s v="ORD-2025-509940"/>
    <x v="216"/>
    <x v="6"/>
    <d v="2025-05-27T00:00:00"/>
    <n v="11"/>
    <x v="1"/>
    <x v="9"/>
    <s v="Beijing"/>
    <s v="Enterprise"/>
    <x v="1"/>
    <x v="9"/>
    <x v="3"/>
    <x v="240"/>
    <n v="918.12"/>
    <n v="1337.69"/>
    <s v="High"/>
    <n v="9.5000000000000001E-2"/>
    <n v="8"/>
    <n v="9684.8756000000012"/>
    <n v="7344.96"/>
    <n v="2339.9156000000012"/>
    <n v="0.24160512707050164"/>
    <x v="0"/>
    <x v="0"/>
    <n v="9.5000000000000001E-2"/>
    <n v="1210.6094500000002"/>
    <n v="1009.9320000000001"/>
    <n v="9"/>
    <n v="10895.485050000001"/>
    <n v="1806.0970500000003"/>
  </r>
  <r>
    <s v="ORD-2025-646342"/>
    <x v="217"/>
    <x v="7"/>
    <d v="2025-08-08T00:00:00"/>
    <n v="6"/>
    <x v="1"/>
    <x v="2"/>
    <s v="Osaka"/>
    <s v="Consumer"/>
    <x v="4"/>
    <x v="13"/>
    <x v="4"/>
    <x v="241"/>
    <n v="1225.94"/>
    <n v="1793.08"/>
    <s v="High"/>
    <n v="0.13600000000000001"/>
    <n v="22"/>
    <n v="34082.864639999993"/>
    <n v="26970.68"/>
    <n v="7112.1846399999922"/>
    <n v="0.20867332353434462"/>
    <x v="1"/>
    <x v="0"/>
    <n v="0.13600000000000001"/>
    <n v="1549.2211199999999"/>
    <n v="1348.5340000000001"/>
    <n v="24"/>
    <n v="37181.306879999996"/>
    <n v="4816.4908799999957"/>
  </r>
  <r>
    <s v="ORD-2024-866535"/>
    <x v="218"/>
    <x v="1"/>
    <d v="2024-12-12T00:00:00"/>
    <n v="8"/>
    <x v="3"/>
    <x v="6"/>
    <s v="Frankfurt"/>
    <s v="Enterprise"/>
    <x v="2"/>
    <x v="5"/>
    <x v="1"/>
    <x v="242"/>
    <n v="72.06"/>
    <n v="122.74"/>
    <s v="High"/>
    <n v="0.23799999999999999"/>
    <n v="8"/>
    <n v="748.22303999999997"/>
    <n v="576.48"/>
    <n v="171.74303999999995"/>
    <n v="0.22953455162246802"/>
    <x v="0"/>
    <x v="1"/>
    <n v="0.2"/>
    <n v="98.192000000000007"/>
    <n v="79.266000000000005"/>
    <n v="9"/>
    <n v="883.72800000000007"/>
    <n v="170.334"/>
  </r>
  <r>
    <s v="ORD-2023-747341"/>
    <x v="43"/>
    <x v="8"/>
    <d v="2023-04-28T00:00:00"/>
    <n v="9"/>
    <x v="2"/>
    <x v="5"/>
    <s v="Rio de Janeiro"/>
    <s v="Corporate"/>
    <x v="3"/>
    <x v="12"/>
    <x v="3"/>
    <x v="243"/>
    <n v="1013.54"/>
    <n v="927.93"/>
    <s v="High"/>
    <n v="0.17499999999999999"/>
    <n v="16"/>
    <n v="12248.675999999999"/>
    <n v="16216.64"/>
    <n v="-3967.9639999999999"/>
    <n v="-0.32395044166406234"/>
    <x v="0"/>
    <x v="0"/>
    <n v="0.17499999999999999"/>
    <n v="765.54224999999997"/>
    <n v="1114.894"/>
    <n v="17"/>
    <n v="13014.21825"/>
    <n v="-5938.9797500000004"/>
  </r>
  <r>
    <s v="ORD-2024-853298"/>
    <x v="219"/>
    <x v="0"/>
    <d v="2024-03-26T00:00:00"/>
    <n v="20"/>
    <x v="0"/>
    <x v="1"/>
    <s v="Port Harcourt"/>
    <s v="Consumer"/>
    <x v="2"/>
    <x v="2"/>
    <x v="3"/>
    <x v="244"/>
    <n v="65.64"/>
    <n v="151.88"/>
    <s v="High"/>
    <n v="0.16700000000000001"/>
    <n v="23"/>
    <n v="2909.8689199999999"/>
    <n v="1509.72"/>
    <n v="1400.1489199999999"/>
    <n v="0.48117250587356353"/>
    <x v="0"/>
    <x v="0"/>
    <n v="0.16700000000000001"/>
    <n v="126.51603999999999"/>
    <n v="72.204000000000008"/>
    <n v="25"/>
    <n v="3162.9009999999998"/>
    <n v="1357.8009999999995"/>
  </r>
  <r>
    <s v="ORD-2024-544865"/>
    <x v="220"/>
    <x v="0"/>
    <d v="2024-03-04T00:00:00"/>
    <n v="17"/>
    <x v="2"/>
    <x v="3"/>
    <s v="Montreal"/>
    <s v="Non-Profit"/>
    <x v="0"/>
    <x v="14"/>
    <x v="4"/>
    <x v="245"/>
    <n v="1350.98"/>
    <n v="2210.4"/>
    <s v="High"/>
    <n v="0.26300000000000001"/>
    <n v="6"/>
    <n v="9774.3888000000006"/>
    <n v="8105.88"/>
    <n v="1668.5088000000005"/>
    <n v="0.17070211080615091"/>
    <x v="0"/>
    <x v="1"/>
    <n v="0.2"/>
    <n v="1768.3200000000002"/>
    <n v="1486.0780000000002"/>
    <n v="7"/>
    <n v="12378.240000000002"/>
    <n v="1975.6939999999997"/>
  </r>
  <r>
    <s v="ORD-2025-946490"/>
    <x v="221"/>
    <x v="6"/>
    <d v="2025-05-02T00:00:00"/>
    <n v="10"/>
    <x v="3"/>
    <x v="6"/>
    <s v="Berlin"/>
    <s v="Corporate"/>
    <x v="2"/>
    <x v="0"/>
    <x v="5"/>
    <x v="246"/>
    <n v="20.149999999999999"/>
    <n v="39.74"/>
    <s v="High"/>
    <n v="0.151"/>
    <n v="18"/>
    <n v="607.30668000000003"/>
    <n v="362.7"/>
    <n v="244.60668000000004"/>
    <n v="0.4027729120318585"/>
    <x v="0"/>
    <x v="0"/>
    <n v="0.151"/>
    <n v="33.739260000000002"/>
    <n v="22.164999999999999"/>
    <n v="19"/>
    <n v="641.04593999999997"/>
    <n v="219.91094000000004"/>
  </r>
  <r>
    <s v="ORD-2024-320972"/>
    <x v="222"/>
    <x v="1"/>
    <d v="2024-11-08T00:00:00"/>
    <n v="0"/>
    <x v="0"/>
    <x v="0"/>
    <s v="Nakuru"/>
    <s v="Enterprise"/>
    <x v="2"/>
    <x v="12"/>
    <x v="2"/>
    <x v="247"/>
    <n v="803.28"/>
    <n v="1009"/>
    <s v="High"/>
    <n v="0.11"/>
    <n v="4"/>
    <n v="3592.04"/>
    <n v="3213.12"/>
    <n v="378.92000000000007"/>
    <n v="0.10548880302001093"/>
    <x v="1"/>
    <x v="0"/>
    <n v="0.11"/>
    <n v="898.01"/>
    <n v="883.60800000000006"/>
    <n v="5"/>
    <n v="4490.05"/>
    <n v="72.00999999999965"/>
  </r>
  <r>
    <s v="ORD-2025-248586"/>
    <x v="223"/>
    <x v="7"/>
    <d v="2025-09-30T00:00:00"/>
    <n v="18"/>
    <x v="1"/>
    <x v="2"/>
    <s v="Nagoya"/>
    <s v="Non-Profit"/>
    <x v="2"/>
    <x v="9"/>
    <x v="5"/>
    <x v="248"/>
    <n v="1212.99"/>
    <n v="1653.64"/>
    <s v="High"/>
    <n v="0.107"/>
    <n v="8"/>
    <n v="11813.604160000001"/>
    <n v="9703.92"/>
    <n v="2109.6841600000007"/>
    <n v="0.17858090819931455"/>
    <x v="0"/>
    <x v="0"/>
    <n v="0.107"/>
    <n v="1476.7005200000001"/>
    <n v="1334.2890000000002"/>
    <n v="9"/>
    <n v="13290.304680000001"/>
    <n v="1281.7036799999989"/>
  </r>
  <r>
    <s v="ORD-2024-664046"/>
    <x v="224"/>
    <x v="9"/>
    <d v="2024-09-08T00:00:00"/>
    <n v="6"/>
    <x v="2"/>
    <x v="10"/>
    <s v="Austin"/>
    <s v="Consumer"/>
    <x v="4"/>
    <x v="10"/>
    <x v="0"/>
    <x v="249"/>
    <n v="462.94"/>
    <n v="1015.7"/>
    <s v="High"/>
    <n v="0.14299999999999999"/>
    <n v="14"/>
    <n v="12186.368600000002"/>
    <n v="6481.16"/>
    <n v="5705.2086000000018"/>
    <n v="0.46816314090483041"/>
    <x v="1"/>
    <x v="0"/>
    <n v="0.14299999999999999"/>
    <n v="870.45490000000007"/>
    <n v="509.23400000000004"/>
    <n v="15"/>
    <n v="13056.8235"/>
    <n v="5418.3135000000002"/>
  </r>
  <r>
    <s v="ORD-2023-276806"/>
    <x v="225"/>
    <x v="2"/>
    <d v="2023-03-24T00:00:00"/>
    <n v="20"/>
    <x v="2"/>
    <x v="3"/>
    <s v="Montreal"/>
    <s v="Consumer"/>
    <x v="3"/>
    <x v="2"/>
    <x v="4"/>
    <x v="250"/>
    <n v="481.71"/>
    <n v="912.45"/>
    <s v="High"/>
    <n v="0.20300000000000001"/>
    <n v="24"/>
    <n v="17453.3436"/>
    <n v="11561.039999999999"/>
    <n v="5892.3036000000011"/>
    <n v="0.33760313983619739"/>
    <x v="0"/>
    <x v="1"/>
    <n v="0.2"/>
    <n v="729.96"/>
    <n v="529.88099999999997"/>
    <n v="26"/>
    <n v="18978.96"/>
    <n v="5202.0540000000019"/>
  </r>
  <r>
    <s v="ORD-2024-220234"/>
    <x v="226"/>
    <x v="0"/>
    <d v="2024-04-09T00:00:00"/>
    <n v="25"/>
    <x v="2"/>
    <x v="3"/>
    <s v="Vancouver"/>
    <s v="Consumer"/>
    <x v="1"/>
    <x v="9"/>
    <x v="5"/>
    <x v="251"/>
    <n v="648.64"/>
    <n v="815.19"/>
    <s v="High"/>
    <n v="0.22500000000000001"/>
    <n v="28"/>
    <n v="17689.623"/>
    <n v="18161.919999999998"/>
    <n v="-472.29699999999866"/>
    <n v="-2.6699099240272032E-2"/>
    <x v="0"/>
    <x v="1"/>
    <n v="0.2"/>
    <n v="652.15200000000004"/>
    <n v="713.50400000000002"/>
    <n v="30"/>
    <n v="19564.560000000001"/>
    <n v="-1840.5599999999993"/>
  </r>
  <r>
    <s v="ORD-2024-301260"/>
    <x v="227"/>
    <x v="9"/>
    <d v="2024-07-31T00:00:00"/>
    <n v="2"/>
    <x v="2"/>
    <x v="10"/>
    <s v="New York"/>
    <s v="Education"/>
    <x v="2"/>
    <x v="2"/>
    <x v="1"/>
    <x v="252"/>
    <n v="798.97"/>
    <n v="1814.06"/>
    <s v="High"/>
    <n v="0.122"/>
    <n v="16"/>
    <n v="25483.91488"/>
    <n v="12783.52"/>
    <n v="12700.39488"/>
    <n v="0.49836906691159061"/>
    <x v="1"/>
    <x v="0"/>
    <n v="0.122"/>
    <n v="1592.74468"/>
    <n v="878.86700000000008"/>
    <n v="17"/>
    <n v="27076.65956"/>
    <n v="12135.920559999999"/>
  </r>
  <r>
    <s v="ORD-2024-350100"/>
    <x v="228"/>
    <x v="1"/>
    <d v="2024-11-20T00:00:00"/>
    <n v="24"/>
    <x v="1"/>
    <x v="2"/>
    <s v="Nagoya"/>
    <s v="Non-Profit"/>
    <x v="1"/>
    <x v="10"/>
    <x v="5"/>
    <x v="253"/>
    <n v="317.25"/>
    <n v="758.92"/>
    <s v="High"/>
    <n v="5.2999999999999999E-2"/>
    <n v="9"/>
    <n v="6468.2751599999992"/>
    <n v="2855.25"/>
    <n v="3613.0251599999992"/>
    <n v="0.5585762928489888"/>
    <x v="0"/>
    <x v="0"/>
    <n v="5.2999999999999999E-2"/>
    <n v="718.69723999999997"/>
    <n v="348.97500000000002"/>
    <n v="10"/>
    <n v="7186.9723999999997"/>
    <n v="3697.2223999999997"/>
  </r>
  <r>
    <s v="ORD-2024-855600"/>
    <x v="229"/>
    <x v="5"/>
    <d v="2024-05-19T00:00:00"/>
    <n v="20"/>
    <x v="3"/>
    <x v="6"/>
    <s v="Frankfurt"/>
    <s v="Enterprise"/>
    <x v="2"/>
    <x v="0"/>
    <x v="4"/>
    <x v="254"/>
    <n v="668.97"/>
    <n v="1667.44"/>
    <s v="High"/>
    <n v="3.4000000000000002E-2"/>
    <n v="15"/>
    <n v="24161.205600000001"/>
    <n v="10034.550000000001"/>
    <n v="14126.6556"/>
    <n v="0.58468339013679016"/>
    <x v="0"/>
    <x v="0"/>
    <n v="3.4000000000000002E-2"/>
    <n v="1610.74704"/>
    <n v="735.86700000000008"/>
    <n v="16"/>
    <n v="25771.95264"/>
    <n v="13998.080639999998"/>
  </r>
  <r>
    <s v="ORD-2023-474313"/>
    <x v="230"/>
    <x v="4"/>
    <d v="2023-10-06T00:00:00"/>
    <n v="1"/>
    <x v="1"/>
    <x v="4"/>
    <s v="Bengaluru"/>
    <s v="Non-Profit"/>
    <x v="1"/>
    <x v="2"/>
    <x v="0"/>
    <x v="255"/>
    <n v="1470.26"/>
    <n v="2562.5500000000002"/>
    <s v="High"/>
    <n v="0.17299999999999999"/>
    <n v="9"/>
    <n v="19073.059649999999"/>
    <n v="13232.34"/>
    <n v="5840.7196499999991"/>
    <n v="0.30622877279157462"/>
    <x v="1"/>
    <x v="0"/>
    <n v="0.17299999999999999"/>
    <n v="2119.22885"/>
    <n v="1617.2860000000001"/>
    <n v="10"/>
    <n v="21192.288499999999"/>
    <n v="5019.4284999999991"/>
  </r>
  <r>
    <s v="ORD-2023-256951"/>
    <x v="43"/>
    <x v="8"/>
    <d v="2023-05-07T00:00:00"/>
    <n v="18"/>
    <x v="3"/>
    <x v="8"/>
    <s v="London"/>
    <s v="Non-Profit"/>
    <x v="4"/>
    <x v="10"/>
    <x v="2"/>
    <x v="256"/>
    <n v="516.96"/>
    <n v="745.38"/>
    <s v="High"/>
    <n v="0.19700000000000001"/>
    <n v="4"/>
    <n v="2394.1605599999998"/>
    <n v="2067.84"/>
    <n v="326.32055999999966"/>
    <n v="0.13629852794835101"/>
    <x v="0"/>
    <x v="0"/>
    <n v="0.19700000000000001"/>
    <n v="598.54013999999995"/>
    <n v="568.65600000000006"/>
    <n v="5"/>
    <n v="2992.7006999999999"/>
    <n v="149.42069999999944"/>
  </r>
  <r>
    <s v="ORD-2025-184754"/>
    <x v="231"/>
    <x v="6"/>
    <d v="2025-07-05T00:00:00"/>
    <n v="8"/>
    <x v="3"/>
    <x v="6"/>
    <s v="Munich"/>
    <s v="Small Business"/>
    <x v="4"/>
    <x v="3"/>
    <x v="5"/>
    <x v="257"/>
    <n v="314.93"/>
    <n v="687.95"/>
    <s v="High"/>
    <n v="0.20499999999999999"/>
    <n v="8"/>
    <n v="4375.3620000000001"/>
    <n v="2519.44"/>
    <n v="1855.922"/>
    <n v="0.424175645352316"/>
    <x v="0"/>
    <x v="1"/>
    <n v="0.2"/>
    <n v="550.36"/>
    <n v="346.42300000000006"/>
    <n v="9"/>
    <n v="4953.24"/>
    <n v="1835.4329999999995"/>
  </r>
  <r>
    <s v="ORD-2023-888140"/>
    <x v="232"/>
    <x v="4"/>
    <d v="2023-10-13T00:00:00"/>
    <n v="2"/>
    <x v="2"/>
    <x v="5"/>
    <s v="Brasília"/>
    <s v="Consumer"/>
    <x v="3"/>
    <x v="15"/>
    <x v="6"/>
    <x v="258"/>
    <n v="715.94"/>
    <n v="550.07000000000005"/>
    <s v="High"/>
    <n v="0.14000000000000001"/>
    <n v="16"/>
    <n v="7568.9632000000001"/>
    <n v="11455.04"/>
    <n v="-3886.0768000000007"/>
    <n v="-0.51342260456491595"/>
    <x v="1"/>
    <x v="0"/>
    <n v="0.14000000000000001"/>
    <n v="473.06020000000001"/>
    <n v="787.53400000000011"/>
    <n v="17"/>
    <n v="8042.0234"/>
    <n v="-5346.0546000000013"/>
  </r>
  <r>
    <s v="ORD-2023-638181"/>
    <x v="72"/>
    <x v="8"/>
    <d v="2023-06-07T00:00:00"/>
    <n v="18"/>
    <x v="0"/>
    <x v="1"/>
    <s v="Port Harcourt"/>
    <s v="Enterprise"/>
    <x v="3"/>
    <x v="6"/>
    <x v="0"/>
    <x v="259"/>
    <n v="1120.06"/>
    <n v="2068.21"/>
    <s v="High"/>
    <n v="7.8E-2"/>
    <n v="12"/>
    <n v="22882.675440000003"/>
    <n v="13440.72"/>
    <n v="9441.9554400000034"/>
    <n v="0.41262462795303284"/>
    <x v="0"/>
    <x v="0"/>
    <n v="7.8E-2"/>
    <n v="1906.8896200000001"/>
    <n v="1232.066"/>
    <n v="13"/>
    <n v="24789.565060000001"/>
    <n v="8772.7070600000006"/>
  </r>
  <r>
    <s v="ORD-2023-521280"/>
    <x v="233"/>
    <x v="8"/>
    <d v="2023-06-19T00:00:00"/>
    <n v="23"/>
    <x v="3"/>
    <x v="6"/>
    <s v="Berlin"/>
    <s v="Education"/>
    <x v="0"/>
    <x v="7"/>
    <x v="6"/>
    <x v="260"/>
    <n v="1471.58"/>
    <n v="2576.65"/>
    <s v="High"/>
    <n v="4.0000000000000001E-3"/>
    <n v="7"/>
    <n v="17964.4038"/>
    <n v="10301.06"/>
    <n v="7663.3438000000006"/>
    <n v="0.4265849223451546"/>
    <x v="0"/>
    <x v="0"/>
    <n v="4.0000000000000001E-3"/>
    <n v="2566.3434000000002"/>
    <n v="1618.7380000000001"/>
    <n v="8"/>
    <n v="20530.747200000002"/>
    <n v="7580.8432000000012"/>
  </r>
  <r>
    <s v="ORD-2023-630430"/>
    <x v="234"/>
    <x v="10"/>
    <d v="2023-08-24T00:00:00"/>
    <n v="20"/>
    <x v="2"/>
    <x v="5"/>
    <s v="Brasília"/>
    <s v="Non-Profit"/>
    <x v="4"/>
    <x v="15"/>
    <x v="2"/>
    <x v="261"/>
    <n v="582.88"/>
    <n v="1044.1400000000001"/>
    <s v="High"/>
    <n v="0.216"/>
    <n v="10"/>
    <n v="8186.057600000001"/>
    <n v="5828.8"/>
    <n v="2357.2576000000008"/>
    <n v="0.28796005539956138"/>
    <x v="0"/>
    <x v="1"/>
    <n v="0.2"/>
    <n v="835.31200000000013"/>
    <n v="641.16800000000001"/>
    <n v="11"/>
    <n v="9188.4320000000007"/>
    <n v="2135.5840000000012"/>
  </r>
  <r>
    <s v="ORD-2025-908258"/>
    <x v="235"/>
    <x v="6"/>
    <d v="2025-06-27T00:00:00"/>
    <n v="6"/>
    <x v="0"/>
    <x v="11"/>
    <s v="Durban"/>
    <s v="Enterprise"/>
    <x v="3"/>
    <x v="13"/>
    <x v="3"/>
    <x v="262"/>
    <n v="93.91"/>
    <n v="99.04"/>
    <s v="High"/>
    <n v="5.7000000000000002E-2"/>
    <n v="6"/>
    <n v="560.36831999999993"/>
    <n v="563.46"/>
    <n v="-3.0916800000001103"/>
    <n v="-5.5172283829323376E-3"/>
    <x v="1"/>
    <x v="0"/>
    <n v="5.7000000000000002E-2"/>
    <n v="93.394720000000007"/>
    <n v="103.301"/>
    <n v="7"/>
    <n v="653.76304000000005"/>
    <n v="-69.343959999999967"/>
  </r>
  <r>
    <s v="ORD-2025-440093"/>
    <x v="139"/>
    <x v="6"/>
    <d v="2025-04-26T00:00:00"/>
    <n v="10"/>
    <x v="0"/>
    <x v="1"/>
    <s v="Port Harcourt"/>
    <s v="Enterprise"/>
    <x v="2"/>
    <x v="9"/>
    <x v="4"/>
    <x v="263"/>
    <n v="1457.44"/>
    <n v="1996.81"/>
    <s v="High"/>
    <n v="0.126"/>
    <n v="23"/>
    <n v="40139.874619999995"/>
    <n v="33521.120000000003"/>
    <n v="6618.7546199999924"/>
    <n v="0.16489225944672353"/>
    <x v="0"/>
    <x v="0"/>
    <n v="0.126"/>
    <n v="1745.2119399999999"/>
    <n v="1603.1840000000002"/>
    <n v="25"/>
    <n v="43630.298499999997"/>
    <n v="3550.6984999999931"/>
  </r>
  <r>
    <s v="ORD-2025-898022"/>
    <x v="236"/>
    <x v="7"/>
    <d v="2025-09-11T00:00:00"/>
    <n v="9"/>
    <x v="2"/>
    <x v="3"/>
    <s v="Toronto"/>
    <s v="Corporate"/>
    <x v="3"/>
    <x v="12"/>
    <x v="1"/>
    <x v="264"/>
    <n v="1207.6300000000001"/>
    <n v="921.68"/>
    <s v="High"/>
    <n v="0.19600000000000001"/>
    <n v="17"/>
    <n v="12597.52224"/>
    <n v="20529.710000000003"/>
    <n v="-7932.1877600000025"/>
    <n v="-0.62966253274897988"/>
    <x v="0"/>
    <x v="0"/>
    <n v="0.19600000000000001"/>
    <n v="741.03071999999997"/>
    <n v="1328.3930000000003"/>
    <n v="18"/>
    <n v="13338.552959999999"/>
    <n v="-10572.521040000005"/>
  </r>
  <r>
    <s v="ORD-2024-500511"/>
    <x v="237"/>
    <x v="1"/>
    <d v="2024-10-08T00:00:00"/>
    <n v="0"/>
    <x v="3"/>
    <x v="8"/>
    <s v="London"/>
    <s v="Corporate"/>
    <x v="1"/>
    <x v="6"/>
    <x v="5"/>
    <x v="265"/>
    <n v="1108.1099999999999"/>
    <n v="2503.79"/>
    <s v="High"/>
    <n v="0.184"/>
    <n v="19"/>
    <n v="38818.760160000005"/>
    <n v="21054.089999999997"/>
    <n v="17764.670160000009"/>
    <n v="0.45763105485025896"/>
    <x v="1"/>
    <x v="0"/>
    <n v="0.184"/>
    <n v="2043.0926400000001"/>
    <n v="1218.921"/>
    <n v="20"/>
    <n v="40861.852800000001"/>
    <n v="16483.432800000002"/>
  </r>
  <r>
    <s v="ORD-2023-632893"/>
    <x v="238"/>
    <x v="8"/>
    <d v="2023-05-14T00:00:00"/>
    <n v="7"/>
    <x v="0"/>
    <x v="1"/>
    <s v="Port Harcourt"/>
    <s v="Non-Profit"/>
    <x v="2"/>
    <x v="8"/>
    <x v="0"/>
    <x v="266"/>
    <n v="1269.6500000000001"/>
    <n v="2462.77"/>
    <s v="High"/>
    <n v="0.107"/>
    <n v="8"/>
    <n v="17594.028880000002"/>
    <n v="10157.200000000001"/>
    <n v="7436.8288800000009"/>
    <n v="0.42269050089225502"/>
    <x v="1"/>
    <x v="0"/>
    <n v="0.107"/>
    <n v="2199.2536100000002"/>
    <n v="1396.6150000000002"/>
    <n v="9"/>
    <n v="19793.282490000001"/>
    <n v="7223.7474899999997"/>
  </r>
  <r>
    <s v="ORD-2023-967239"/>
    <x v="239"/>
    <x v="4"/>
    <d v="2024-01-01T00:00:00"/>
    <n v="8"/>
    <x v="2"/>
    <x v="5"/>
    <s v="São Paulo"/>
    <s v="Education"/>
    <x v="4"/>
    <x v="0"/>
    <x v="3"/>
    <x v="267"/>
    <n v="526.49"/>
    <n v="496.2"/>
    <s v="High"/>
    <n v="0"/>
    <n v="14"/>
    <n v="6946.8"/>
    <n v="7370.8600000000006"/>
    <n v="-424.0600000000004"/>
    <n v="-6.1043933897621985E-2"/>
    <x v="0"/>
    <x v="0"/>
    <n v="0"/>
    <n v="496.2"/>
    <n v="579.13900000000001"/>
    <n v="15"/>
    <n v="7443"/>
    <n v="-1244.0850000000003"/>
  </r>
  <r>
    <s v="ORD-2024-885858"/>
    <x v="240"/>
    <x v="0"/>
    <d v="2024-01-23T00:00:00"/>
    <n v="13"/>
    <x v="3"/>
    <x v="7"/>
    <s v="Marseille"/>
    <s v="Corporate"/>
    <x v="4"/>
    <x v="8"/>
    <x v="1"/>
    <x v="268"/>
    <n v="720"/>
    <n v="907.59"/>
    <s v="High"/>
    <n v="0.154"/>
    <n v="10"/>
    <n v="7678.2113999999992"/>
    <n v="7200"/>
    <n v="478.21139999999923"/>
    <n v="6.2281614179052078E-2"/>
    <x v="0"/>
    <x v="0"/>
    <n v="0.154"/>
    <n v="767.82114000000001"/>
    <n v="792.00000000000011"/>
    <n v="11"/>
    <n v="8446.0325400000002"/>
    <n v="-265.9674600000011"/>
  </r>
  <r>
    <s v="ORD-2023-253245"/>
    <x v="241"/>
    <x v="10"/>
    <d v="2023-08-14T00:00:00"/>
    <n v="11"/>
    <x v="2"/>
    <x v="5"/>
    <s v="Brasília"/>
    <s v="Corporate"/>
    <x v="4"/>
    <x v="1"/>
    <x v="6"/>
    <x v="269"/>
    <n v="232.73"/>
    <n v="334.19"/>
    <s v="High"/>
    <n v="0.13400000000000001"/>
    <n v="25"/>
    <n v="7235.2134999999998"/>
    <n v="5818.25"/>
    <n v="1416.9634999999998"/>
    <n v="0.1958426658729559"/>
    <x v="0"/>
    <x v="0"/>
    <n v="0.13400000000000001"/>
    <n v="289.40854000000002"/>
    <n v="256.00299999999999"/>
    <n v="27"/>
    <n v="7814.0305800000006"/>
    <n v="901.94958000000088"/>
  </r>
  <r>
    <s v="ORD-2025-484073"/>
    <x v="242"/>
    <x v="3"/>
    <d v="2025-03-09T00:00:00"/>
    <n v="18"/>
    <x v="1"/>
    <x v="4"/>
    <s v="Delhi"/>
    <s v="Small Business"/>
    <x v="4"/>
    <x v="7"/>
    <x v="5"/>
    <x v="270"/>
    <n v="325.87"/>
    <n v="538.79"/>
    <s v="High"/>
    <n v="0.17399999999999999"/>
    <n v="16"/>
    <n v="7120.6486400000003"/>
    <n v="5213.92"/>
    <n v="1906.7286400000003"/>
    <n v="0.26777457172778013"/>
    <x v="0"/>
    <x v="0"/>
    <n v="0.17399999999999999"/>
    <n v="445.04054000000002"/>
    <n v="358.45700000000005"/>
    <n v="17"/>
    <n v="7565.6891800000003"/>
    <n v="1471.9201799999996"/>
  </r>
  <r>
    <s v="ORD-2024-745822"/>
    <x v="243"/>
    <x v="0"/>
    <d v="2024-04-17T00:00:00"/>
    <n v="17"/>
    <x v="3"/>
    <x v="6"/>
    <s v="Frankfurt"/>
    <s v="Education"/>
    <x v="4"/>
    <x v="10"/>
    <x v="5"/>
    <x v="271"/>
    <n v="1025.51"/>
    <n v="1436.54"/>
    <s v="High"/>
    <n v="0.13900000000000001"/>
    <n v="28"/>
    <n v="34632.106319999999"/>
    <n v="28714.28"/>
    <n v="5917.8263200000001"/>
    <n v="0.17087688127656453"/>
    <x v="0"/>
    <x v="0"/>
    <n v="0.13900000000000001"/>
    <n v="1236.86094"/>
    <n v="1128.0610000000001"/>
    <n v="30"/>
    <n v="37105.828200000004"/>
    <n v="3263.9981999999964"/>
  </r>
  <r>
    <s v="ORD-2023-369160"/>
    <x v="244"/>
    <x v="10"/>
    <d v="2023-08-13T00:00:00"/>
    <n v="20"/>
    <x v="2"/>
    <x v="3"/>
    <s v="Montreal"/>
    <s v="Education"/>
    <x v="4"/>
    <x v="0"/>
    <x v="5"/>
    <x v="272"/>
    <n v="1082.3800000000001"/>
    <n v="1766.55"/>
    <s v="High"/>
    <n v="0.16400000000000001"/>
    <n v="20"/>
    <n v="29536.716"/>
    <n v="21647.600000000002"/>
    <n v="7889.1159999999982"/>
    <n v="0.26709523157550752"/>
    <x v="0"/>
    <x v="0"/>
    <n v="0.16400000000000001"/>
    <n v="1476.8357999999998"/>
    <n v="1190.6180000000002"/>
    <n v="21"/>
    <n v="31013.551799999997"/>
    <n v="6010.5737999999928"/>
  </r>
  <r>
    <s v="ORD-2024-834983"/>
    <x v="245"/>
    <x v="0"/>
    <d v="2024-04-13T00:00:00"/>
    <n v="28"/>
    <x v="3"/>
    <x v="7"/>
    <s v="Paris"/>
    <s v="Small Business"/>
    <x v="1"/>
    <x v="11"/>
    <x v="1"/>
    <x v="273"/>
    <n v="287.61"/>
    <n v="628.54"/>
    <s v="High"/>
    <n v="0.13500000000000001"/>
    <n v="21"/>
    <n v="11417.429099999999"/>
    <n v="6039.81"/>
    <n v="5377.619099999999"/>
    <n v="0.47100087531964613"/>
    <x v="0"/>
    <x v="0"/>
    <n v="0.13500000000000001"/>
    <n v="543.68709999999999"/>
    <n v="316.37100000000004"/>
    <n v="23"/>
    <n v="12504.8033"/>
    <n v="5228.2702999999992"/>
  </r>
  <r>
    <s v="ORD-2024-499009"/>
    <x v="246"/>
    <x v="0"/>
    <d v="2024-01-27T00:00:00"/>
    <n v="2"/>
    <x v="2"/>
    <x v="5"/>
    <s v="São Paulo"/>
    <s v="Non-Profit"/>
    <x v="2"/>
    <x v="13"/>
    <x v="4"/>
    <x v="274"/>
    <n v="1410.97"/>
    <n v="1650.75"/>
    <s v="High"/>
    <n v="0.13500000000000001"/>
    <n v="6"/>
    <n v="8567.3924999999999"/>
    <n v="8465.82"/>
    <n v="101.57250000000022"/>
    <n v="1.1855707556295596E-2"/>
    <x v="1"/>
    <x v="0"/>
    <n v="0.13500000000000001"/>
    <n v="1427.8987500000001"/>
    <n v="1552.0670000000002"/>
    <n v="7"/>
    <n v="9995.2912500000002"/>
    <n v="-869.1777500000012"/>
  </r>
  <r>
    <s v="ORD-2024-948800"/>
    <x v="247"/>
    <x v="0"/>
    <d v="2024-04-11T00:00:00"/>
    <n v="15"/>
    <x v="2"/>
    <x v="10"/>
    <s v="San Francisco"/>
    <s v="Small Business"/>
    <x v="4"/>
    <x v="7"/>
    <x v="2"/>
    <x v="275"/>
    <n v="1338.35"/>
    <n v="2247.14"/>
    <s v="High"/>
    <n v="0.115"/>
    <n v="40"/>
    <n v="79548.755999999994"/>
    <n v="53534"/>
    <n v="26014.755999999994"/>
    <n v="0.32702907384246205"/>
    <x v="0"/>
    <x v="0"/>
    <n v="0.115"/>
    <n v="1988.7188999999998"/>
    <n v="1472.1849999999999"/>
    <n v="42"/>
    <n v="83526.193799999994"/>
    <n v="21694.423799999997"/>
  </r>
  <r>
    <s v="ORD-2025-678328"/>
    <x v="35"/>
    <x v="6"/>
    <d v="2025-07-14T00:00:00"/>
    <n v="20"/>
    <x v="3"/>
    <x v="6"/>
    <s v="Berlin"/>
    <s v="Corporate"/>
    <x v="4"/>
    <x v="7"/>
    <x v="6"/>
    <x v="276"/>
    <n v="385.08"/>
    <n v="893.19"/>
    <s v="High"/>
    <n v="0.151"/>
    <n v="8"/>
    <n v="6066.54648"/>
    <n v="3080.64"/>
    <n v="2985.9064800000001"/>
    <n v="0.49219213762621666"/>
    <x v="0"/>
    <x v="0"/>
    <n v="0.151"/>
    <n v="758.31831"/>
    <n v="423.58800000000002"/>
    <n v="9"/>
    <n v="6824.8647899999996"/>
    <n v="3012.5727899999997"/>
  </r>
  <r>
    <s v="ORD-2024-580808"/>
    <x v="248"/>
    <x v="5"/>
    <d v="2024-07-03T00:00:00"/>
    <n v="17"/>
    <x v="0"/>
    <x v="11"/>
    <s v="Johannesburg"/>
    <s v="Enterprise"/>
    <x v="2"/>
    <x v="9"/>
    <x v="3"/>
    <x v="277"/>
    <n v="1173.83"/>
    <n v="2328.9"/>
    <s v="High"/>
    <n v="0.12"/>
    <n v="17"/>
    <n v="34840.344000000005"/>
    <n v="19955.11"/>
    <n v="14885.234000000004"/>
    <n v="0.42724130393201637"/>
    <x v="0"/>
    <x v="0"/>
    <n v="0.12"/>
    <n v="2049.4320000000002"/>
    <n v="1291.213"/>
    <n v="18"/>
    <n v="36889.776000000005"/>
    <n v="13647.942000000005"/>
  </r>
  <r>
    <s v="ORD-2023-211715"/>
    <x v="249"/>
    <x v="4"/>
    <d v="2023-11-14T00:00:00"/>
    <n v="15"/>
    <x v="1"/>
    <x v="4"/>
    <s v="Bengaluru"/>
    <s v="Corporate"/>
    <x v="1"/>
    <x v="9"/>
    <x v="4"/>
    <x v="278"/>
    <n v="953.46"/>
    <n v="2066.75"/>
    <s v="High"/>
    <n v="0.13800000000000001"/>
    <n v="5"/>
    <n v="8907.6924999999992"/>
    <n v="4767.3"/>
    <n v="4140.392499999999"/>
    <n v="0.46481089238318446"/>
    <x v="0"/>
    <x v="0"/>
    <n v="0.13800000000000001"/>
    <n v="1781.5384999999999"/>
    <n v="1048.806"/>
    <n v="6"/>
    <n v="10689.231"/>
    <n v="4396.3949999999986"/>
  </r>
  <r>
    <s v="ORD-2023-715175"/>
    <x v="250"/>
    <x v="8"/>
    <d v="2023-06-23T00:00:00"/>
    <n v="8"/>
    <x v="2"/>
    <x v="10"/>
    <s v="San Francisco"/>
    <s v="Consumer"/>
    <x v="3"/>
    <x v="7"/>
    <x v="5"/>
    <x v="279"/>
    <n v="1097.0899999999999"/>
    <n v="2182.31"/>
    <s v="High"/>
    <n v="0.112"/>
    <n v="9"/>
    <n v="17441.021520000002"/>
    <n v="9873.81"/>
    <n v="7567.2115200000026"/>
    <n v="0.43387432962699546"/>
    <x v="0"/>
    <x v="0"/>
    <n v="0.112"/>
    <n v="1937.8912800000001"/>
    <n v="1206.799"/>
    <n v="10"/>
    <n v="19378.912800000002"/>
    <n v="7310.9228000000003"/>
  </r>
  <r>
    <s v="ORD-2025-685236"/>
    <x v="251"/>
    <x v="3"/>
    <d v="2025-03-29T00:00:00"/>
    <n v="15"/>
    <x v="1"/>
    <x v="2"/>
    <s v="Tokyo"/>
    <s v="Non-Profit"/>
    <x v="4"/>
    <x v="10"/>
    <x v="2"/>
    <x v="280"/>
    <n v="1106.96"/>
    <n v="2726.62"/>
    <s v="High"/>
    <n v="0.3"/>
    <n v="7"/>
    <n v="13360.438"/>
    <n v="7748.72"/>
    <n v="5611.7179999999998"/>
    <n v="0.42002500217432992"/>
    <x v="0"/>
    <x v="1"/>
    <n v="0.2"/>
    <n v="2181.2959999999998"/>
    <n v="1217.6560000000002"/>
    <n v="8"/>
    <n v="17450.367999999999"/>
    <n v="7709.1199999999972"/>
  </r>
  <r>
    <s v="ORD-2023-274037"/>
    <x v="182"/>
    <x v="10"/>
    <d v="2023-08-25T00:00:00"/>
    <n v="10"/>
    <x v="0"/>
    <x v="0"/>
    <s v="Nairobi"/>
    <s v="Small Business"/>
    <x v="0"/>
    <x v="13"/>
    <x v="3"/>
    <x v="281"/>
    <n v="91.85"/>
    <n v="111.29"/>
    <s v="High"/>
    <n v="0"/>
    <n v="6"/>
    <n v="667.74"/>
    <n v="551.09999999999991"/>
    <n v="116.6400000000001"/>
    <n v="0.17467876718483258"/>
    <x v="0"/>
    <x v="0"/>
    <n v="0"/>
    <n v="111.29"/>
    <n v="101.035"/>
    <n v="7"/>
    <n v="779.03000000000009"/>
    <n v="71.785000000000068"/>
  </r>
  <r>
    <s v="ORD-2025-983096"/>
    <x v="252"/>
    <x v="6"/>
    <d v="2025-05-28T00:00:00"/>
    <n v="11"/>
    <x v="1"/>
    <x v="4"/>
    <s v="Bengaluru"/>
    <s v="Corporate"/>
    <x v="3"/>
    <x v="5"/>
    <x v="4"/>
    <x v="282"/>
    <n v="623.4"/>
    <n v="1100.0899999999999"/>
    <s v="High"/>
    <n v="0.114"/>
    <n v="12"/>
    <n v="11696.156879999999"/>
    <n v="7480.7999999999993"/>
    <n v="4215.3568799999994"/>
    <n v="0.36040529579490388"/>
    <x v="0"/>
    <x v="0"/>
    <n v="0.114"/>
    <n v="974.67973999999992"/>
    <n v="685.74"/>
    <n v="13"/>
    <n v="12670.836619999998"/>
    <n v="3756.2166199999988"/>
  </r>
  <r>
    <s v="ORD-2024-366010"/>
    <x v="94"/>
    <x v="0"/>
    <d v="2024-02-05T00:00:00"/>
    <n v="23"/>
    <x v="3"/>
    <x v="6"/>
    <s v="Frankfurt"/>
    <s v="Education"/>
    <x v="4"/>
    <x v="5"/>
    <x v="4"/>
    <x v="283"/>
    <n v="1017.93"/>
    <n v="1529.14"/>
    <s v="High"/>
    <n v="0.155"/>
    <n v="12"/>
    <n v="15505.479600000001"/>
    <n v="12215.16"/>
    <n v="3290.3196000000007"/>
    <n v="0.21220366508366503"/>
    <x v="0"/>
    <x v="0"/>
    <n v="0.155"/>
    <n v="1292.1233"/>
    <n v="1119.723"/>
    <n v="13"/>
    <n v="16797.602899999998"/>
    <n v="2241.2039000000004"/>
  </r>
  <r>
    <s v="ORD-2023-610470"/>
    <x v="87"/>
    <x v="8"/>
    <d v="2023-07-21T00:00:00"/>
    <n v="27"/>
    <x v="1"/>
    <x v="2"/>
    <s v="Nagoya"/>
    <s v="Consumer"/>
    <x v="2"/>
    <x v="1"/>
    <x v="3"/>
    <x v="284"/>
    <n v="554.76"/>
    <n v="728.69"/>
    <s v="High"/>
    <n v="0.22"/>
    <n v="7"/>
    <n v="3978.6474000000003"/>
    <n v="3883.3199999999997"/>
    <n v="95.32740000000058"/>
    <n v="2.395975074343119E-2"/>
    <x v="0"/>
    <x v="1"/>
    <n v="0.2"/>
    <n v="582.95200000000011"/>
    <n v="610.23599999999999"/>
    <n v="8"/>
    <n v="4663.6160000000009"/>
    <n v="-218.27199999999903"/>
  </r>
  <r>
    <s v="ORD-2025-541048"/>
    <x v="253"/>
    <x v="6"/>
    <d v="2025-04-13T00:00:00"/>
    <n v="9"/>
    <x v="3"/>
    <x v="6"/>
    <s v="Munich"/>
    <s v="Consumer"/>
    <x v="2"/>
    <x v="9"/>
    <x v="3"/>
    <x v="285"/>
    <n v="7.02"/>
    <n v="6.28"/>
    <s v="High"/>
    <n v="0.13400000000000001"/>
    <n v="14"/>
    <n v="76.138720000000006"/>
    <n v="98.28"/>
    <n v="-22.141279999999995"/>
    <n v="-0.29080184169106066"/>
    <x v="0"/>
    <x v="0"/>
    <n v="0.13400000000000001"/>
    <n v="5.4384800000000002"/>
    <n v="7.7220000000000004"/>
    <n v="15"/>
    <n v="81.577200000000005"/>
    <n v="-34.252800000000001"/>
  </r>
  <r>
    <s v="ORD-2024-862371"/>
    <x v="254"/>
    <x v="9"/>
    <d v="2024-09-07T00:00:00"/>
    <n v="0"/>
    <x v="1"/>
    <x v="4"/>
    <s v="Mumbai"/>
    <s v="Education"/>
    <x v="3"/>
    <x v="5"/>
    <x v="2"/>
    <x v="286"/>
    <n v="1066.6500000000001"/>
    <n v="2569.77"/>
    <s v="High"/>
    <n v="0.13400000000000001"/>
    <n v="9"/>
    <n v="20028.787380000002"/>
    <n v="9599.85"/>
    <n v="10428.937380000001"/>
    <n v="0.52069739331368348"/>
    <x v="1"/>
    <x v="0"/>
    <n v="0.13400000000000001"/>
    <n v="2225.4208199999998"/>
    <n v="1173.3150000000003"/>
    <n v="10"/>
    <n v="22254.208199999997"/>
    <n v="10521.058199999996"/>
  </r>
  <r>
    <s v="ORD-2024-277241"/>
    <x v="10"/>
    <x v="0"/>
    <d v="2024-01-30T00:00:00"/>
    <n v="2"/>
    <x v="0"/>
    <x v="11"/>
    <s v="Cape Town"/>
    <s v="Consumer"/>
    <x v="4"/>
    <x v="9"/>
    <x v="6"/>
    <x v="287"/>
    <n v="798.45"/>
    <n v="1592.02"/>
    <s v="High"/>
    <n v="6.6000000000000003E-2"/>
    <n v="18"/>
    <n v="26765.040239999998"/>
    <n v="14372.1"/>
    <n v="12392.940239999998"/>
    <n v="0.46302714768494585"/>
    <x v="1"/>
    <x v="0"/>
    <n v="6.6000000000000003E-2"/>
    <n v="1486.9466799999998"/>
    <n v="878.29500000000007"/>
    <n v="19"/>
    <n v="28251.986919999996"/>
    <n v="11564.381919999994"/>
  </r>
  <r>
    <s v="ORD-2023-369150"/>
    <x v="255"/>
    <x v="10"/>
    <d v="2023-08-10T00:00:00"/>
    <n v="23"/>
    <x v="0"/>
    <x v="11"/>
    <s v="Johannesburg"/>
    <s v="Small Business"/>
    <x v="0"/>
    <x v="4"/>
    <x v="0"/>
    <x v="288"/>
    <n v="1271.56"/>
    <n v="995.47"/>
    <s v="High"/>
    <n v="0.192"/>
    <n v="13"/>
    <n v="10456.416880000001"/>
    <n v="16530.28"/>
    <n v="-6073.8631199999982"/>
    <n v="-0.58087423155607754"/>
    <x v="0"/>
    <x v="0"/>
    <n v="0.192"/>
    <n v="804.33976000000007"/>
    <n v="1398.7160000000001"/>
    <n v="14"/>
    <n v="11260.756640000001"/>
    <n v="-8321.2673600000016"/>
  </r>
  <r>
    <s v="ORD-2025-922513"/>
    <x v="256"/>
    <x v="7"/>
    <d v="2025-09-04T00:00:00"/>
    <n v="7"/>
    <x v="0"/>
    <x v="1"/>
    <s v="Port Harcourt"/>
    <s v="Small Business"/>
    <x v="0"/>
    <x v="8"/>
    <x v="6"/>
    <x v="289"/>
    <n v="521.05999999999995"/>
    <n v="1240.31"/>
    <s v="High"/>
    <n v="0.14599999999999999"/>
    <n v="18"/>
    <n v="19066.045319999997"/>
    <n v="9379.0799999999981"/>
    <n v="9686.9653199999993"/>
    <n v="0.50807417885650974"/>
    <x v="1"/>
    <x v="0"/>
    <n v="0.14599999999999999"/>
    <n v="1059.2247399999999"/>
    <n v="573.16599999999994"/>
    <n v="19"/>
    <n v="20125.270059999999"/>
    <n v="9235.1160599999985"/>
  </r>
  <r>
    <s v="ORD-2025-752845"/>
    <x v="257"/>
    <x v="3"/>
    <d v="2025-04-07T00:00:00"/>
    <n v="8"/>
    <x v="2"/>
    <x v="5"/>
    <s v="São Paulo"/>
    <s v="Non-Profit"/>
    <x v="4"/>
    <x v="4"/>
    <x v="1"/>
    <x v="290"/>
    <n v="71.62"/>
    <n v="118.37"/>
    <s v="High"/>
    <n v="0.156"/>
    <n v="11"/>
    <n v="1098.9470800000001"/>
    <n v="787.82"/>
    <n v="311.12708000000009"/>
    <n v="0.28311379652603474"/>
    <x v="0"/>
    <x v="0"/>
    <n v="0.156"/>
    <n v="99.90428"/>
    <n v="78.782000000000011"/>
    <n v="12"/>
    <n v="1198.8513600000001"/>
    <n v="253.46735999999987"/>
  </r>
  <r>
    <s v="ORD-2023-667815"/>
    <x v="258"/>
    <x v="4"/>
    <d v="2023-11-09T00:00:00"/>
    <n v="19"/>
    <x v="3"/>
    <x v="8"/>
    <s v="London"/>
    <s v="Non-Profit"/>
    <x v="4"/>
    <x v="8"/>
    <x v="6"/>
    <x v="291"/>
    <n v="1142.48"/>
    <n v="2105.5300000000002"/>
    <s v="High"/>
    <n v="0.20699999999999999"/>
    <n v="14"/>
    <n v="23375.594060000003"/>
    <n v="15994.720000000001"/>
    <n v="7380.8740600000019"/>
    <n v="0.31575129346680658"/>
    <x v="0"/>
    <x v="1"/>
    <n v="0.2"/>
    <n v="1684.4240000000002"/>
    <n v="1256.7280000000001"/>
    <n v="15"/>
    <n v="25266.360000000004"/>
    <n v="6415.4400000000023"/>
  </r>
  <r>
    <s v="ORD-2023-375011"/>
    <x v="259"/>
    <x v="10"/>
    <d v="2023-09-22T00:00:00"/>
    <n v="30"/>
    <x v="3"/>
    <x v="8"/>
    <s v="London"/>
    <s v="Consumer"/>
    <x v="3"/>
    <x v="7"/>
    <x v="6"/>
    <x v="292"/>
    <n v="209.81"/>
    <n v="523"/>
    <s v="High"/>
    <n v="5.8999999999999997E-2"/>
    <n v="15"/>
    <n v="7382.1450000000004"/>
    <n v="3147.15"/>
    <n v="4234.9950000000008"/>
    <n v="0.57368082041195356"/>
    <x v="0"/>
    <x v="0"/>
    <n v="5.8999999999999997E-2"/>
    <n v="492.14300000000003"/>
    <n v="230.79100000000003"/>
    <n v="16"/>
    <n v="7874.2880000000005"/>
    <n v="4181.6319999999996"/>
  </r>
  <r>
    <s v="ORD-2025-487025"/>
    <x v="260"/>
    <x v="6"/>
    <d v="2025-05-04T00:00:00"/>
    <n v="23"/>
    <x v="1"/>
    <x v="2"/>
    <s v="Osaka"/>
    <s v="Small Business"/>
    <x v="1"/>
    <x v="12"/>
    <x v="0"/>
    <x v="293"/>
    <n v="786.2"/>
    <n v="1075.3"/>
    <s v="High"/>
    <n v="0.08"/>
    <n v="9"/>
    <n v="8903.4839999999986"/>
    <n v="7075.8"/>
    <n v="1827.6839999999984"/>
    <n v="0.20527739478163815"/>
    <x v="0"/>
    <x v="0"/>
    <n v="0.08"/>
    <n v="989.27599999999995"/>
    <n v="864.82000000000016"/>
    <n v="10"/>
    <n v="9892.76"/>
    <n v="1244.5599999999979"/>
  </r>
  <r>
    <s v="ORD-2025-398335"/>
    <x v="261"/>
    <x v="6"/>
    <d v="2025-06-27T00:00:00"/>
    <n v="26"/>
    <x v="3"/>
    <x v="6"/>
    <s v="Munich"/>
    <s v="Consumer"/>
    <x v="3"/>
    <x v="6"/>
    <x v="4"/>
    <x v="294"/>
    <n v="1362.31"/>
    <n v="3294.57"/>
    <s v="High"/>
    <n v="0.113"/>
    <n v="7"/>
    <n v="20455.985130000001"/>
    <n v="9536.17"/>
    <n v="10919.815130000001"/>
    <n v="0.5338200561157721"/>
    <x v="0"/>
    <x v="0"/>
    <n v="0.113"/>
    <n v="2922.28359"/>
    <n v="1498.5410000000002"/>
    <n v="8"/>
    <n v="23378.26872"/>
    <n v="11389.940719999999"/>
  </r>
  <r>
    <s v="ORD-2024-792137"/>
    <x v="262"/>
    <x v="0"/>
    <d v="2024-03-16T00:00:00"/>
    <n v="14"/>
    <x v="2"/>
    <x v="3"/>
    <s v="Vancouver"/>
    <s v="Non-Profit"/>
    <x v="4"/>
    <x v="7"/>
    <x v="1"/>
    <x v="295"/>
    <n v="248.24"/>
    <n v="464.05"/>
    <s v="High"/>
    <n v="0.16900000000000001"/>
    <n v="11"/>
    <n v="4241.88105"/>
    <n v="2730.6400000000003"/>
    <n v="1511.2410499999996"/>
    <n v="0.3562667203975462"/>
    <x v="0"/>
    <x v="0"/>
    <n v="0.16900000000000001"/>
    <n v="385.62554999999998"/>
    <n v="273.06400000000002"/>
    <n v="12"/>
    <n v="4627.5065999999997"/>
    <n v="1350.7385999999995"/>
  </r>
  <r>
    <s v="ORD-2023-602648"/>
    <x v="263"/>
    <x v="8"/>
    <d v="2023-07-08T00:00:00"/>
    <n v="18"/>
    <x v="2"/>
    <x v="10"/>
    <s v="Austin"/>
    <s v="Non-Profit"/>
    <x v="4"/>
    <x v="9"/>
    <x v="5"/>
    <x v="296"/>
    <n v="337"/>
    <n v="511.03"/>
    <s v="High"/>
    <n v="0.108"/>
    <n v="7"/>
    <n v="3190.8713200000002"/>
    <n v="2359"/>
    <n v="831.8713200000002"/>
    <n v="0.26070349963219458"/>
    <x v="0"/>
    <x v="0"/>
    <n v="0.108"/>
    <n v="455.83875999999998"/>
    <n v="370.70000000000005"/>
    <n v="8"/>
    <n v="3646.7100799999998"/>
    <n v="681.11007999999947"/>
  </r>
  <r>
    <s v="ORD-2024-207096"/>
    <x v="264"/>
    <x v="0"/>
    <d v="2024-04-05T00:00:00"/>
    <n v="10"/>
    <x v="2"/>
    <x v="10"/>
    <s v="Austin"/>
    <s v="Consumer"/>
    <x v="4"/>
    <x v="1"/>
    <x v="5"/>
    <x v="297"/>
    <n v="5.66"/>
    <n v="4.22"/>
    <s v="High"/>
    <n v="0.11899999999999999"/>
    <n v="18"/>
    <n v="66.920760000000001"/>
    <n v="101.88"/>
    <n v="-34.959239999999994"/>
    <n v="-0.52239753403876454"/>
    <x v="0"/>
    <x v="0"/>
    <n v="0.11899999999999999"/>
    <n v="3.7178199999999997"/>
    <n v="6.2260000000000009"/>
    <n v="19"/>
    <n v="70.63857999999999"/>
    <n v="-47.655420000000021"/>
  </r>
  <r>
    <s v="ORD-2025-939953"/>
    <x v="265"/>
    <x v="3"/>
    <d v="2025-01-22T00:00:00"/>
    <n v="0"/>
    <x v="3"/>
    <x v="7"/>
    <s v="Lyon"/>
    <s v="Small Business"/>
    <x v="1"/>
    <x v="5"/>
    <x v="6"/>
    <x v="298"/>
    <n v="591.72"/>
    <n v="577.24"/>
    <s v="High"/>
    <n v="0"/>
    <n v="22"/>
    <n v="12699.28"/>
    <n v="13017.84"/>
    <n v="-318.55999999999949"/>
    <n v="-2.5084886702238195E-2"/>
    <x v="1"/>
    <x v="0"/>
    <n v="0"/>
    <n v="577.24"/>
    <n v="650.89200000000005"/>
    <n v="24"/>
    <n v="13853.76"/>
    <n v="-1767.648000000001"/>
  </r>
  <r>
    <s v="ORD-2025-191328"/>
    <x v="266"/>
    <x v="6"/>
    <d v="2025-05-27T00:00:00"/>
    <n v="17"/>
    <x v="2"/>
    <x v="3"/>
    <s v="Vancouver"/>
    <s v="Education"/>
    <x v="4"/>
    <x v="0"/>
    <x v="0"/>
    <x v="299"/>
    <n v="862.89"/>
    <n v="1426.03"/>
    <s v="High"/>
    <n v="5.6000000000000001E-2"/>
    <n v="19"/>
    <n v="25577.274079999999"/>
    <n v="16394.91"/>
    <n v="9182.3640799999994"/>
    <n v="0.35900479665188778"/>
    <x v="0"/>
    <x v="0"/>
    <n v="5.6000000000000001E-2"/>
    <n v="1346.1723199999999"/>
    <n v="949.17900000000009"/>
    <n v="20"/>
    <n v="26923.446399999997"/>
    <n v="7939.8663999999962"/>
  </r>
  <r>
    <s v="ORD-2023-166668"/>
    <x v="230"/>
    <x v="4"/>
    <d v="2023-10-31T00:00:00"/>
    <n v="26"/>
    <x v="1"/>
    <x v="9"/>
    <s v="Shanghai"/>
    <s v="Consumer"/>
    <x v="5"/>
    <x v="1"/>
    <x v="1"/>
    <x v="300"/>
    <n v="649.91"/>
    <n v="1360.12"/>
    <s v="High"/>
    <n v="0.19400000000000001"/>
    <n v="9"/>
    <n v="9866.3104799999983"/>
    <n v="5849.19"/>
    <n v="4017.1204799999987"/>
    <n v="0.40715528749506769"/>
    <x v="0"/>
    <x v="0"/>
    <n v="0.19400000000000001"/>
    <n v="1096.2567200000001"/>
    <n v="714.90100000000007"/>
    <n v="10"/>
    <n v="10962.567200000001"/>
    <n v="3813.5572000000002"/>
  </r>
  <r>
    <s v="ORD-2023-594700"/>
    <x v="255"/>
    <x v="10"/>
    <d v="2023-07-22T00:00:00"/>
    <n v="4"/>
    <x v="2"/>
    <x v="5"/>
    <s v="São Paulo"/>
    <s v="Consumer"/>
    <x v="4"/>
    <x v="9"/>
    <x v="2"/>
    <x v="301"/>
    <n v="1269.55"/>
    <n v="2071.1"/>
    <s v="High"/>
    <n v="0.129"/>
    <n v="22"/>
    <n v="39686.4182"/>
    <n v="27930.1"/>
    <n v="11756.318200000002"/>
    <n v="0.29623026549672354"/>
    <x v="1"/>
    <x v="0"/>
    <n v="0.129"/>
    <n v="1803.9280999999999"/>
    <n v="1396.5050000000001"/>
    <n v="24"/>
    <n v="43294.274399999995"/>
    <n v="9778.154399999994"/>
  </r>
  <r>
    <s v="ORD-2025-278048"/>
    <x v="267"/>
    <x v="6"/>
    <d v="2025-07-08T00:00:00"/>
    <n v="16"/>
    <x v="3"/>
    <x v="8"/>
    <s v="London"/>
    <s v="Education"/>
    <x v="4"/>
    <x v="8"/>
    <x v="3"/>
    <x v="302"/>
    <n v="892.73"/>
    <n v="979.84"/>
    <s v="High"/>
    <n v="0.17399999999999999"/>
    <n v="10"/>
    <n v="8093.4784"/>
    <n v="8927.2999999999993"/>
    <n v="-833.82159999999931"/>
    <n v="-0.10302388649112838"/>
    <x v="0"/>
    <x v="0"/>
    <n v="0.17399999999999999"/>
    <n v="809.34784000000013"/>
    <n v="982.00300000000004"/>
    <n v="11"/>
    <n v="8902.8262400000021"/>
    <n v="-1899.2067599999991"/>
  </r>
  <r>
    <s v="ORD-2024-878493"/>
    <x v="268"/>
    <x v="5"/>
    <d v="2024-06-20T00:00:00"/>
    <n v="1"/>
    <x v="0"/>
    <x v="0"/>
    <s v="Kisumu"/>
    <s v="Small Business"/>
    <x v="4"/>
    <x v="1"/>
    <x v="4"/>
    <x v="303"/>
    <n v="231.63"/>
    <n v="537.39"/>
    <s v="High"/>
    <n v="0.08"/>
    <n v="12"/>
    <n v="5932.7856000000002"/>
    <n v="2779.56"/>
    <n v="3153.2256000000002"/>
    <n v="0.53149158129024587"/>
    <x v="1"/>
    <x v="0"/>
    <n v="0.08"/>
    <n v="494.39879999999999"/>
    <n v="254.79300000000001"/>
    <n v="13"/>
    <n v="6427.1844000000001"/>
    <n v="3114.8753999999999"/>
  </r>
  <r>
    <s v="ORD-2025-138578"/>
    <x v="69"/>
    <x v="6"/>
    <d v="2025-04-12T00:00:00"/>
    <n v="3"/>
    <x v="3"/>
    <x v="7"/>
    <s v="Lyon"/>
    <s v="Small Business"/>
    <x v="3"/>
    <x v="10"/>
    <x v="5"/>
    <x v="304"/>
    <n v="86.68"/>
    <n v="213.32"/>
    <s v="High"/>
    <n v="3.7999999999999999E-2"/>
    <n v="8"/>
    <n v="1641.7107199999998"/>
    <n v="693.44"/>
    <n v="948.27071999999976"/>
    <n v="0.57761133459614611"/>
    <x v="1"/>
    <x v="0"/>
    <n v="3.7999999999999999E-2"/>
    <n v="205.21383999999998"/>
    <n v="95.348000000000013"/>
    <n v="9"/>
    <n v="1846.9245599999997"/>
    <n v="988.79255999999964"/>
  </r>
  <r>
    <s v="ORD-2025-944081"/>
    <x v="80"/>
    <x v="3"/>
    <d v="2025-03-26T00:00:00"/>
    <n v="1"/>
    <x v="0"/>
    <x v="1"/>
    <s v="Lagos"/>
    <s v="Education"/>
    <x v="3"/>
    <x v="3"/>
    <x v="6"/>
    <x v="305"/>
    <n v="1450.43"/>
    <n v="1994.67"/>
    <s v="High"/>
    <n v="0.1"/>
    <n v="24"/>
    <n v="43084.872000000003"/>
    <n v="34810.32"/>
    <n v="8274.5520000000033"/>
    <n v="0.19205237513529116"/>
    <x v="1"/>
    <x v="0"/>
    <n v="0.1"/>
    <n v="1795.2030000000002"/>
    <n v="1595.4730000000002"/>
    <n v="26"/>
    <n v="46675.278000000006"/>
    <n v="5192.9800000000005"/>
  </r>
  <r>
    <s v="ORD-2025-364852"/>
    <x v="269"/>
    <x v="6"/>
    <d v="2025-06-09T00:00:00"/>
    <n v="22"/>
    <x v="2"/>
    <x v="10"/>
    <s v="New York"/>
    <s v="Consumer"/>
    <x v="0"/>
    <x v="10"/>
    <x v="2"/>
    <x v="306"/>
    <n v="382.96"/>
    <n v="552.84"/>
    <s v="High"/>
    <n v="0.17599999999999999"/>
    <n v="8"/>
    <n v="3644.3212800000006"/>
    <n v="3063.68"/>
    <n v="580.64128000000073"/>
    <n v="0.15932768693763483"/>
    <x v="0"/>
    <x v="0"/>
    <n v="0.17599999999999999"/>
    <n v="455.54016000000007"/>
    <n v="421.25600000000003"/>
    <n v="9"/>
    <n v="4099.8614400000006"/>
    <n v="308.55744000000038"/>
  </r>
  <r>
    <s v="ORD-2025-415018"/>
    <x v="265"/>
    <x v="3"/>
    <d v="2025-02-04T00:00:00"/>
    <n v="13"/>
    <x v="1"/>
    <x v="2"/>
    <s v="Tokyo"/>
    <s v="Small Business"/>
    <x v="3"/>
    <x v="4"/>
    <x v="1"/>
    <x v="307"/>
    <n v="122.29"/>
    <n v="224.95"/>
    <s v="High"/>
    <n v="0.153"/>
    <n v="28"/>
    <n v="5334.9141999999993"/>
    <n v="3424.1200000000003"/>
    <n v="1910.7941999999989"/>
    <n v="0.3581677471026618"/>
    <x v="0"/>
    <x v="0"/>
    <n v="0.153"/>
    <n v="190.53264999999999"/>
    <n v="134.51900000000001"/>
    <n v="30"/>
    <n v="5715.9794999999995"/>
    <n v="1680.4094999999995"/>
  </r>
  <r>
    <s v="ORD-2023-884192"/>
    <x v="270"/>
    <x v="2"/>
    <d v="2023-01-29T00:00:00"/>
    <n v="19"/>
    <x v="3"/>
    <x v="7"/>
    <s v="Lyon"/>
    <s v="Non-Profit"/>
    <x v="4"/>
    <x v="14"/>
    <x v="4"/>
    <x v="308"/>
    <n v="401.66"/>
    <n v="772.09"/>
    <s v="High"/>
    <n v="8.8999999999999996E-2"/>
    <n v="14"/>
    <n v="9847.2358600000007"/>
    <n v="5623.2400000000007"/>
    <n v="4223.99586"/>
    <n v="0.42895244107619046"/>
    <x v="0"/>
    <x v="0"/>
    <n v="8.8999999999999996E-2"/>
    <n v="703.37399000000005"/>
    <n v="441.82600000000008"/>
    <n v="15"/>
    <n v="10550.609850000001"/>
    <n v="3923.2198499999995"/>
  </r>
  <r>
    <s v="ORD-2024-165942"/>
    <x v="271"/>
    <x v="1"/>
    <d v="2025-01-12T00:00:00"/>
    <n v="14"/>
    <x v="3"/>
    <x v="8"/>
    <s v="Manchester"/>
    <s v="Corporate"/>
    <x v="4"/>
    <x v="5"/>
    <x v="5"/>
    <x v="309"/>
    <n v="1399.72"/>
    <n v="3149.21"/>
    <s v="High"/>
    <n v="0.185"/>
    <n v="12"/>
    <n v="30799.273800000003"/>
    <n v="16796.64"/>
    <n v="14002.633800000003"/>
    <n v="0.45464168703873797"/>
    <x v="0"/>
    <x v="0"/>
    <n v="0.185"/>
    <n v="2566.6061500000001"/>
    <n v="1539.6920000000002"/>
    <n v="13"/>
    <n v="33365.879950000002"/>
    <n v="13349.883949999998"/>
  </r>
  <r>
    <s v="ORD-2024-403664"/>
    <x v="154"/>
    <x v="5"/>
    <d v="2024-06-06T00:00:00"/>
    <n v="14"/>
    <x v="2"/>
    <x v="5"/>
    <s v="Rio de Janeiro"/>
    <s v="Non-Profit"/>
    <x v="1"/>
    <x v="2"/>
    <x v="2"/>
    <x v="310"/>
    <n v="51.13"/>
    <n v="57.53"/>
    <s v="High"/>
    <n v="4.4999999999999998E-2"/>
    <n v="16"/>
    <n v="879.05840000000001"/>
    <n v="818.08"/>
    <n v="60.978399999999965"/>
    <n v="6.9367859973808302E-2"/>
    <x v="0"/>
    <x v="0"/>
    <n v="4.4999999999999998E-2"/>
    <n v="54.94115"/>
    <n v="56.243000000000009"/>
    <n v="17"/>
    <n v="933.99955"/>
    <n v="-22.13145000000015"/>
  </r>
  <r>
    <s v="ORD-2023-890605"/>
    <x v="87"/>
    <x v="8"/>
    <d v="2023-07-01T00:00:00"/>
    <n v="7"/>
    <x v="2"/>
    <x v="3"/>
    <s v="Toronto"/>
    <s v="Non-Profit"/>
    <x v="0"/>
    <x v="12"/>
    <x v="6"/>
    <x v="311"/>
    <n v="471.42"/>
    <n v="824.81"/>
    <s v="High"/>
    <n v="8.7999999999999995E-2"/>
    <n v="15"/>
    <n v="11283.400799999999"/>
    <n v="7071.3"/>
    <n v="4212.1007999999993"/>
    <n v="0.37330064531608231"/>
    <x v="1"/>
    <x v="0"/>
    <n v="8.7999999999999995E-2"/>
    <n v="752.22672"/>
    <n v="518.56200000000001"/>
    <n v="16"/>
    <n v="12035.62752"/>
    <n v="3738.6355199999998"/>
  </r>
  <r>
    <s v="ORD-2024-925626"/>
    <x v="272"/>
    <x v="1"/>
    <d v="2024-11-05T00:00:00"/>
    <n v="1"/>
    <x v="3"/>
    <x v="8"/>
    <s v="London"/>
    <s v="Corporate"/>
    <x v="0"/>
    <x v="12"/>
    <x v="1"/>
    <x v="312"/>
    <n v="840.68"/>
    <n v="1493.53"/>
    <s v="High"/>
    <n v="0"/>
    <n v="27"/>
    <n v="40325.31"/>
    <n v="22698.359999999997"/>
    <n v="17626.95"/>
    <n v="0.43711877230454027"/>
    <x v="1"/>
    <x v="0"/>
    <n v="0"/>
    <n v="1493.53"/>
    <n v="924.74800000000005"/>
    <n v="29"/>
    <n v="43312.37"/>
    <n v="16494.677999999996"/>
  </r>
  <r>
    <s v="ORD-2024-427031"/>
    <x v="273"/>
    <x v="5"/>
    <d v="2024-06-24T00:00:00"/>
    <n v="16"/>
    <x v="0"/>
    <x v="11"/>
    <s v="Durban"/>
    <s v="Education"/>
    <x v="3"/>
    <x v="10"/>
    <x v="5"/>
    <x v="313"/>
    <n v="597.85"/>
    <n v="741.92"/>
    <s v="High"/>
    <n v="3.1E-2"/>
    <n v="7"/>
    <n v="5032.4433599999993"/>
    <n v="4184.95"/>
    <n v="847.49335999999948"/>
    <n v="0.16840594108544515"/>
    <x v="0"/>
    <x v="0"/>
    <n v="3.1E-2"/>
    <n v="718.92047999999988"/>
    <n v="657.6350000000001"/>
    <n v="8"/>
    <n v="5751.3638399999991"/>
    <n v="490.28383999999824"/>
  </r>
  <r>
    <s v="ORD-2025-231184"/>
    <x v="261"/>
    <x v="6"/>
    <d v="2025-06-06T00:00:00"/>
    <n v="5"/>
    <x v="3"/>
    <x v="7"/>
    <s v="Paris"/>
    <s v="Consumer"/>
    <x v="3"/>
    <x v="3"/>
    <x v="0"/>
    <x v="314"/>
    <n v="379.45"/>
    <n v="742.23"/>
    <s v="High"/>
    <n v="0.09"/>
    <n v="13"/>
    <n v="8780.5809000000008"/>
    <n v="4932.8499999999995"/>
    <n v="3847.7309000000014"/>
    <n v="0.43820915083192286"/>
    <x v="1"/>
    <x v="0"/>
    <n v="0.09"/>
    <n v="675.42930000000001"/>
    <n v="417.39500000000004"/>
    <n v="14"/>
    <n v="9456.0102000000006"/>
    <n v="3612.4801999999995"/>
  </r>
  <r>
    <s v="ORD-2023-363031"/>
    <x v="274"/>
    <x v="8"/>
    <d v="2023-05-14T00:00:00"/>
    <n v="8"/>
    <x v="1"/>
    <x v="2"/>
    <s v="Osaka"/>
    <s v="Enterprise"/>
    <x v="2"/>
    <x v="5"/>
    <x v="3"/>
    <x v="315"/>
    <n v="291.18"/>
    <n v="479.54"/>
    <s v="High"/>
    <n v="0.14099999999999999"/>
    <n v="22"/>
    <n v="9062.34692"/>
    <n v="6405.96"/>
    <n v="2656.3869199999999"/>
    <n v="0.29312350801066001"/>
    <x v="0"/>
    <x v="0"/>
    <n v="0.14099999999999999"/>
    <n v="411.92486000000002"/>
    <n v="320.29800000000006"/>
    <n v="24"/>
    <n v="9886.1966400000001"/>
    <n v="2199.0446399999992"/>
  </r>
  <r>
    <s v="ORD-2023-619570"/>
    <x v="275"/>
    <x v="4"/>
    <d v="2023-11-30T00:00:00"/>
    <n v="16"/>
    <x v="2"/>
    <x v="5"/>
    <s v="São Paulo"/>
    <s v="Enterprise"/>
    <x v="4"/>
    <x v="11"/>
    <x v="2"/>
    <x v="316"/>
    <n v="1017.92"/>
    <n v="1175.25"/>
    <s v="High"/>
    <n v="7.4999999999999997E-2"/>
    <n v="15"/>
    <n v="16306.59375"/>
    <n v="15268.8"/>
    <n v="1037.7937500000007"/>
    <n v="6.3642583234159542E-2"/>
    <x v="0"/>
    <x v="0"/>
    <n v="7.4999999999999997E-2"/>
    <n v="1087.10625"/>
    <n v="1119.712"/>
    <n v="16"/>
    <n v="17393.7"/>
    <n v="-521.6919999999991"/>
  </r>
  <r>
    <s v="ORD-2025-861401"/>
    <x v="276"/>
    <x v="6"/>
    <d v="2025-04-27T00:00:00"/>
    <n v="26"/>
    <x v="2"/>
    <x v="10"/>
    <s v="San Francisco"/>
    <s v="Corporate"/>
    <x v="4"/>
    <x v="2"/>
    <x v="5"/>
    <x v="317"/>
    <n v="156.55000000000001"/>
    <n v="227.45"/>
    <s v="High"/>
    <n v="1.4E-2"/>
    <n v="13"/>
    <n v="2915.4540999999999"/>
    <n v="2035.15"/>
    <n v="880.30409999999983"/>
    <n v="0.3019440779396938"/>
    <x v="0"/>
    <x v="0"/>
    <n v="1.4E-2"/>
    <n v="224.26569999999998"/>
    <n v="172.20500000000001"/>
    <n v="14"/>
    <n v="3139.7197999999999"/>
    <n v="728.8497999999995"/>
  </r>
  <r>
    <s v="ORD-2023-835010"/>
    <x v="277"/>
    <x v="2"/>
    <d v="2023-04-15T00:00:00"/>
    <n v="23"/>
    <x v="0"/>
    <x v="0"/>
    <s v="Mombasa"/>
    <s v="Small Business"/>
    <x v="0"/>
    <x v="0"/>
    <x v="6"/>
    <x v="318"/>
    <n v="875.36"/>
    <n v="1178.6199999999999"/>
    <s v="High"/>
    <n v="0.151"/>
    <n v="53"/>
    <n v="53034.364139999991"/>
    <n v="46394.080000000002"/>
    <n v="6640.2841399999888"/>
    <n v="0.12520719815685888"/>
    <x v="0"/>
    <x v="0"/>
    <n v="0.151"/>
    <n v="1000.6483799999999"/>
    <n v="962.89600000000007"/>
    <n v="56"/>
    <n v="56036.309279999994"/>
    <n v="2114.1332799999882"/>
  </r>
  <r>
    <s v="ORD-2024-819979"/>
    <x v="91"/>
    <x v="5"/>
    <d v="2024-06-18T00:00:00"/>
    <n v="21"/>
    <x v="3"/>
    <x v="6"/>
    <s v="Frankfurt"/>
    <s v="Small Business"/>
    <x v="1"/>
    <x v="6"/>
    <x v="3"/>
    <x v="319"/>
    <n v="986.85"/>
    <n v="2422.1"/>
    <s v="High"/>
    <n v="7.5999999999999998E-2"/>
    <n v="10"/>
    <n v="22380.204000000002"/>
    <n v="9868.5"/>
    <n v="12511.704000000002"/>
    <n v="0.55905227673527913"/>
    <x v="0"/>
    <x v="0"/>
    <n v="7.5999999999999998E-2"/>
    <n v="2238.0203999999999"/>
    <n v="1085.5350000000001"/>
    <n v="11"/>
    <n v="24618.224399999999"/>
    <n v="12677.339399999997"/>
  </r>
  <r>
    <s v="ORD-2024-719055"/>
    <x v="278"/>
    <x v="0"/>
    <d v="2024-01-09T00:00:00"/>
    <n v="7"/>
    <x v="2"/>
    <x v="10"/>
    <s v="Chicago"/>
    <s v="Education"/>
    <x v="2"/>
    <x v="5"/>
    <x v="2"/>
    <x v="320"/>
    <n v="404.77"/>
    <n v="433.88"/>
    <s v="High"/>
    <n v="0.215"/>
    <n v="22"/>
    <n v="7493.1076000000012"/>
    <n v="8904.9399999999987"/>
    <n v="-1411.8323999999975"/>
    <n v="-0.18841747314558746"/>
    <x v="1"/>
    <x v="1"/>
    <n v="0.2"/>
    <n v="347.10400000000004"/>
    <n v="445.24700000000001"/>
    <n v="24"/>
    <n v="8330.496000000001"/>
    <n v="-2355.4319999999993"/>
  </r>
  <r>
    <s v="ORD-2023-888245"/>
    <x v="2"/>
    <x v="2"/>
    <d v="2023-03-07T00:00:00"/>
    <n v="7"/>
    <x v="3"/>
    <x v="7"/>
    <s v="Marseille"/>
    <s v="Corporate"/>
    <x v="0"/>
    <x v="11"/>
    <x v="2"/>
    <x v="321"/>
    <n v="1299.81"/>
    <n v="3149.13"/>
    <s v="High"/>
    <n v="0.10299999999999999"/>
    <n v="14"/>
    <n v="39546.774539999999"/>
    <n v="18197.34"/>
    <n v="21349.434539999998"/>
    <n v="0.53985273864511729"/>
    <x v="1"/>
    <x v="0"/>
    <n v="0.10299999999999999"/>
    <n v="2824.7696100000003"/>
    <n v="1429.7910000000002"/>
    <n v="15"/>
    <n v="42371.544150000002"/>
    <n v="20924.679150000004"/>
  </r>
  <r>
    <s v="ORD-2024-206121"/>
    <x v="142"/>
    <x v="0"/>
    <d v="2024-03-11T00:00:00"/>
    <n v="22"/>
    <x v="2"/>
    <x v="5"/>
    <s v="São Paulo"/>
    <s v="Consumer"/>
    <x v="1"/>
    <x v="8"/>
    <x v="0"/>
    <x v="322"/>
    <n v="80.48"/>
    <n v="65.650000000000006"/>
    <s v="High"/>
    <n v="0.17599999999999999"/>
    <n v="13"/>
    <n v="703.2428000000001"/>
    <n v="1046.24"/>
    <n v="-342.99719999999991"/>
    <n v="-0.48773652570634191"/>
    <x v="0"/>
    <x v="0"/>
    <n v="0.17599999999999999"/>
    <n v="54.095600000000012"/>
    <n v="88.528000000000006"/>
    <n v="14"/>
    <n v="757.33840000000021"/>
    <n v="-482.0535999999999"/>
  </r>
  <r>
    <s v="ORD-2024-500890"/>
    <x v="190"/>
    <x v="9"/>
    <d v="2024-10-08T00:00:00"/>
    <n v="29"/>
    <x v="2"/>
    <x v="5"/>
    <s v="São Paulo"/>
    <s v="Education"/>
    <x v="4"/>
    <x v="1"/>
    <x v="0"/>
    <x v="323"/>
    <n v="1010.33"/>
    <n v="2492.14"/>
    <s v="High"/>
    <n v="5.0999999999999997E-2"/>
    <n v="11"/>
    <n v="26015.449459999996"/>
    <n v="11113.630000000001"/>
    <n v="14901.819459999995"/>
    <n v="0.57280653493656752"/>
    <x v="0"/>
    <x v="0"/>
    <n v="5.0999999999999997E-2"/>
    <n v="2365.0408599999996"/>
    <n v="1111.3630000000001"/>
    <n v="12"/>
    <n v="28380.490319999997"/>
    <n v="15044.134319999994"/>
  </r>
  <r>
    <s v="ORD-2023-144816"/>
    <x v="238"/>
    <x v="8"/>
    <d v="2023-05-29T00:00:00"/>
    <n v="22"/>
    <x v="0"/>
    <x v="11"/>
    <s v="Durban"/>
    <s v="Education"/>
    <x v="3"/>
    <x v="11"/>
    <x v="6"/>
    <x v="324"/>
    <n v="653.86"/>
    <n v="931.84"/>
    <s v="High"/>
    <n v="0.121"/>
    <n v="12"/>
    <n v="9829.0483199999999"/>
    <n v="7846.32"/>
    <n v="1982.7283200000002"/>
    <n v="0.20172129136506273"/>
    <x v="0"/>
    <x v="0"/>
    <n v="0.121"/>
    <n v="819.08735999999999"/>
    <n v="719.24600000000009"/>
    <n v="13"/>
    <n v="10648.135679999999"/>
    <n v="1297.9376799999986"/>
  </r>
  <r>
    <s v="ORD-2024-153053"/>
    <x v="181"/>
    <x v="0"/>
    <d v="2024-01-29T00:00:00"/>
    <n v="17"/>
    <x v="1"/>
    <x v="4"/>
    <s v="Hyderabad"/>
    <s v="Small Business"/>
    <x v="4"/>
    <x v="5"/>
    <x v="0"/>
    <x v="325"/>
    <n v="310.02"/>
    <n v="619.51"/>
    <s v="High"/>
    <n v="4.2000000000000003E-2"/>
    <n v="4"/>
    <n v="2373.9623200000001"/>
    <n v="1240.08"/>
    <n v="1133.8823200000002"/>
    <n v="0.47763282106347843"/>
    <x v="0"/>
    <x v="0"/>
    <n v="4.2000000000000003E-2"/>
    <n v="593.49058000000002"/>
    <n v="341.02199999999999"/>
    <n v="5"/>
    <n v="2967.4529000000002"/>
    <n v="1262.3429000000001"/>
  </r>
  <r>
    <s v="ORD-2023-536542"/>
    <x v="279"/>
    <x v="8"/>
    <d v="2023-06-18T00:00:00"/>
    <n v="8"/>
    <x v="0"/>
    <x v="0"/>
    <s v="Nakuru"/>
    <s v="Enterprise"/>
    <x v="4"/>
    <x v="10"/>
    <x v="3"/>
    <x v="326"/>
    <n v="894.23"/>
    <n v="1421.55"/>
    <s v="High"/>
    <n v="0.109"/>
    <n v="3"/>
    <n v="3799.8031499999997"/>
    <n v="2682.69"/>
    <n v="1117.1131499999997"/>
    <n v="0.29399237431549574"/>
    <x v="0"/>
    <x v="0"/>
    <n v="0.109"/>
    <n v="1266.60105"/>
    <n v="983.65300000000013"/>
    <n v="4"/>
    <n v="5066.4041999999999"/>
    <n v="1131.7921999999994"/>
  </r>
  <r>
    <s v="ORD-2025-779530"/>
    <x v="280"/>
    <x v="6"/>
    <d v="2025-05-26T00:00:00"/>
    <n v="7"/>
    <x v="2"/>
    <x v="5"/>
    <s v="São Paulo"/>
    <s v="Small Business"/>
    <x v="3"/>
    <x v="4"/>
    <x v="5"/>
    <x v="327"/>
    <n v="383.77"/>
    <n v="952.56"/>
    <s v="High"/>
    <n v="0.3"/>
    <n v="10"/>
    <n v="6667.9199999999983"/>
    <n v="3837.7"/>
    <n v="2830.2199999999984"/>
    <n v="0.42445320279787385"/>
    <x v="1"/>
    <x v="1"/>
    <n v="0.2"/>
    <n v="762.048"/>
    <n v="422.14699999999999"/>
    <n v="11"/>
    <n v="8382.5280000000002"/>
    <n v="3738.9110000000001"/>
  </r>
  <r>
    <s v="ORD-2023-163610"/>
    <x v="281"/>
    <x v="4"/>
    <d v="2023-11-16T00:00:00"/>
    <n v="25"/>
    <x v="2"/>
    <x v="3"/>
    <s v="Toronto"/>
    <s v="Small Business"/>
    <x v="2"/>
    <x v="2"/>
    <x v="4"/>
    <x v="328"/>
    <n v="1373.31"/>
    <n v="3154.14"/>
    <s v="High"/>
    <n v="0.2"/>
    <n v="11"/>
    <n v="27756.432000000001"/>
    <n v="15106.41"/>
    <n v="12650.022000000001"/>
    <n v="0.45575101295440279"/>
    <x v="0"/>
    <x v="0"/>
    <n v="0.2"/>
    <n v="2523.3119999999999"/>
    <n v="1510.6410000000001"/>
    <n v="12"/>
    <n v="30279.743999999999"/>
    <n v="12152.051999999998"/>
  </r>
  <r>
    <s v="ORD-2025-653781"/>
    <x v="282"/>
    <x v="3"/>
    <d v="2025-01-23T00:00:00"/>
    <n v="12"/>
    <x v="2"/>
    <x v="10"/>
    <s v="Austin"/>
    <s v="Consumer"/>
    <x v="3"/>
    <x v="10"/>
    <x v="3"/>
    <x v="329"/>
    <n v="100.69"/>
    <n v="226.14"/>
    <s v="High"/>
    <n v="6.5000000000000002E-2"/>
    <n v="12"/>
    <n v="2537.2908000000002"/>
    <n v="1208.28"/>
    <n v="1329.0108000000002"/>
    <n v="0.52379128162999689"/>
    <x v="0"/>
    <x v="0"/>
    <n v="6.5000000000000002E-2"/>
    <n v="211.4409"/>
    <n v="110.759"/>
    <n v="13"/>
    <n v="2748.7316999999998"/>
    <n v="1308.8647000000001"/>
  </r>
  <r>
    <s v="ORD-2025-737787"/>
    <x v="283"/>
    <x v="7"/>
    <d v="2025-09-26T00:00:00"/>
    <n v="12"/>
    <x v="3"/>
    <x v="8"/>
    <s v="London"/>
    <s v="Small Business"/>
    <x v="4"/>
    <x v="13"/>
    <x v="2"/>
    <x v="330"/>
    <n v="425.15"/>
    <n v="885.92"/>
    <s v="High"/>
    <n v="0.23899999999999999"/>
    <n v="13"/>
    <n v="8764.4065599999994"/>
    <n v="5526.95"/>
    <n v="3237.4565599999996"/>
    <n v="0.3693868532725848"/>
    <x v="0"/>
    <x v="1"/>
    <n v="0.2"/>
    <n v="708.73599999999999"/>
    <n v="467.66500000000002"/>
    <n v="14"/>
    <n v="9922.3040000000001"/>
    <n v="3374.9939999999997"/>
  </r>
  <r>
    <s v="ORD-2023-944052"/>
    <x v="52"/>
    <x v="10"/>
    <d v="2023-09-03T00:00:00"/>
    <n v="4"/>
    <x v="1"/>
    <x v="4"/>
    <s v="Delhi"/>
    <s v="Small Business"/>
    <x v="2"/>
    <x v="4"/>
    <x v="6"/>
    <x v="331"/>
    <n v="1082.25"/>
    <n v="2433.34"/>
    <s v="High"/>
    <n v="0.27"/>
    <n v="4"/>
    <n v="7105.3528000000006"/>
    <n v="4329"/>
    <n v="2776.3528000000006"/>
    <n v="0.3907410199251472"/>
    <x v="1"/>
    <x v="1"/>
    <n v="0.2"/>
    <n v="1946.6720000000003"/>
    <n v="1190.4750000000001"/>
    <n v="5"/>
    <n v="9733.36"/>
    <n v="3780.9850000000006"/>
  </r>
  <r>
    <s v="ORD-2023-181257"/>
    <x v="284"/>
    <x v="4"/>
    <d v="2023-12-06T00:00:00"/>
    <n v="21"/>
    <x v="3"/>
    <x v="8"/>
    <s v="Manchester"/>
    <s v="Education"/>
    <x v="4"/>
    <x v="10"/>
    <x v="6"/>
    <x v="332"/>
    <n v="1184.99"/>
    <n v="1154.3399999999999"/>
    <s v="High"/>
    <n v="2.8000000000000001E-2"/>
    <n v="5"/>
    <n v="5610.0923999999995"/>
    <n v="5924.95"/>
    <n v="-314.85760000000028"/>
    <n v="-5.6123424990290764E-2"/>
    <x v="0"/>
    <x v="0"/>
    <n v="2.8000000000000001E-2"/>
    <n v="1122.01848"/>
    <n v="1303.489"/>
    <n v="6"/>
    <n v="6732.1108800000002"/>
    <n v="-1088.8231200000005"/>
  </r>
  <r>
    <s v="ORD-2025-323492"/>
    <x v="60"/>
    <x v="6"/>
    <d v="2025-05-27T00:00:00"/>
    <n v="30"/>
    <x v="1"/>
    <x v="4"/>
    <s v="Unknown"/>
    <s v="Enterprise"/>
    <x v="2"/>
    <x v="10"/>
    <x v="3"/>
    <x v="333"/>
    <n v="481.32"/>
    <n v="1135.99"/>
    <s v="High"/>
    <n v="0.14499999999999999"/>
    <n v="5"/>
    <n v="4856.35725"/>
    <n v="2406.6"/>
    <n v="2449.7572500000001"/>
    <n v="0.50444337677175621"/>
    <x v="0"/>
    <x v="0"/>
    <n v="0.14499999999999999"/>
    <n v="971.27144999999996"/>
    <n v="529.452"/>
    <n v="6"/>
    <n v="5827.6286999999993"/>
    <n v="2650.9166999999998"/>
  </r>
  <r>
    <s v="ORD-2024-332076"/>
    <x v="285"/>
    <x v="5"/>
    <d v="2024-04-18T00:00:00"/>
    <n v="9"/>
    <x v="3"/>
    <x v="7"/>
    <s v="Lyon"/>
    <s v="Consumer"/>
    <x v="1"/>
    <x v="6"/>
    <x v="1"/>
    <x v="334"/>
    <n v="1288.8499999999999"/>
    <n v="2751.84"/>
    <s v="High"/>
    <n v="0.158"/>
    <n v="7"/>
    <n v="16219.34496"/>
    <n v="9021.9499999999989"/>
    <n v="7197.3949600000014"/>
    <n v="0.44375373837538756"/>
    <x v="0"/>
    <x v="0"/>
    <n v="0.158"/>
    <n v="2317.0492800000002"/>
    <n v="1417.7350000000001"/>
    <n v="8"/>
    <n v="18536.394240000001"/>
    <n v="7194.5142400000004"/>
  </r>
  <r>
    <s v="ORD-2024-571797"/>
    <x v="286"/>
    <x v="9"/>
    <d v="2024-07-31T00:00:00"/>
    <n v="20"/>
    <x v="1"/>
    <x v="9"/>
    <s v="Shenzhen"/>
    <s v="Consumer"/>
    <x v="1"/>
    <x v="3"/>
    <x v="3"/>
    <x v="335"/>
    <n v="647.26"/>
    <n v="1374.72"/>
    <s v="High"/>
    <n v="6.6000000000000003E-2"/>
    <n v="22"/>
    <n v="28247.74656"/>
    <n v="14239.72"/>
    <n v="14008.02656"/>
    <n v="0.49589890401508901"/>
    <x v="0"/>
    <x v="0"/>
    <n v="6.6000000000000003E-2"/>
    <n v="1283.98848"/>
    <n v="711.9860000000001"/>
    <n v="24"/>
    <n v="30815.72352"/>
    <n v="13728.059519999997"/>
  </r>
  <r>
    <s v="ORD-2024-129345"/>
    <x v="142"/>
    <x v="0"/>
    <d v="2024-03-03T00:00:00"/>
    <n v="14"/>
    <x v="2"/>
    <x v="5"/>
    <s v="Unknown"/>
    <s v="Enterprise"/>
    <x v="3"/>
    <x v="8"/>
    <x v="1"/>
    <x v="336"/>
    <n v="624.23"/>
    <n v="1318.37"/>
    <s v="High"/>
    <n v="0.21"/>
    <n v="37"/>
    <n v="38535.955099999999"/>
    <n v="23096.510000000002"/>
    <n v="15439.445099999997"/>
    <n v="0.40065038118128793"/>
    <x v="0"/>
    <x v="1"/>
    <n v="0.2"/>
    <n v="1054.6959999999999"/>
    <n v="686.65300000000002"/>
    <n v="39"/>
    <n v="41133.144"/>
    <n v="14353.676999999996"/>
  </r>
  <r>
    <s v="ORD-2023-660608"/>
    <x v="287"/>
    <x v="10"/>
    <d v="2023-08-10T00:00:00"/>
    <n v="16"/>
    <x v="0"/>
    <x v="1"/>
    <s v="Port Harcourt"/>
    <s v="Corporate"/>
    <x v="3"/>
    <x v="2"/>
    <x v="6"/>
    <x v="337"/>
    <n v="506.83"/>
    <n v="441.74"/>
    <s v="High"/>
    <n v="0.24"/>
    <n v="9"/>
    <n v="3021.5016000000001"/>
    <n v="4561.47"/>
    <n v="-1539.9684000000002"/>
    <n v="-0.50966989393618067"/>
    <x v="0"/>
    <x v="1"/>
    <n v="0.2"/>
    <n v="353.39200000000005"/>
    <n v="557.51300000000003"/>
    <n v="10"/>
    <n v="3533.9200000000005"/>
    <n v="-2041.2099999999998"/>
  </r>
  <r>
    <s v="ORD-2023-825084"/>
    <x v="288"/>
    <x v="10"/>
    <d v="2023-07-21T00:00:00"/>
    <n v="7"/>
    <x v="0"/>
    <x v="11"/>
    <s v="Durban"/>
    <s v="Enterprise"/>
    <x v="2"/>
    <x v="15"/>
    <x v="5"/>
    <x v="338"/>
    <n v="620.74"/>
    <n v="1330.07"/>
    <s v="High"/>
    <n v="0.29899999999999999"/>
    <n v="28"/>
    <n v="26106.613960000002"/>
    <n v="17380.72"/>
    <n v="8725.8939600000012"/>
    <n v="0.33424073965967516"/>
    <x v="1"/>
    <x v="1"/>
    <n v="0.2"/>
    <n v="1064.056"/>
    <n v="682.81400000000008"/>
    <n v="30"/>
    <n v="31921.68"/>
    <n v="11437.259999999998"/>
  </r>
  <r>
    <s v="ORD-2023-261081"/>
    <x v="244"/>
    <x v="10"/>
    <d v="2023-08-19T00:00:00"/>
    <n v="26"/>
    <x v="0"/>
    <x v="0"/>
    <s v="Nairobi"/>
    <s v="Enterprise"/>
    <x v="3"/>
    <x v="12"/>
    <x v="6"/>
    <x v="339"/>
    <n v="661.45"/>
    <n v="1634.86"/>
    <s v="High"/>
    <n v="0.3"/>
    <n v="24"/>
    <n v="27465.647999999997"/>
    <n v="15874.800000000001"/>
    <n v="11590.847999999996"/>
    <n v="0.42201254454291404"/>
    <x v="0"/>
    <x v="1"/>
    <n v="0.2"/>
    <n v="1307.8879999999999"/>
    <n v="727.59500000000014"/>
    <n v="26"/>
    <n v="34005.087999999996"/>
    <n v="15087.617999999995"/>
  </r>
  <r>
    <s v="ORD-2023-766015"/>
    <x v="289"/>
    <x v="8"/>
    <d v="2023-04-20T00:00:00"/>
    <n v="7"/>
    <x v="2"/>
    <x v="10"/>
    <s v="San Francisco"/>
    <s v="Education"/>
    <x v="2"/>
    <x v="3"/>
    <x v="2"/>
    <x v="340"/>
    <n v="32.1"/>
    <n v="70.599999999999994"/>
    <s v="High"/>
    <n v="0.28199999999999997"/>
    <n v="22"/>
    <n v="1115.1975999999997"/>
    <n v="706.2"/>
    <n v="408.99759999999969"/>
    <n v="0.36674899587301818"/>
    <x v="1"/>
    <x v="1"/>
    <n v="0.2"/>
    <n v="56.48"/>
    <n v="35.31"/>
    <n v="24"/>
    <n v="1355.52"/>
    <n v="508.07999999999987"/>
  </r>
  <r>
    <s v="ORD-2024-333192"/>
    <x v="290"/>
    <x v="1"/>
    <d v="2024-11-04T00:00:00"/>
    <n v="6"/>
    <x v="0"/>
    <x v="0"/>
    <s v="Nairobi"/>
    <s v="Corporate"/>
    <x v="3"/>
    <x v="12"/>
    <x v="1"/>
    <x v="341"/>
    <n v="805.81"/>
    <n v="1823.04"/>
    <s v="High"/>
    <n v="0"/>
    <n v="11"/>
    <n v="20053.439999999999"/>
    <n v="8863.91"/>
    <n v="11189.529999999999"/>
    <n v="0.55798556257679477"/>
    <x v="1"/>
    <x v="0"/>
    <n v="0"/>
    <n v="1823.04"/>
    <n v="886.39099999999996"/>
    <n v="12"/>
    <n v="21876.48"/>
    <n v="11239.788"/>
  </r>
  <r>
    <s v="ORD-2024-647473"/>
    <x v="291"/>
    <x v="0"/>
    <d v="2024-03-04T00:00:00"/>
    <n v="16"/>
    <x v="1"/>
    <x v="4"/>
    <s v="Delhi"/>
    <s v="Small Business"/>
    <x v="2"/>
    <x v="9"/>
    <x v="3"/>
    <x v="342"/>
    <n v="1231.8"/>
    <n v="2015.99"/>
    <s v="High"/>
    <n v="0.26100000000000001"/>
    <n v="6"/>
    <n v="8938.8996600000009"/>
    <n v="7390.7999999999993"/>
    <n v="1548.0996600000017"/>
    <n v="0.17318682599464391"/>
    <x v="0"/>
    <x v="1"/>
    <n v="0.2"/>
    <n v="1612.7920000000001"/>
    <n v="1354.98"/>
    <n v="7"/>
    <n v="11289.544000000002"/>
    <n v="1804.6840000000009"/>
  </r>
  <r>
    <s v="ORD-2024-892908"/>
    <x v="292"/>
    <x v="9"/>
    <d v="2024-07-20T00:00:00"/>
    <n v="7"/>
    <x v="1"/>
    <x v="2"/>
    <s v="Nagoya"/>
    <s v="Small Business"/>
    <x v="2"/>
    <x v="9"/>
    <x v="2"/>
    <x v="343"/>
    <n v="105.13"/>
    <n v="244.13"/>
    <s v="High"/>
    <n v="7.0999999999999994E-2"/>
    <n v="14"/>
    <n v="3175.1547799999998"/>
    <n v="1471.82"/>
    <n v="1703.3347799999999"/>
    <n v="0.53645724319618837"/>
    <x v="1"/>
    <x v="0"/>
    <n v="7.0999999999999994E-2"/>
    <n v="226.79677000000001"/>
    <n v="115.643"/>
    <n v="15"/>
    <n v="3401.9515500000002"/>
    <n v="1667.3065500000002"/>
  </r>
  <r>
    <s v="ORD-2023-573146"/>
    <x v="293"/>
    <x v="4"/>
    <d v="2023-12-18T00:00:00"/>
    <n v="17"/>
    <x v="1"/>
    <x v="2"/>
    <s v="Nagoya"/>
    <s v="Small Business"/>
    <x v="4"/>
    <x v="13"/>
    <x v="4"/>
    <x v="344"/>
    <n v="1495.79"/>
    <n v="2783.12"/>
    <s v="High"/>
    <n v="0.02"/>
    <n v="5"/>
    <n v="13637.287999999999"/>
    <n v="7478.95"/>
    <n v="6158.3379999999988"/>
    <n v="0.45158084217331185"/>
    <x v="0"/>
    <x v="0"/>
    <n v="0.02"/>
    <n v="2727.4575999999997"/>
    <n v="1645.3690000000001"/>
    <n v="6"/>
    <n v="16364.745599999998"/>
    <n v="6492.5315999999975"/>
  </r>
  <r>
    <s v="ORD-2024-901115"/>
    <x v="19"/>
    <x v="9"/>
    <d v="2024-08-02T00:00:00"/>
    <n v="8"/>
    <x v="2"/>
    <x v="3"/>
    <s v="Montreal"/>
    <s v="Consumer"/>
    <x v="4"/>
    <x v="1"/>
    <x v="6"/>
    <x v="345"/>
    <n v="986.81"/>
    <n v="2050.31"/>
    <s v="High"/>
    <n v="0.10299999999999999"/>
    <n v="43"/>
    <n v="79082.507010000001"/>
    <n v="42432.829999999994"/>
    <n v="36649.677010000007"/>
    <n v="0.46343595310358138"/>
    <x v="0"/>
    <x v="0"/>
    <n v="0.10299999999999999"/>
    <n v="1839.12807"/>
    <n v="1085.491"/>
    <n v="46"/>
    <n v="84599.891220000005"/>
    <n v="34667.305220000002"/>
  </r>
  <r>
    <s v="ORD-2023-898009"/>
    <x v="176"/>
    <x v="8"/>
    <d v="2023-05-16T00:00:00"/>
    <n v="12"/>
    <x v="0"/>
    <x v="1"/>
    <s v="Abuja"/>
    <s v="Small Business"/>
    <x v="2"/>
    <x v="1"/>
    <x v="3"/>
    <x v="346"/>
    <n v="77.739999999999995"/>
    <n v="147.12"/>
    <s v="High"/>
    <n v="0"/>
    <n v="15"/>
    <n v="2206.8000000000002"/>
    <n v="1166.0999999999999"/>
    <n v="1040.7000000000003"/>
    <n v="0.47158781946710177"/>
    <x v="0"/>
    <x v="0"/>
    <n v="0"/>
    <n v="147.12"/>
    <n v="85.513999999999996"/>
    <n v="16"/>
    <n v="2353.92"/>
    <n v="985.69600000000014"/>
  </r>
  <r>
    <s v="ORD-2023-208944"/>
    <x v="294"/>
    <x v="4"/>
    <d v="2024-01-06T00:00:00"/>
    <n v="16"/>
    <x v="0"/>
    <x v="1"/>
    <s v="Unknown"/>
    <s v="Corporate"/>
    <x v="2"/>
    <x v="11"/>
    <x v="0"/>
    <x v="347"/>
    <n v="932.61"/>
    <n v="1982.98"/>
    <s v="High"/>
    <n v="0.14399999999999999"/>
    <n v="16"/>
    <n v="27158.894079999998"/>
    <n v="14921.76"/>
    <n v="12237.134079999998"/>
    <n v="0.45057556629345635"/>
    <x v="0"/>
    <x v="0"/>
    <n v="0.14399999999999999"/>
    <n v="1697.4308799999999"/>
    <n v="1025.8710000000001"/>
    <n v="17"/>
    <n v="28856.324959999998"/>
    <n v="11416.517959999997"/>
  </r>
  <r>
    <s v="ORD-2025-480172"/>
    <x v="295"/>
    <x v="6"/>
    <d v="2025-07-05T00:00:00"/>
    <n v="18"/>
    <x v="1"/>
    <x v="4"/>
    <s v="Delhi"/>
    <s v="Consumer"/>
    <x v="2"/>
    <x v="4"/>
    <x v="4"/>
    <x v="348"/>
    <n v="982.93"/>
    <n v="2299.3000000000002"/>
    <s v="High"/>
    <n v="0.113"/>
    <n v="6"/>
    <n v="12236.874600000001"/>
    <n v="5897.58"/>
    <n v="6339.2946000000011"/>
    <n v="0.51804850562087157"/>
    <x v="0"/>
    <x v="0"/>
    <n v="0.113"/>
    <n v="2039.4791000000002"/>
    <n v="1081.223"/>
    <n v="7"/>
    <n v="14276.353700000001"/>
    <n v="6707.7927000000018"/>
  </r>
  <r>
    <s v="ORD-2023-735274"/>
    <x v="29"/>
    <x v="2"/>
    <d v="2023-03-08T00:00:00"/>
    <n v="13"/>
    <x v="3"/>
    <x v="8"/>
    <s v="Manchester"/>
    <s v="Small Business"/>
    <x v="4"/>
    <x v="0"/>
    <x v="1"/>
    <x v="349"/>
    <n v="307.37"/>
    <n v="462.61"/>
    <s v="High"/>
    <n v="0.188"/>
    <n v="11"/>
    <n v="4132.0325200000007"/>
    <n v="3381.07"/>
    <n v="750.9625200000005"/>
    <n v="0.18174167709599739"/>
    <x v="0"/>
    <x v="0"/>
    <n v="0.188"/>
    <n v="375.63932000000005"/>
    <n v="338.10700000000003"/>
    <n v="12"/>
    <n v="4507.6718400000009"/>
    <n v="450.38784000000032"/>
  </r>
  <r>
    <s v="ORD-2023-212701"/>
    <x v="296"/>
    <x v="4"/>
    <d v="2023-12-16T00:00:00"/>
    <n v="14"/>
    <x v="3"/>
    <x v="6"/>
    <s v="Frankfurt"/>
    <s v="Education"/>
    <x v="4"/>
    <x v="13"/>
    <x v="5"/>
    <x v="350"/>
    <n v="879.08"/>
    <n v="1093.3900000000001"/>
    <s v="High"/>
    <n v="0.113"/>
    <n v="17"/>
    <n v="16487.22781"/>
    <n v="14944.36"/>
    <n v="1542.8678099999997"/>
    <n v="9.3579577341935186E-2"/>
    <x v="0"/>
    <x v="0"/>
    <n v="0.113"/>
    <n v="969.83693000000005"/>
    <n v="966.98800000000017"/>
    <n v="18"/>
    <n v="17457.064740000002"/>
    <n v="51.280739999997877"/>
  </r>
  <r>
    <s v="ORD-2023-479747"/>
    <x v="288"/>
    <x v="10"/>
    <d v="2023-07-14T00:00:00"/>
    <n v="0"/>
    <x v="0"/>
    <x v="1"/>
    <s v="Lagos"/>
    <s v="Education"/>
    <x v="0"/>
    <x v="2"/>
    <x v="6"/>
    <x v="351"/>
    <n v="956.38"/>
    <n v="1454.22"/>
    <s v="High"/>
    <n v="3.9E-2"/>
    <n v="19"/>
    <n v="26552.60298"/>
    <n v="18171.22"/>
    <n v="8381.3829799999985"/>
    <n v="0.31565202802576603"/>
    <x v="1"/>
    <x v="0"/>
    <n v="3.9E-2"/>
    <n v="1397.50542"/>
    <n v="1052.018"/>
    <n v="20"/>
    <n v="27950.108399999997"/>
    <n v="6909.7483999999986"/>
  </r>
  <r>
    <s v="ORD-2024-915495"/>
    <x v="297"/>
    <x v="9"/>
    <d v="2024-08-20T00:00:00"/>
    <n v="12"/>
    <x v="1"/>
    <x v="2"/>
    <s v="Osaka"/>
    <s v="Small Business"/>
    <x v="0"/>
    <x v="10"/>
    <x v="2"/>
    <x v="352"/>
    <n v="1233.3599999999999"/>
    <n v="2120.4"/>
    <s v="High"/>
    <n v="0.17899999999999999"/>
    <n v="20"/>
    <n v="34816.968000000001"/>
    <n v="24667.199999999997"/>
    <n v="10149.768000000004"/>
    <n v="0.29151785991244278"/>
    <x v="0"/>
    <x v="0"/>
    <n v="0.17899999999999999"/>
    <n v="1740.8484000000001"/>
    <n v="1356.6959999999999"/>
    <n v="21"/>
    <n v="36557.816400000003"/>
    <n v="8067.2004000000034"/>
  </r>
  <r>
    <s v="ORD-2024-225829"/>
    <x v="298"/>
    <x v="1"/>
    <d v="2024-11-26T00:00:00"/>
    <n v="19"/>
    <x v="2"/>
    <x v="5"/>
    <s v="Rio de Janeiro"/>
    <s v="Non-Profit"/>
    <x v="3"/>
    <x v="1"/>
    <x v="1"/>
    <x v="353"/>
    <n v="55.35"/>
    <n v="128.68"/>
    <s v="High"/>
    <n v="0.128"/>
    <n v="10"/>
    <n v="1122.0896000000002"/>
    <n v="553.5"/>
    <n v="568.58960000000025"/>
    <n v="0.50672388372550647"/>
    <x v="0"/>
    <x v="0"/>
    <n v="0.128"/>
    <n v="112.20896"/>
    <n v="60.885000000000005"/>
    <n v="11"/>
    <n v="1234.29856"/>
    <n v="564.56356000000005"/>
  </r>
  <r>
    <s v="ORD-2024-921935"/>
    <x v="299"/>
    <x v="0"/>
    <d v="2024-01-27T00:00:00"/>
    <n v="26"/>
    <x v="3"/>
    <x v="8"/>
    <s v="Manchester"/>
    <s v="Education"/>
    <x v="3"/>
    <x v="14"/>
    <x v="6"/>
    <x v="354"/>
    <n v="657.45"/>
    <n v="1325.96"/>
    <s v="High"/>
    <n v="0.16700000000000001"/>
    <n v="21"/>
    <n v="23195.01828"/>
    <n v="13806.45"/>
    <n v="9388.5682799999995"/>
    <n v="0.40476658249048808"/>
    <x v="0"/>
    <x v="0"/>
    <n v="0.16700000000000001"/>
    <n v="1104.52468"/>
    <n v="723.19500000000016"/>
    <n v="23"/>
    <n v="25404.067640000001"/>
    <n v="8770.5826399999969"/>
  </r>
  <r>
    <s v="ORD-2025-949776"/>
    <x v="300"/>
    <x v="7"/>
    <d v="2025-09-11T00:00:00"/>
    <n v="28"/>
    <x v="2"/>
    <x v="5"/>
    <s v="São Paulo"/>
    <s v="Non-Profit"/>
    <x v="4"/>
    <x v="9"/>
    <x v="1"/>
    <x v="355"/>
    <n v="1203.02"/>
    <n v="2439.33"/>
    <s v="High"/>
    <n v="0"/>
    <n v="18"/>
    <n v="43907.94"/>
    <n v="21654.36"/>
    <n v="22253.58"/>
    <n v="0.50682359500354612"/>
    <x v="0"/>
    <x v="0"/>
    <n v="0"/>
    <n v="2439.33"/>
    <n v="1323.3220000000001"/>
    <n v="19"/>
    <n v="46347.27"/>
    <n v="21204.151999999995"/>
  </r>
  <r>
    <s v="ORD-2024-510591"/>
    <x v="149"/>
    <x v="5"/>
    <d v="2024-04-21T00:00:00"/>
    <n v="18"/>
    <x v="2"/>
    <x v="5"/>
    <s v="Brasília"/>
    <s v="Small Business"/>
    <x v="3"/>
    <x v="5"/>
    <x v="2"/>
    <x v="356"/>
    <n v="1176.69"/>
    <n v="2201.54"/>
    <s v="High"/>
    <n v="0.17"/>
    <n v="27"/>
    <n v="49336.511399999996"/>
    <n v="31770.63"/>
    <n v="17565.881399999995"/>
    <n v="0.35604222717701106"/>
    <x v="0"/>
    <x v="0"/>
    <n v="0.17"/>
    <n v="1827.2782"/>
    <n v="1294.3590000000002"/>
    <n v="29"/>
    <n v="52991.067799999997"/>
    <n v="15454.656799999995"/>
  </r>
  <r>
    <s v="ORD-2024-961756"/>
    <x v="301"/>
    <x v="1"/>
    <d v="2024-12-07T00:00:00"/>
    <n v="12"/>
    <x v="1"/>
    <x v="9"/>
    <s v="Shanghai"/>
    <s v="Corporate"/>
    <x v="3"/>
    <x v="8"/>
    <x v="6"/>
    <x v="357"/>
    <n v="769.9"/>
    <n v="814.36"/>
    <s v="High"/>
    <n v="0"/>
    <n v="5"/>
    <n v="4071.8"/>
    <n v="3849.5"/>
    <n v="222.30000000000018"/>
    <n v="5.4595019401738831E-2"/>
    <x v="0"/>
    <x v="0"/>
    <n v="0"/>
    <n v="814.36"/>
    <n v="846.8900000000001"/>
    <n v="6"/>
    <n v="4886.16"/>
    <n v="-195.18000000000052"/>
  </r>
  <r>
    <s v="ORD-2024-892173"/>
    <x v="302"/>
    <x v="0"/>
    <d v="2024-02-03T00:00:00"/>
    <n v="16"/>
    <x v="0"/>
    <x v="11"/>
    <s v="Cape Town"/>
    <s v="Non-Profit"/>
    <x v="3"/>
    <x v="4"/>
    <x v="1"/>
    <x v="358"/>
    <n v="666.23"/>
    <n v="1382.91"/>
    <s v="High"/>
    <n v="0.17599999999999999"/>
    <n v="13"/>
    <n v="14813.731920000002"/>
    <n v="8660.99"/>
    <n v="6152.7419200000022"/>
    <n v="0.41534043907553048"/>
    <x v="0"/>
    <x v="0"/>
    <n v="0.17599999999999999"/>
    <n v="1139.5178400000002"/>
    <n v="732.85300000000007"/>
    <n v="14"/>
    <n v="15953.249760000002"/>
    <n v="5693.3077600000015"/>
  </r>
  <r>
    <s v="ORD-2024-704056"/>
    <x v="303"/>
    <x v="5"/>
    <d v="2024-06-25T00:00:00"/>
    <n v="2"/>
    <x v="3"/>
    <x v="8"/>
    <s v="Birmingham"/>
    <s v="Small Business"/>
    <x v="2"/>
    <x v="4"/>
    <x v="6"/>
    <x v="359"/>
    <n v="951.44"/>
    <n v="1646.43"/>
    <s v="High"/>
    <n v="0.11"/>
    <n v="24"/>
    <n v="35167.7448"/>
    <n v="22834.560000000001"/>
    <n v="12333.184799999999"/>
    <n v="0.35069592520473475"/>
    <x v="1"/>
    <x v="0"/>
    <n v="0.11"/>
    <n v="1465.3227000000002"/>
    <n v="1046.5840000000001"/>
    <n v="26"/>
    <n v="38098.390200000002"/>
    <n v="10887.206200000002"/>
  </r>
  <r>
    <s v="ORD-2025-591006"/>
    <x v="304"/>
    <x v="6"/>
    <d v="2025-07-10T00:00:00"/>
    <n v="15"/>
    <x v="3"/>
    <x v="8"/>
    <s v="Birmingham"/>
    <s v="Non-Profit"/>
    <x v="2"/>
    <x v="14"/>
    <x v="3"/>
    <x v="360"/>
    <n v="546.83000000000004"/>
    <n v="400.84"/>
    <s v="High"/>
    <n v="7.8E-2"/>
    <n v="13"/>
    <n v="4804.4682400000002"/>
    <n v="7108.7900000000009"/>
    <n v="-2304.3217600000007"/>
    <n v="-0.47962056254533608"/>
    <x v="0"/>
    <x v="0"/>
    <n v="7.8E-2"/>
    <n v="369.57447999999999"/>
    <n v="601.51300000000015"/>
    <n v="14"/>
    <n v="5174.0427199999995"/>
    <n v="-3247.1392800000021"/>
  </r>
  <r>
    <s v="ORD-2023-159821"/>
    <x v="305"/>
    <x v="10"/>
    <d v="2023-07-08T00:00:00"/>
    <n v="7"/>
    <x v="0"/>
    <x v="1"/>
    <s v="Port Harcourt"/>
    <s v="Corporate"/>
    <x v="0"/>
    <x v="8"/>
    <x v="4"/>
    <x v="361"/>
    <n v="834.26"/>
    <n v="1780.56"/>
    <s v="High"/>
    <n v="1.4E-2"/>
    <n v="47"/>
    <n v="82514.711519999997"/>
    <n v="39210.22"/>
    <n v="43304.491519999996"/>
    <n v="0.5248093427497933"/>
    <x v="1"/>
    <x v="0"/>
    <n v="1.4E-2"/>
    <n v="1755.6321599999999"/>
    <n v="917.68600000000004"/>
    <n v="50"/>
    <n v="87781.607999999993"/>
    <n v="41897.30799999999"/>
  </r>
  <r>
    <s v="ORD-2024-343877"/>
    <x v="306"/>
    <x v="0"/>
    <d v="2024-03-26T00:00:00"/>
    <n v="17"/>
    <x v="1"/>
    <x v="9"/>
    <s v="Shenzhen"/>
    <s v="Enterprise"/>
    <x v="1"/>
    <x v="11"/>
    <x v="5"/>
    <x v="362"/>
    <n v="1029.67"/>
    <n v="1118.43"/>
    <s v="High"/>
    <n v="0.27200000000000002"/>
    <n v="9"/>
    <n v="7327.9533600000004"/>
    <n v="9267.0300000000007"/>
    <n v="-1939.0766400000002"/>
    <n v="-0.26461367106736061"/>
    <x v="0"/>
    <x v="1"/>
    <n v="0.2"/>
    <n v="894.74400000000014"/>
    <n v="1132.6370000000002"/>
    <n v="10"/>
    <n v="8947.4400000000023"/>
    <n v="-2378.9300000000003"/>
  </r>
  <r>
    <s v="ORD-2023-386663"/>
    <x v="307"/>
    <x v="8"/>
    <d v="2023-06-28T00:00:00"/>
    <n v="23"/>
    <x v="3"/>
    <x v="8"/>
    <s v="Birmingham"/>
    <s v="Corporate"/>
    <x v="4"/>
    <x v="11"/>
    <x v="1"/>
    <x v="363"/>
    <n v="605.82000000000005"/>
    <n v="771.12"/>
    <s v="High"/>
    <n v="0.13200000000000001"/>
    <n v="19"/>
    <n v="12717.311040000001"/>
    <n v="11510.580000000002"/>
    <n v="1206.7310399999988"/>
    <n v="9.4888851597986767E-2"/>
    <x v="0"/>
    <x v="0"/>
    <n v="0.13200000000000001"/>
    <n v="669.33216000000004"/>
    <n v="666.40200000000016"/>
    <n v="20"/>
    <n v="13386.6432"/>
    <n v="58.603199999997742"/>
  </r>
  <r>
    <s v="ORD-2025-125517"/>
    <x v="308"/>
    <x v="3"/>
    <d v="2025-04-09T00:00:00"/>
    <n v="19"/>
    <x v="1"/>
    <x v="2"/>
    <s v="Tokyo"/>
    <s v="Small Business"/>
    <x v="3"/>
    <x v="6"/>
    <x v="0"/>
    <x v="364"/>
    <n v="1055.45"/>
    <n v="1210.04"/>
    <s v="High"/>
    <n v="8.9999999999999993E-3"/>
    <n v="18"/>
    <n v="21584.693520000001"/>
    <n v="18998.100000000002"/>
    <n v="2586.5935199999985"/>
    <n v="0.1198346188053727"/>
    <x v="0"/>
    <x v="0"/>
    <n v="8.9999999999999993E-3"/>
    <n v="1199.1496399999999"/>
    <n v="1160.9950000000001"/>
    <n v="19"/>
    <n v="22783.843159999997"/>
    <n v="724.93815999999515"/>
  </r>
  <r>
    <s v="ORD-2024-819778"/>
    <x v="101"/>
    <x v="5"/>
    <d v="2024-06-15T00:00:00"/>
    <n v="13"/>
    <x v="0"/>
    <x v="0"/>
    <s v="Mombasa"/>
    <s v="Education"/>
    <x v="1"/>
    <x v="7"/>
    <x v="3"/>
    <x v="365"/>
    <n v="1295.18"/>
    <n v="3024.03"/>
    <s v="High"/>
    <n v="0.192"/>
    <n v="8"/>
    <n v="19547.329920000004"/>
    <n v="10361.44"/>
    <n v="9185.8899200000033"/>
    <n v="0.46993067378483178"/>
    <x v="0"/>
    <x v="0"/>
    <n v="0.192"/>
    <n v="2443.4162400000005"/>
    <n v="1424.6980000000001"/>
    <n v="9"/>
    <n v="21990.746160000002"/>
    <n v="9168.4641600000032"/>
  </r>
  <r>
    <s v="ORD-2025-624006"/>
    <x v="309"/>
    <x v="3"/>
    <d v="2025-03-29T00:00:00"/>
    <n v="14"/>
    <x v="1"/>
    <x v="4"/>
    <s v="Mumbai"/>
    <s v="Enterprise"/>
    <x v="4"/>
    <x v="0"/>
    <x v="0"/>
    <x v="366"/>
    <n v="935.83"/>
    <n v="2303.46"/>
    <s v="High"/>
    <n v="0.105"/>
    <n v="9"/>
    <n v="18554.370299999999"/>
    <n v="8422.4700000000012"/>
    <n v="10131.900299999998"/>
    <n v="0.54606543559174292"/>
    <x v="0"/>
    <x v="0"/>
    <n v="0.105"/>
    <n v="2061.5967000000001"/>
    <n v="1029.4130000000002"/>
    <n v="10"/>
    <n v="20615.967000000001"/>
    <n v="10321.836999999998"/>
  </r>
  <r>
    <s v="ORD-2023-132101"/>
    <x v="198"/>
    <x v="10"/>
    <d v="2023-10-09T00:00:00"/>
    <n v="14"/>
    <x v="2"/>
    <x v="10"/>
    <s v="New York"/>
    <s v="Small Business"/>
    <x v="2"/>
    <x v="1"/>
    <x v="4"/>
    <x v="367"/>
    <n v="1279.56"/>
    <n v="3083.8"/>
    <s v="High"/>
    <n v="0.106"/>
    <n v="5"/>
    <n v="13784.586000000001"/>
    <n v="6397.7999999999993"/>
    <n v="7386.7860000000019"/>
    <n v="0.53587289455047848"/>
    <x v="0"/>
    <x v="0"/>
    <n v="0.106"/>
    <n v="2756.9172000000003"/>
    <n v="1407.5160000000001"/>
    <n v="6"/>
    <n v="16541.503200000003"/>
    <n v="8096.4072000000015"/>
  </r>
  <r>
    <s v="ORD-2025-306903"/>
    <x v="35"/>
    <x v="6"/>
    <d v="2025-07-23T00:00:00"/>
    <n v="29"/>
    <x v="2"/>
    <x v="3"/>
    <s v="Vancouver"/>
    <s v="Non-Profit"/>
    <x v="2"/>
    <x v="2"/>
    <x v="1"/>
    <x v="368"/>
    <n v="255.4"/>
    <n v="322.70999999999998"/>
    <s v="High"/>
    <n v="0.115"/>
    <n v="16"/>
    <n v="4569.5735999999997"/>
    <n v="4086.4"/>
    <n v="483.17359999999962"/>
    <n v="0.10573713048412212"/>
    <x v="0"/>
    <x v="0"/>
    <n v="0.115"/>
    <n v="285.59834999999998"/>
    <n v="280.94000000000005"/>
    <n v="17"/>
    <n v="4855.1719499999999"/>
    <n v="79.191949999998769"/>
  </r>
  <r>
    <s v="ORD-2023-813340"/>
    <x v="310"/>
    <x v="4"/>
    <d v="2024-01-03T00:00:00"/>
    <n v="8"/>
    <x v="3"/>
    <x v="7"/>
    <s v="Lyon"/>
    <s v="Small Business"/>
    <x v="0"/>
    <x v="12"/>
    <x v="4"/>
    <x v="369"/>
    <n v="492.75"/>
    <n v="731.29"/>
    <s v="High"/>
    <n v="5.8000000000000003E-2"/>
    <n v="6"/>
    <n v="4133.25108"/>
    <n v="2956.5"/>
    <n v="1176.75108"/>
    <n v="0.28470350753528384"/>
    <x v="0"/>
    <x v="0"/>
    <n v="5.8000000000000003E-2"/>
    <n v="688.87517999999989"/>
    <n v="542.02500000000009"/>
    <n v="7"/>
    <n v="4822.1262599999991"/>
    <n v="1027.9512599999985"/>
  </r>
  <r>
    <s v="ORD-2023-855675"/>
    <x v="311"/>
    <x v="2"/>
    <d v="2023-02-28T00:00:00"/>
    <n v="23"/>
    <x v="2"/>
    <x v="10"/>
    <s v="Austin"/>
    <s v="Non-Profit"/>
    <x v="3"/>
    <x v="4"/>
    <x v="3"/>
    <x v="370"/>
    <n v="1214.49"/>
    <n v="1533.95"/>
    <s v="High"/>
    <n v="0"/>
    <n v="11"/>
    <n v="16873.45"/>
    <n v="13359.39"/>
    <n v="3514.0600000000013"/>
    <n v="0.20825972163369086"/>
    <x v="0"/>
    <x v="0"/>
    <n v="0"/>
    <n v="1533.95"/>
    <n v="1335.9390000000001"/>
    <n v="12"/>
    <n v="18407.400000000001"/>
    <n v="2376.1319999999996"/>
  </r>
  <r>
    <s v="ORD-2023-545150"/>
    <x v="89"/>
    <x v="8"/>
    <d v="2023-04-08T00:00:00"/>
    <n v="2"/>
    <x v="0"/>
    <x v="1"/>
    <s v="Abuja"/>
    <s v="Small Business"/>
    <x v="2"/>
    <x v="11"/>
    <x v="5"/>
    <x v="371"/>
    <n v="720.35"/>
    <n v="1571.66"/>
    <s v="High"/>
    <n v="0.107"/>
    <n v="23"/>
    <n v="32280.32474"/>
    <n v="16568.05"/>
    <n v="15712.274740000001"/>
    <n v="0.4867446305622265"/>
    <x v="1"/>
    <x v="0"/>
    <n v="0.107"/>
    <n v="1403.4923800000001"/>
    <n v="792.3850000000001"/>
    <n v="25"/>
    <n v="35087.309500000003"/>
    <n v="15277.684500000001"/>
  </r>
  <r>
    <s v="ORD-2025-269934"/>
    <x v="253"/>
    <x v="6"/>
    <d v="2025-04-10T00:00:00"/>
    <n v="6"/>
    <x v="3"/>
    <x v="8"/>
    <s v="Birmingham"/>
    <s v="Non-Profit"/>
    <x v="4"/>
    <x v="13"/>
    <x v="1"/>
    <x v="372"/>
    <n v="290.14"/>
    <n v="250.73"/>
    <s v="High"/>
    <n v="3.4000000000000002E-2"/>
    <n v="17"/>
    <n v="4117.4880599999997"/>
    <n v="4932.38"/>
    <n v="-814.89194000000043"/>
    <n v="-0.19790997038131072"/>
    <x v="1"/>
    <x v="0"/>
    <n v="3.4000000000000002E-2"/>
    <n v="242.20517999999998"/>
    <n v="319.154"/>
    <n v="18"/>
    <n v="4359.6932399999996"/>
    <n v="-1385.0787600000003"/>
  </r>
  <r>
    <s v="ORD-2024-690270"/>
    <x v="312"/>
    <x v="5"/>
    <d v="2024-05-27T00:00:00"/>
    <n v="10"/>
    <x v="2"/>
    <x v="10"/>
    <s v="Austin"/>
    <s v="Non-Profit"/>
    <x v="1"/>
    <x v="0"/>
    <x v="3"/>
    <x v="373"/>
    <n v="1484.23"/>
    <n v="3472.81"/>
    <s v="High"/>
    <n v="0.25600000000000001"/>
    <n v="12"/>
    <n v="31005.24768"/>
    <n v="17810.760000000002"/>
    <n v="13194.487679999998"/>
    <n v="0.42555659661803413"/>
    <x v="0"/>
    <x v="1"/>
    <n v="0.2"/>
    <n v="2778.248"/>
    <n v="1632.6530000000002"/>
    <n v="13"/>
    <n v="36117.224000000002"/>
    <n v="14892.734999999997"/>
  </r>
  <r>
    <s v="ORD-2024-868223"/>
    <x v="313"/>
    <x v="0"/>
    <d v="2024-03-19T00:00:00"/>
    <n v="16"/>
    <x v="1"/>
    <x v="9"/>
    <s v="Beijing"/>
    <s v="Consumer"/>
    <x v="3"/>
    <x v="3"/>
    <x v="3"/>
    <x v="374"/>
    <n v="988.83"/>
    <n v="1206.04"/>
    <s v="High"/>
    <n v="6.3E-2"/>
    <n v="34"/>
    <n v="38422.022320000004"/>
    <n v="33620.22"/>
    <n v="4801.8023200000025"/>
    <n v="0.12497526236406606"/>
    <x v="0"/>
    <x v="0"/>
    <n v="6.3E-2"/>
    <n v="1130.0594800000001"/>
    <n v="1087.7130000000002"/>
    <n v="36"/>
    <n v="40682.141280000003"/>
    <n v="1524.4732799999974"/>
  </r>
  <r>
    <s v="ORD-2025-188059"/>
    <x v="231"/>
    <x v="6"/>
    <d v="2025-07-11T00:00:00"/>
    <n v="14"/>
    <x v="1"/>
    <x v="9"/>
    <s v="Shanghai"/>
    <s v="Small Business"/>
    <x v="2"/>
    <x v="4"/>
    <x v="2"/>
    <x v="375"/>
    <n v="1227.7"/>
    <n v="2197.23"/>
    <s v="High"/>
    <n v="9.9000000000000005E-2"/>
    <n v="22"/>
    <n v="43553.493060000001"/>
    <n v="27009.4"/>
    <n v="16544.093059999999"/>
    <n v="0.37985685871873898"/>
    <x v="0"/>
    <x v="0"/>
    <n v="9.9000000000000005E-2"/>
    <n v="1979.7042300000001"/>
    <n v="1350.4700000000003"/>
    <n v="24"/>
    <n v="47512.901519999999"/>
    <n v="15101.621519999995"/>
  </r>
  <r>
    <s v="ORD-2023-281890"/>
    <x v="314"/>
    <x v="2"/>
    <d v="2023-04-04T00:00:00"/>
    <n v="22"/>
    <x v="0"/>
    <x v="11"/>
    <s v="Durban"/>
    <s v="Small Business"/>
    <x v="0"/>
    <x v="8"/>
    <x v="0"/>
    <x v="376"/>
    <n v="1113.7"/>
    <n v="1620.6"/>
    <s v="High"/>
    <n v="0.13900000000000001"/>
    <n v="11"/>
    <n v="15348.702599999999"/>
    <n v="12250.7"/>
    <n v="3098.002599999998"/>
    <n v="0.20184133348182787"/>
    <x v="0"/>
    <x v="0"/>
    <n v="0.13900000000000001"/>
    <n v="1395.3365999999999"/>
    <n v="1225.0700000000002"/>
    <n v="12"/>
    <n v="16744.039199999999"/>
    <n v="2043.1991999999964"/>
  </r>
  <r>
    <s v="ORD-2025-636162"/>
    <x v="315"/>
    <x v="3"/>
    <d v="2025-01-20T00:00:00"/>
    <n v="13"/>
    <x v="0"/>
    <x v="11"/>
    <s v="Cape Town"/>
    <s v="Corporate"/>
    <x v="4"/>
    <x v="11"/>
    <x v="2"/>
    <x v="377"/>
    <n v="432.13"/>
    <n v="1034.6600000000001"/>
    <s v="High"/>
    <n v="9.1999999999999998E-2"/>
    <n v="7"/>
    <n v="6576.298960000001"/>
    <n v="3024.91"/>
    <n v="3551.3889600000011"/>
    <n v="0.54002851476204794"/>
    <x v="0"/>
    <x v="0"/>
    <n v="9.1999999999999998E-2"/>
    <n v="939.47128000000009"/>
    <n v="475.34300000000002"/>
    <n v="8"/>
    <n v="7515.7702400000007"/>
    <n v="3713.0262400000006"/>
  </r>
  <r>
    <s v="ORD-2025-915869"/>
    <x v="316"/>
    <x v="3"/>
    <d v="2025-02-15T00:00:00"/>
    <n v="9"/>
    <x v="2"/>
    <x v="5"/>
    <s v="São Paulo"/>
    <s v="Non-Profit"/>
    <x v="3"/>
    <x v="9"/>
    <x v="2"/>
    <x v="378"/>
    <n v="837.39"/>
    <n v="1905.42"/>
    <s v="High"/>
    <n v="3.2000000000000001E-2"/>
    <n v="18"/>
    <n v="33200.038079999998"/>
    <n v="15073.02"/>
    <n v="18127.018079999998"/>
    <n v="0.54599389423350919"/>
    <x v="0"/>
    <x v="0"/>
    <n v="3.2000000000000001E-2"/>
    <n v="1844.4465600000001"/>
    <n v="921.12900000000002"/>
    <n v="19"/>
    <n v="35044.484640000002"/>
    <n v="17543.033640000001"/>
  </r>
  <r>
    <s v="ORD-2025-192876"/>
    <x v="317"/>
    <x v="3"/>
    <d v="2025-02-17T00:00:00"/>
    <n v="17"/>
    <x v="3"/>
    <x v="8"/>
    <s v="London"/>
    <s v="Enterprise"/>
    <x v="0"/>
    <x v="10"/>
    <x v="0"/>
    <x v="78"/>
    <n v="378.26"/>
    <n v="541.55999999999995"/>
    <s v="High"/>
    <n v="0.16300000000000001"/>
    <n v="25"/>
    <n v="11332.142999999998"/>
    <n v="9456.5"/>
    <n v="1875.6429999999982"/>
    <n v="0.16551529573885526"/>
    <x v="0"/>
    <x v="0"/>
    <n v="0.16300000000000001"/>
    <n v="453.28571999999991"/>
    <n v="416.08600000000001"/>
    <n v="27"/>
    <n v="12238.714439999998"/>
    <n v="1004.3924399999974"/>
  </r>
  <r>
    <s v="ORD-2025-822030"/>
    <x v="83"/>
    <x v="7"/>
    <d v="2025-09-06T00:00:00"/>
    <n v="30"/>
    <x v="2"/>
    <x v="3"/>
    <s v="Montreal"/>
    <s v="Education"/>
    <x v="4"/>
    <x v="12"/>
    <x v="2"/>
    <x v="379"/>
    <n v="833.73"/>
    <n v="1116.5999999999999"/>
    <s v="High"/>
    <n v="0.17599999999999999"/>
    <n v="14"/>
    <n v="12881.097599999999"/>
    <n v="11672.220000000001"/>
    <n v="1208.877599999998"/>
    <n v="9.3848958958279924E-2"/>
    <x v="0"/>
    <x v="0"/>
    <n v="0.17599999999999999"/>
    <n v="920.07839999999999"/>
    <n v="917.10300000000007"/>
    <n v="15"/>
    <n v="13801.175999999999"/>
    <n v="44.630999999998835"/>
  </r>
  <r>
    <s v="ORD-2025-789245"/>
    <x v="318"/>
    <x v="7"/>
    <d v="2025-08-17T00:00:00"/>
    <n v="25"/>
    <x v="3"/>
    <x v="8"/>
    <s v="Birmingham"/>
    <s v="Education"/>
    <x v="1"/>
    <x v="2"/>
    <x v="1"/>
    <x v="380"/>
    <n v="1142.06"/>
    <n v="1455"/>
    <s v="High"/>
    <n v="7.8E-2"/>
    <n v="28"/>
    <n v="37562.28"/>
    <n v="31977.68"/>
    <n v="5584.5999999999985"/>
    <n v="0.1486757459877302"/>
    <x v="0"/>
    <x v="0"/>
    <n v="7.8E-2"/>
    <n v="1341.51"/>
    <n v="1256.2660000000001"/>
    <n v="30"/>
    <n v="40245.300000000003"/>
    <n v="2557.3199999999974"/>
  </r>
  <r>
    <s v="ORD-2023-594955"/>
    <x v="263"/>
    <x v="8"/>
    <d v="2023-07-08T00:00:00"/>
    <n v="18"/>
    <x v="2"/>
    <x v="10"/>
    <s v="New York"/>
    <s v="Consumer"/>
    <x v="2"/>
    <x v="7"/>
    <x v="2"/>
    <x v="381"/>
    <n v="1145.53"/>
    <n v="1278.3"/>
    <s v="High"/>
    <n v="0.09"/>
    <n v="41"/>
    <n v="47693.373"/>
    <n v="46966.729999999996"/>
    <n v="726.64300000000367"/>
    <n v="1.5235722581416158E-2"/>
    <x v="0"/>
    <x v="0"/>
    <n v="0.09"/>
    <n v="1163.2529999999999"/>
    <n v="1260.0830000000001"/>
    <n v="44"/>
    <n v="51183.131999999998"/>
    <n v="-4260.5200000000068"/>
  </r>
  <r>
    <s v="ORD-2024-398783"/>
    <x v="319"/>
    <x v="9"/>
    <d v="2024-08-07T00:00:00"/>
    <n v="20"/>
    <x v="3"/>
    <x v="7"/>
    <s v="Marseille"/>
    <s v="Corporate"/>
    <x v="0"/>
    <x v="9"/>
    <x v="5"/>
    <x v="382"/>
    <n v="941.35"/>
    <n v="899.83"/>
    <s v="High"/>
    <n v="5.8000000000000003E-2"/>
    <n v="18"/>
    <n v="15257.51748"/>
    <n v="16944.3"/>
    <n v="-1686.7825199999988"/>
    <n v="-0.11055419220139073"/>
    <x v="0"/>
    <x v="0"/>
    <n v="5.8000000000000003E-2"/>
    <n v="847.63986"/>
    <n v="1035.4850000000001"/>
    <n v="19"/>
    <n v="16105.15734"/>
    <n v="-3569.0576600000022"/>
  </r>
  <r>
    <s v="ORD-2023-676553"/>
    <x v="72"/>
    <x v="8"/>
    <d v="2023-06-19T00:00:00"/>
    <n v="30"/>
    <x v="1"/>
    <x v="4"/>
    <s v="Delhi"/>
    <s v="Non-Profit"/>
    <x v="2"/>
    <x v="10"/>
    <x v="4"/>
    <x v="383"/>
    <n v="1161.2"/>
    <n v="878.73"/>
    <s v="High"/>
    <n v="0.19"/>
    <n v="31"/>
    <n v="22064.910300000003"/>
    <n v="35997.200000000004"/>
    <n v="-13932.289700000001"/>
    <n v="-0.63142290227212028"/>
    <x v="0"/>
    <x v="0"/>
    <n v="0.19"/>
    <n v="711.77130000000011"/>
    <n v="1277.3200000000002"/>
    <n v="33"/>
    <n v="23488.452900000004"/>
    <n v="-18663.107100000001"/>
  </r>
  <r>
    <s v="ORD-2025-866565"/>
    <x v="320"/>
    <x v="6"/>
    <d v="2025-05-26T00:00:00"/>
    <n v="14"/>
    <x v="1"/>
    <x v="4"/>
    <s v="Hyderabad"/>
    <s v="Corporate"/>
    <x v="2"/>
    <x v="3"/>
    <x v="1"/>
    <x v="384"/>
    <n v="320.12"/>
    <n v="594.41999999999996"/>
    <s v="High"/>
    <n v="0.104"/>
    <n v="18"/>
    <n v="9586.8057599999993"/>
    <n v="5762.16"/>
    <n v="3824.6457599999994"/>
    <n v="0.39894891538931104"/>
    <x v="0"/>
    <x v="0"/>
    <n v="0.104"/>
    <n v="532.60032000000001"/>
    <n v="352.13200000000006"/>
    <n v="19"/>
    <n v="10119.406080000001"/>
    <n v="3428.898079999999"/>
  </r>
  <r>
    <s v="ORD-2024-527858"/>
    <x v="321"/>
    <x v="5"/>
    <d v="2024-05-12T00:00:00"/>
    <n v="5"/>
    <x v="0"/>
    <x v="1"/>
    <s v="Abuja"/>
    <s v="Non-Profit"/>
    <x v="3"/>
    <x v="4"/>
    <x v="4"/>
    <x v="385"/>
    <n v="1163.99"/>
    <n v="1617.85"/>
    <s v="High"/>
    <n v="0.127"/>
    <n v="14"/>
    <n v="19773.362699999998"/>
    <n v="16295.86"/>
    <n v="3477.5026999999973"/>
    <n v="0.17586804797749436"/>
    <x v="1"/>
    <x v="0"/>
    <n v="0.127"/>
    <n v="1412.3830499999999"/>
    <n v="1280.3890000000001"/>
    <n v="15"/>
    <n v="21185.745749999998"/>
    <n v="1979.9107499999968"/>
  </r>
  <r>
    <s v="ORD-2023-619385"/>
    <x v="322"/>
    <x v="10"/>
    <d v="2023-10-03T00:00:00"/>
    <n v="3"/>
    <x v="1"/>
    <x v="9"/>
    <s v="Beijing"/>
    <s v="Non-Profit"/>
    <x v="0"/>
    <x v="1"/>
    <x v="4"/>
    <x v="386"/>
    <n v="1019.36"/>
    <n v="972.91"/>
    <s v="High"/>
    <n v="0.14699999999999999"/>
    <n v="17"/>
    <n v="14108.16791"/>
    <n v="17329.12"/>
    <n v="-3220.9520899999989"/>
    <n v="-0.22830406545678819"/>
    <x v="1"/>
    <x v="0"/>
    <n v="0.14699999999999999"/>
    <n v="829.89222999999993"/>
    <n v="1121.296"/>
    <n v="18"/>
    <n v="14938.060139999998"/>
    <n v="-5245.2678600000017"/>
  </r>
  <r>
    <s v="ORD-2023-835226"/>
    <x v="323"/>
    <x v="4"/>
    <d v="2023-11-05T00:00:00"/>
    <n v="10"/>
    <x v="0"/>
    <x v="11"/>
    <s v="Cape Town"/>
    <s v="Non-Profit"/>
    <x v="1"/>
    <x v="2"/>
    <x v="4"/>
    <x v="387"/>
    <n v="20.38"/>
    <n v="42.56"/>
    <s v="High"/>
    <n v="7.1999999999999995E-2"/>
    <n v="11"/>
    <n v="434.45248000000004"/>
    <n v="224.17999999999998"/>
    <n v="210.27248000000006"/>
    <n v="0.48399419885921713"/>
    <x v="0"/>
    <x v="0"/>
    <n v="7.1999999999999995E-2"/>
    <n v="39.495680000000007"/>
    <n v="22.417999999999999"/>
    <n v="12"/>
    <n v="473.94816000000009"/>
    <n v="204.9321600000001"/>
  </r>
  <r>
    <s v="ORD-2025-485946"/>
    <x v="324"/>
    <x v="6"/>
    <d v="2025-06-30T00:00:00"/>
    <n v="15"/>
    <x v="0"/>
    <x v="11"/>
    <s v="Johannesburg"/>
    <s v="Small Business"/>
    <x v="4"/>
    <x v="0"/>
    <x v="5"/>
    <x v="388"/>
    <n v="1487.59"/>
    <n v="1480.83"/>
    <s v="High"/>
    <n v="8.9999999999999993E-3"/>
    <n v="11"/>
    <n v="16142.527829999999"/>
    <n v="16363.49"/>
    <n v="-220.9621700000007"/>
    <n v="-1.3688201273492908E-2"/>
    <x v="0"/>
    <x v="0"/>
    <n v="8.9999999999999993E-3"/>
    <n v="1467.50253"/>
    <n v="1636.3489999999999"/>
    <n v="12"/>
    <n v="17610.030360000001"/>
    <n v="-2026.1576399999994"/>
  </r>
  <r>
    <s v="ORD-2024-307849"/>
    <x v="325"/>
    <x v="9"/>
    <d v="2024-09-07T00:00:00"/>
    <n v="28"/>
    <x v="3"/>
    <x v="7"/>
    <s v="Marseille"/>
    <s v="Non-Profit"/>
    <x v="4"/>
    <x v="9"/>
    <x v="1"/>
    <x v="389"/>
    <n v="229.96"/>
    <n v="564.26"/>
    <s v="High"/>
    <n v="0.105"/>
    <n v="5"/>
    <n v="2525.0635000000002"/>
    <n v="1149.8"/>
    <n v="1375.2635000000002"/>
    <n v="0.54464511486542821"/>
    <x v="0"/>
    <x v="0"/>
    <n v="0.105"/>
    <n v="505.0127"/>
    <n v="252.95600000000002"/>
    <n v="6"/>
    <n v="3030.0762"/>
    <n v="1512.3401999999999"/>
  </r>
  <r>
    <s v="ORD-2023-368449"/>
    <x v="326"/>
    <x v="4"/>
    <d v="2023-10-26T00:00:00"/>
    <n v="17"/>
    <x v="1"/>
    <x v="9"/>
    <s v="Shanghai"/>
    <s v="Consumer"/>
    <x v="2"/>
    <x v="0"/>
    <x v="0"/>
    <x v="390"/>
    <n v="1132.03"/>
    <n v="2137.21"/>
    <s v="High"/>
    <n v="0.3"/>
    <n v="35"/>
    <n v="52361.645000000004"/>
    <n v="39621.049999999996"/>
    <n v="12740.595000000008"/>
    <n v="0.24331922727026639"/>
    <x v="0"/>
    <x v="1"/>
    <n v="0.2"/>
    <n v="1709.768"/>
    <n v="1245.2330000000002"/>
    <n v="37"/>
    <n v="63261.415999999997"/>
    <n v="17187.794999999995"/>
  </r>
  <r>
    <s v="ORD-2024-251426"/>
    <x v="306"/>
    <x v="0"/>
    <d v="2024-03-26T00:00:00"/>
    <n v="17"/>
    <x v="2"/>
    <x v="10"/>
    <s v="San Francisco"/>
    <s v="Education"/>
    <x v="4"/>
    <x v="2"/>
    <x v="3"/>
    <x v="391"/>
    <n v="1137.4100000000001"/>
    <n v="1680.93"/>
    <s v="High"/>
    <n v="0.254"/>
    <n v="9"/>
    <n v="11285.764020000001"/>
    <n v="10236.69"/>
    <n v="1049.07402"/>
    <n v="9.2955516183121464E-2"/>
    <x v="0"/>
    <x v="1"/>
    <n v="0.2"/>
    <n v="1344.7440000000001"/>
    <n v="1251.1510000000003"/>
    <n v="10"/>
    <n v="13447.440000000002"/>
    <n v="935.92999999999847"/>
  </r>
  <r>
    <s v="ORD-2023-927385"/>
    <x v="327"/>
    <x v="8"/>
    <d v="2023-06-20T00:00:00"/>
    <n v="22"/>
    <x v="3"/>
    <x v="8"/>
    <s v="London"/>
    <s v="Small Business"/>
    <x v="4"/>
    <x v="11"/>
    <x v="0"/>
    <x v="392"/>
    <n v="1295.3900000000001"/>
    <n v="2905.06"/>
    <s v="High"/>
    <n v="0.14799999999999999"/>
    <n v="8"/>
    <n v="19800.88896"/>
    <n v="10363.120000000001"/>
    <n v="9437.7689599999994"/>
    <n v="0.47663359857556614"/>
    <x v="0"/>
    <x v="0"/>
    <n v="0.14799999999999999"/>
    <n v="2475.11112"/>
    <n v="1424.9290000000003"/>
    <n v="9"/>
    <n v="22276.000080000002"/>
    <n v="9451.6390799999972"/>
  </r>
  <r>
    <s v="ORD-2025-486350"/>
    <x v="328"/>
    <x v="6"/>
    <d v="2025-06-08T00:00:00"/>
    <n v="12"/>
    <x v="1"/>
    <x v="2"/>
    <s v="Osaka"/>
    <s v="Corporate"/>
    <x v="0"/>
    <x v="10"/>
    <x v="6"/>
    <x v="393"/>
    <n v="653.6"/>
    <n v="842.09"/>
    <s v="High"/>
    <n v="9.8000000000000004E-2"/>
    <n v="19"/>
    <n v="14431.738420000001"/>
    <n v="12418.4"/>
    <n v="2013.3384200000019"/>
    <n v="0.13950768517324622"/>
    <x v="0"/>
    <x v="0"/>
    <n v="9.8000000000000004E-2"/>
    <n v="759.56518000000005"/>
    <n v="718.96"/>
    <n v="20"/>
    <n v="15191.303600000001"/>
    <n v="812.10360000000037"/>
  </r>
  <r>
    <s v="ORD-2025-677880"/>
    <x v="164"/>
    <x v="7"/>
    <d v="2025-09-14T00:00:00"/>
    <n v="24"/>
    <x v="3"/>
    <x v="6"/>
    <s v="Berlin"/>
    <s v="Non-Profit"/>
    <x v="1"/>
    <x v="8"/>
    <x v="5"/>
    <x v="394"/>
    <n v="1397.67"/>
    <n v="3131.37"/>
    <s v="High"/>
    <n v="0.10299999999999999"/>
    <n v="20"/>
    <n v="56176.777799999996"/>
    <n v="27953.4"/>
    <n v="28223.377799999995"/>
    <n v="0.50240293062874808"/>
    <x v="0"/>
    <x v="0"/>
    <n v="0.10299999999999999"/>
    <n v="2808.83889"/>
    <n v="1537.4370000000001"/>
    <n v="21"/>
    <n v="58985.616690000003"/>
    <n v="26699.439689999996"/>
  </r>
  <r>
    <s v="ORD-2024-102866"/>
    <x v="329"/>
    <x v="1"/>
    <d v="2024-12-20T00:00:00"/>
    <n v="8"/>
    <x v="1"/>
    <x v="2"/>
    <s v="Tokyo"/>
    <s v="Corporate"/>
    <x v="0"/>
    <x v="5"/>
    <x v="4"/>
    <x v="395"/>
    <n v="1202.47"/>
    <n v="1444.72"/>
    <s v="High"/>
    <n v="0.24099999999999999"/>
    <n v="17"/>
    <n v="18641.222160000001"/>
    <n v="20441.990000000002"/>
    <n v="-1800.7678400000004"/>
    <n v="-9.6601382921343834E-2"/>
    <x v="0"/>
    <x v="1"/>
    <n v="0.2"/>
    <n v="1155.7760000000001"/>
    <n v="1322.7170000000001"/>
    <n v="18"/>
    <n v="20803.968000000001"/>
    <n v="-3004.9380000000006"/>
  </r>
  <r>
    <s v="ORD-2025-588029"/>
    <x v="283"/>
    <x v="7"/>
    <d v="2025-09-23T00:00:00"/>
    <n v="9"/>
    <x v="0"/>
    <x v="11"/>
    <s v="Durban"/>
    <s v="Non-Profit"/>
    <x v="1"/>
    <x v="14"/>
    <x v="0"/>
    <x v="396"/>
    <n v="1310.3"/>
    <n v="2875.8"/>
    <s v="High"/>
    <n v="8.3000000000000004E-2"/>
    <n v="5"/>
    <n v="13185.543"/>
    <n v="6551.5"/>
    <n v="6634.0429999999997"/>
    <n v="0.50313005691157353"/>
    <x v="0"/>
    <x v="0"/>
    <n v="8.3000000000000004E-2"/>
    <n v="2637.1086000000005"/>
    <n v="1441.3300000000002"/>
    <n v="6"/>
    <n v="15822.651600000003"/>
    <n v="7174.6716000000015"/>
  </r>
  <r>
    <s v="ORD-2024-972999"/>
    <x v="330"/>
    <x v="9"/>
    <d v="2024-10-04T00:00:00"/>
    <n v="28"/>
    <x v="0"/>
    <x v="11"/>
    <s v="Cape Town"/>
    <s v="Corporate"/>
    <x v="2"/>
    <x v="14"/>
    <x v="5"/>
    <x v="397"/>
    <n v="1174.17"/>
    <n v="1641.61"/>
    <s v="High"/>
    <n v="0.122"/>
    <n v="9"/>
    <n v="12972.00222"/>
    <n v="10567.53"/>
    <n v="2404.4722199999997"/>
    <n v="0.18535860380079394"/>
    <x v="0"/>
    <x v="0"/>
    <n v="0.122"/>
    <n v="1441.33358"/>
    <n v="1291.5870000000002"/>
    <n v="10"/>
    <n v="14413.335800000001"/>
    <n v="1497.4657999999977"/>
  </r>
  <r>
    <s v="ORD-2025-608069"/>
    <x v="331"/>
    <x v="6"/>
    <d v="2025-04-30T00:00:00"/>
    <n v="18"/>
    <x v="0"/>
    <x v="0"/>
    <s v="Kisumu"/>
    <s v="Corporate"/>
    <x v="2"/>
    <x v="9"/>
    <x v="2"/>
    <x v="398"/>
    <n v="1119.04"/>
    <n v="1299.02"/>
    <s v="High"/>
    <n v="2.5000000000000001E-2"/>
    <n v="14"/>
    <n v="17731.623"/>
    <n v="15666.56"/>
    <n v="2065.0630000000001"/>
    <n v="0.11646215352085933"/>
    <x v="0"/>
    <x v="0"/>
    <n v="2.5000000000000001E-2"/>
    <n v="1266.5445"/>
    <n v="1230.944"/>
    <n v="15"/>
    <n v="18998.1675"/>
    <n v="534.00750000000016"/>
  </r>
  <r>
    <s v="ORD-2024-626750"/>
    <x v="174"/>
    <x v="9"/>
    <d v="2024-08-15T00:00:00"/>
    <n v="3"/>
    <x v="2"/>
    <x v="10"/>
    <s v="Chicago"/>
    <s v="Corporate"/>
    <x v="2"/>
    <x v="14"/>
    <x v="1"/>
    <x v="399"/>
    <n v="850.7"/>
    <n v="1118.56"/>
    <s v="High"/>
    <n v="0.18"/>
    <n v="19"/>
    <n v="17427.164800000002"/>
    <n v="16163.300000000001"/>
    <n v="1263.8648000000012"/>
    <n v="7.2522685962090688E-2"/>
    <x v="1"/>
    <x v="0"/>
    <n v="0.18"/>
    <n v="917.2192"/>
    <n v="935.7700000000001"/>
    <n v="20"/>
    <n v="18344.383999999998"/>
    <n v="-371.0160000000019"/>
  </r>
  <r>
    <s v="ORD-2024-170021"/>
    <x v="332"/>
    <x v="1"/>
    <d v="2024-11-08T00:00:00"/>
    <n v="3"/>
    <x v="2"/>
    <x v="3"/>
    <s v="Toronto"/>
    <s v="Education"/>
    <x v="2"/>
    <x v="7"/>
    <x v="0"/>
    <x v="400"/>
    <n v="1020.4"/>
    <n v="1184.71"/>
    <s v="High"/>
    <n v="0.106"/>
    <n v="16"/>
    <n v="16946.091840000001"/>
    <n v="16326.4"/>
    <n v="619.69184000000132"/>
    <n v="3.6568422138328345E-2"/>
    <x v="1"/>
    <x v="0"/>
    <n v="0.106"/>
    <n v="1059.1307400000001"/>
    <n v="1122.44"/>
    <n v="17"/>
    <n v="18005.222580000001"/>
    <n v="-1076.2574199999999"/>
  </r>
  <r>
    <s v="ORD-2024-678110"/>
    <x v="333"/>
    <x v="9"/>
    <d v="2024-08-08T00:00:00"/>
    <n v="15"/>
    <x v="3"/>
    <x v="7"/>
    <s v="Marseille"/>
    <s v="Enterprise"/>
    <x v="2"/>
    <x v="10"/>
    <x v="4"/>
    <x v="401"/>
    <n v="501.5"/>
    <n v="1201.47"/>
    <s v="High"/>
    <n v="0.126"/>
    <n v="5"/>
    <n v="5250.4239000000007"/>
    <n v="2507.5"/>
    <n v="2742.9239000000007"/>
    <n v="0.52241951359394057"/>
    <x v="0"/>
    <x v="0"/>
    <n v="0.126"/>
    <n v="1050.0847799999999"/>
    <n v="551.65000000000009"/>
    <n v="6"/>
    <n v="6300.508679999999"/>
    <n v="2990.6086799999989"/>
  </r>
  <r>
    <s v="ORD-2025-909340"/>
    <x v="334"/>
    <x v="3"/>
    <d v="2025-02-03T00:00:00"/>
    <n v="14"/>
    <x v="2"/>
    <x v="5"/>
    <s v="Brasília"/>
    <s v="Enterprise"/>
    <x v="2"/>
    <x v="9"/>
    <x v="0"/>
    <x v="402"/>
    <n v="974.11"/>
    <n v="880.99"/>
    <s v="High"/>
    <n v="0.111"/>
    <n v="10"/>
    <n v="7832.0010999999995"/>
    <n v="9741.1"/>
    <n v="-1909.0989000000009"/>
    <n v="-0.2437562093805121"/>
    <x v="0"/>
    <x v="0"/>
    <n v="0.111"/>
    <n v="783.20011"/>
    <n v="1071.5210000000002"/>
    <n v="11"/>
    <n v="8615.2012099999993"/>
    <n v="-3171.5297900000023"/>
  </r>
  <r>
    <s v="ORD-2023-854471"/>
    <x v="335"/>
    <x v="2"/>
    <d v="2023-04-04T00:00:00"/>
    <n v="29"/>
    <x v="1"/>
    <x v="9"/>
    <s v="Beijing"/>
    <s v="Small Business"/>
    <x v="4"/>
    <x v="0"/>
    <x v="5"/>
    <x v="403"/>
    <n v="1126.29"/>
    <n v="2050.87"/>
    <s v="High"/>
    <n v="6.4000000000000001E-2"/>
    <n v="7"/>
    <n v="13437.300239999999"/>
    <n v="7884.03"/>
    <n v="5553.2702399999989"/>
    <n v="0.41327276616690373"/>
    <x v="0"/>
    <x v="0"/>
    <n v="6.4000000000000001E-2"/>
    <n v="1919.6143199999997"/>
    <n v="1238.9190000000001"/>
    <n v="8"/>
    <n v="15356.914559999997"/>
    <n v="5445.5625599999967"/>
  </r>
  <r>
    <s v="ORD-2024-390951"/>
    <x v="336"/>
    <x v="1"/>
    <d v="2025-01-14T00:00:00"/>
    <n v="25"/>
    <x v="1"/>
    <x v="4"/>
    <s v="Delhi"/>
    <s v="Small Business"/>
    <x v="0"/>
    <x v="12"/>
    <x v="1"/>
    <x v="404"/>
    <n v="1361.34"/>
    <n v="1737.9"/>
    <s v="High"/>
    <n v="7.6999999999999999E-2"/>
    <n v="14"/>
    <n v="22457.143800000002"/>
    <n v="19058.759999999998"/>
    <n v="3398.3838000000032"/>
    <n v="0.15132751654731813"/>
    <x v="0"/>
    <x v="0"/>
    <n v="7.6999999999999999E-2"/>
    <n v="1604.0817000000002"/>
    <n v="1497.4739999999999"/>
    <n v="15"/>
    <n v="24061.225500000004"/>
    <n v="1599.1155000000037"/>
  </r>
  <r>
    <s v="ORD-2025-881624"/>
    <x v="337"/>
    <x v="3"/>
    <d v="2025-03-21T00:00:00"/>
    <n v="28"/>
    <x v="0"/>
    <x v="1"/>
    <s v="Abuja"/>
    <s v="Enterprise"/>
    <x v="2"/>
    <x v="2"/>
    <x v="3"/>
    <x v="405"/>
    <n v="1437.39"/>
    <n v="1388.31"/>
    <s v="High"/>
    <n v="0.13800000000000001"/>
    <n v="18"/>
    <n v="21541.017959999997"/>
    <n v="25873.02"/>
    <n v="-4332.002040000003"/>
    <n v="-0.20110479681341872"/>
    <x v="0"/>
    <x v="0"/>
    <n v="0.13800000000000001"/>
    <n v="1196.7232199999999"/>
    <n v="1581.1290000000001"/>
    <n v="19"/>
    <n v="22737.741179999997"/>
    <n v="-7303.7098200000055"/>
  </r>
  <r>
    <s v="ORD-2025-512310"/>
    <x v="338"/>
    <x v="3"/>
    <d v="2025-03-15T00:00:00"/>
    <n v="7"/>
    <x v="1"/>
    <x v="4"/>
    <s v="Bengaluru"/>
    <s v="Corporate"/>
    <x v="3"/>
    <x v="11"/>
    <x v="4"/>
    <x v="406"/>
    <n v="475.66"/>
    <n v="529.14"/>
    <s v="High"/>
    <n v="0.19600000000000001"/>
    <n v="11"/>
    <n v="4679.7141600000004"/>
    <n v="5232.26"/>
    <n v="-552.54583999999977"/>
    <n v="-0.11807256193613323"/>
    <x v="1"/>
    <x v="0"/>
    <n v="0.19600000000000001"/>
    <n v="425.42856"/>
    <n v="523.22600000000011"/>
    <n v="12"/>
    <n v="5105.1427199999998"/>
    <n v="-1173.5692800000013"/>
  </r>
  <r>
    <s v="ORD-2023-674887"/>
    <x v="339"/>
    <x v="4"/>
    <d v="2023-12-19T00:00:00"/>
    <n v="3"/>
    <x v="1"/>
    <x v="9"/>
    <s v="Beijing"/>
    <s v="Education"/>
    <x v="0"/>
    <x v="8"/>
    <x v="6"/>
    <x v="407"/>
    <n v="1415.05"/>
    <n v="1972.38"/>
    <s v="High"/>
    <n v="0"/>
    <n v="12"/>
    <n v="23668.560000000001"/>
    <n v="16980.599999999999"/>
    <n v="6687.9600000000028"/>
    <n v="0.28256725377462771"/>
    <x v="1"/>
    <x v="0"/>
    <n v="0"/>
    <n v="1972.38"/>
    <n v="1556.5550000000001"/>
    <n v="13"/>
    <n v="25640.940000000002"/>
    <n v="5405.7250000000004"/>
  </r>
  <r>
    <s v="ORD-2024-542244"/>
    <x v="340"/>
    <x v="9"/>
    <d v="2024-09-05T00:00:00"/>
    <n v="6"/>
    <x v="1"/>
    <x v="2"/>
    <s v="Nagoya"/>
    <s v="Education"/>
    <x v="1"/>
    <x v="13"/>
    <x v="4"/>
    <x v="408"/>
    <n v="466.16"/>
    <n v="876.81"/>
    <s v="High"/>
    <n v="0.24099999999999999"/>
    <n v="8"/>
    <n v="5323.9903199999999"/>
    <n v="3729.28"/>
    <n v="1594.7103199999997"/>
    <n v="0.29953291124691594"/>
    <x v="1"/>
    <x v="1"/>
    <n v="0.2"/>
    <n v="701.44799999999998"/>
    <n v="512.77600000000007"/>
    <n v="9"/>
    <n v="6313.0320000000002"/>
    <n v="1698.0479999999993"/>
  </r>
  <r>
    <s v="ORD-2024-375848"/>
    <x v="22"/>
    <x v="5"/>
    <d v="2024-05-21T00:00:00"/>
    <n v="3"/>
    <x v="3"/>
    <x v="7"/>
    <s v="Marseille"/>
    <s v="Non-Profit"/>
    <x v="2"/>
    <x v="14"/>
    <x v="1"/>
    <x v="409"/>
    <n v="663.66"/>
    <n v="824.26"/>
    <s v="High"/>
    <n v="0.23899999999999999"/>
    <n v="11"/>
    <n v="6899.8804600000003"/>
    <n v="7300.2599999999993"/>
    <n v="-400.379539999999"/>
    <n v="-5.8027025587048933E-2"/>
    <x v="1"/>
    <x v="1"/>
    <n v="0.2"/>
    <n v="659.40800000000002"/>
    <n v="730.02600000000007"/>
    <n v="12"/>
    <n v="7912.8960000000006"/>
    <n v="-847.41600000000062"/>
  </r>
  <r>
    <s v="ORD-2023-933238"/>
    <x v="341"/>
    <x v="2"/>
    <d v="2023-04-06T00:00:00"/>
    <n v="20"/>
    <x v="3"/>
    <x v="6"/>
    <s v="Munich"/>
    <s v="Consumer"/>
    <x v="0"/>
    <x v="7"/>
    <x v="3"/>
    <x v="410"/>
    <n v="692.18"/>
    <n v="1159.3499999999999"/>
    <s v="High"/>
    <n v="0.112"/>
    <n v="2"/>
    <n v="2059.0056"/>
    <n v="1384.36"/>
    <n v="674.64560000000006"/>
    <n v="0.32765602968734037"/>
    <x v="0"/>
    <x v="0"/>
    <n v="0.112"/>
    <n v="1029.5028"/>
    <n v="761.39800000000002"/>
    <n v="3"/>
    <n v="3088.5083999999997"/>
    <n v="804.31439999999986"/>
  </r>
  <r>
    <s v="ORD-2023-732585"/>
    <x v="342"/>
    <x v="10"/>
    <d v="2023-09-16T00:00:00"/>
    <n v="22"/>
    <x v="0"/>
    <x v="1"/>
    <s v="Abuja"/>
    <s v="Corporate"/>
    <x v="2"/>
    <x v="4"/>
    <x v="3"/>
    <x v="411"/>
    <n v="1196.83"/>
    <n v="2513.5100000000002"/>
    <s v="High"/>
    <n v="8.3000000000000004E-2"/>
    <n v="7"/>
    <n v="16134.22069"/>
    <n v="8377.81"/>
    <n v="7756.4106900000006"/>
    <n v="0.48074281609445374"/>
    <x v="0"/>
    <x v="0"/>
    <n v="8.3000000000000004E-2"/>
    <n v="2304.8886700000003"/>
    <n v="1316.5129999999999"/>
    <n v="8"/>
    <n v="18439.109360000002"/>
    <n v="7907.0053600000028"/>
  </r>
  <r>
    <s v="ORD-2024-465898"/>
    <x v="343"/>
    <x v="5"/>
    <d v="2024-06-24T00:00:00"/>
    <n v="18"/>
    <x v="1"/>
    <x v="4"/>
    <s v="Bengaluru"/>
    <s v="Small Business"/>
    <x v="4"/>
    <x v="10"/>
    <x v="2"/>
    <x v="412"/>
    <n v="1253.25"/>
    <n v="3087.13"/>
    <s v="High"/>
    <n v="7.1999999999999995E-2"/>
    <n v="11"/>
    <n v="31513.423040000001"/>
    <n v="13785.75"/>
    <n v="17727.673040000001"/>
    <n v="0.562543555408064"/>
    <x v="0"/>
    <x v="0"/>
    <n v="7.1999999999999995E-2"/>
    <n v="2864.8566400000004"/>
    <n v="1378.575"/>
    <n v="12"/>
    <n v="34378.279680000007"/>
    <n v="17835.379680000005"/>
  </r>
  <r>
    <s v="ORD-2023-987081"/>
    <x v="344"/>
    <x v="10"/>
    <d v="2023-09-13T00:00:00"/>
    <n v="15"/>
    <x v="2"/>
    <x v="3"/>
    <s v="Vancouver"/>
    <s v="Small Business"/>
    <x v="2"/>
    <x v="7"/>
    <x v="1"/>
    <x v="413"/>
    <n v="1287.6400000000001"/>
    <n v="2717.15"/>
    <s v="High"/>
    <n v="3.2000000000000001E-2"/>
    <n v="7"/>
    <n v="18411.4084"/>
    <n v="9013.4800000000014"/>
    <n v="9397.9283999999989"/>
    <n v="0.51044049405802105"/>
    <x v="0"/>
    <x v="0"/>
    <n v="3.2000000000000001E-2"/>
    <n v="2630.2012"/>
    <n v="1416.4040000000002"/>
    <n v="8"/>
    <n v="21041.6096"/>
    <n v="9710.377599999998"/>
  </r>
  <r>
    <s v="ORD-2024-655710"/>
    <x v="25"/>
    <x v="1"/>
    <d v="2024-12-10T00:00:00"/>
    <n v="10"/>
    <x v="1"/>
    <x v="4"/>
    <s v="Hyderabad"/>
    <s v="Small Business"/>
    <x v="0"/>
    <x v="9"/>
    <x v="6"/>
    <x v="414"/>
    <n v="851.49"/>
    <n v="901.79"/>
    <s v="High"/>
    <n v="0.245"/>
    <n v="16"/>
    <n v="10893.6232"/>
    <n v="13623.84"/>
    <n v="-2730.2168000000001"/>
    <n v="-0.25062522816100341"/>
    <x v="0"/>
    <x v="1"/>
    <n v="0.2"/>
    <n v="721.43200000000002"/>
    <n v="936.63900000000012"/>
    <n v="17"/>
    <n v="12264.344000000001"/>
    <n v="-3658.5190000000021"/>
  </r>
  <r>
    <s v="ORD-2025-411385"/>
    <x v="345"/>
    <x v="6"/>
    <d v="2025-06-14T00:00:00"/>
    <n v="9"/>
    <x v="1"/>
    <x v="4"/>
    <s v="Delhi"/>
    <s v="Non-Profit"/>
    <x v="0"/>
    <x v="8"/>
    <x v="6"/>
    <x v="415"/>
    <n v="618.69000000000005"/>
    <n v="796.15"/>
    <s v="High"/>
    <n v="0.09"/>
    <n v="11"/>
    <n v="7969.4615000000003"/>
    <n v="6805.59"/>
    <n v="1163.8715000000002"/>
    <n v="0.14604142325049191"/>
    <x v="0"/>
    <x v="0"/>
    <n v="0.09"/>
    <n v="724.49649999999997"/>
    <n v="680.55900000000008"/>
    <n v="12"/>
    <n v="8693.9579999999987"/>
    <n v="527.24999999999864"/>
  </r>
  <r>
    <s v="ORD-2025-222035"/>
    <x v="251"/>
    <x v="3"/>
    <d v="2025-04-08T00:00:00"/>
    <n v="25"/>
    <x v="1"/>
    <x v="9"/>
    <s v="Unknown"/>
    <s v="Corporate"/>
    <x v="3"/>
    <x v="14"/>
    <x v="1"/>
    <x v="416"/>
    <n v="80.59"/>
    <n v="157.82"/>
    <s v="High"/>
    <n v="0.217"/>
    <n v="6"/>
    <n v="741.43835999999999"/>
    <n v="483.54"/>
    <n v="257.89835999999997"/>
    <n v="0.34783519967863541"/>
    <x v="0"/>
    <x v="1"/>
    <n v="0.2"/>
    <n v="126.256"/>
    <n v="88.649000000000015"/>
    <n v="7"/>
    <n v="883.79200000000003"/>
    <n v="263.24899999999991"/>
  </r>
  <r>
    <s v="ORD-2024-749242"/>
    <x v="346"/>
    <x v="0"/>
    <d v="2024-02-11T00:00:00"/>
    <n v="26"/>
    <x v="3"/>
    <x v="6"/>
    <s v="Frankfurt"/>
    <s v="Non-Profit"/>
    <x v="3"/>
    <x v="6"/>
    <x v="5"/>
    <x v="417"/>
    <n v="504.93"/>
    <n v="819.06"/>
    <s v="High"/>
    <n v="0.22600000000000001"/>
    <n v="15"/>
    <n v="9509.2865999999995"/>
    <n v="7573.95"/>
    <n v="1935.3365999999996"/>
    <n v="0.20352069312959814"/>
    <x v="0"/>
    <x v="1"/>
    <n v="0.2"/>
    <n v="655.24800000000005"/>
    <n v="555.423"/>
    <n v="16"/>
    <n v="10483.968000000001"/>
    <n v="1597.2000000000007"/>
  </r>
  <r>
    <s v="ORD-2023-623293"/>
    <x v="347"/>
    <x v="4"/>
    <d v="2023-10-29T00:00:00"/>
    <n v="17"/>
    <x v="1"/>
    <x v="2"/>
    <s v="Nagoya"/>
    <s v="Non-Profit"/>
    <x v="4"/>
    <x v="10"/>
    <x v="3"/>
    <x v="418"/>
    <n v="1102.19"/>
    <n v="1711.16"/>
    <s v="High"/>
    <n v="0.151"/>
    <n v="10"/>
    <n v="14527.748400000002"/>
    <n v="11021.900000000001"/>
    <n v="3505.8484000000008"/>
    <n v="0.24132083675127525"/>
    <x v="0"/>
    <x v="0"/>
    <n v="0.151"/>
    <n v="1452.77484"/>
    <n v="1212.4090000000001"/>
    <n v="11"/>
    <n v="15980.52324"/>
    <n v="2644.0242399999993"/>
  </r>
  <r>
    <s v="ORD-2025-276968"/>
    <x v="348"/>
    <x v="3"/>
    <d v="2025-03-17T00:00:00"/>
    <n v="20"/>
    <x v="2"/>
    <x v="10"/>
    <s v="San Francisco"/>
    <s v="Non-Profit"/>
    <x v="2"/>
    <x v="10"/>
    <x v="3"/>
    <x v="419"/>
    <n v="1205.26"/>
    <n v="1696.35"/>
    <s v="High"/>
    <n v="1.9E-2"/>
    <n v="6"/>
    <n v="9984.7160999999978"/>
    <n v="7231.5599999999995"/>
    <n v="2753.1560999999983"/>
    <n v="0.27573704374028213"/>
    <x v="0"/>
    <x v="0"/>
    <n v="1.9E-2"/>
    <n v="1664.1193499999999"/>
    <n v="1325.7860000000001"/>
    <n v="7"/>
    <n v="11648.835449999999"/>
    <n v="2368.3334499999992"/>
  </r>
  <r>
    <s v="ORD-2025-650841"/>
    <x v="349"/>
    <x v="7"/>
    <d v="2025-07-06T00:00:00"/>
    <n v="3"/>
    <x v="0"/>
    <x v="1"/>
    <s v="Lagos"/>
    <s v="Consumer"/>
    <x v="1"/>
    <x v="15"/>
    <x v="4"/>
    <x v="420"/>
    <n v="1313.3"/>
    <n v="2884.34"/>
    <s v="High"/>
    <n v="0.157"/>
    <n v="42"/>
    <n v="102122.94203999999"/>
    <n v="55158.6"/>
    <n v="46964.342039999996"/>
    <n v="0.45988042551305253"/>
    <x v="1"/>
    <x v="0"/>
    <n v="0.157"/>
    <n v="2431.4986199999998"/>
    <n v="1444.63"/>
    <n v="45"/>
    <n v="109417.43789999999"/>
    <n v="44409.087899999991"/>
  </r>
  <r>
    <s v="ORD-2025-831576"/>
    <x v="165"/>
    <x v="7"/>
    <d v="2025-09-25T00:00:00"/>
    <n v="10"/>
    <x v="1"/>
    <x v="4"/>
    <s v="Delhi"/>
    <s v="Consumer"/>
    <x v="0"/>
    <x v="8"/>
    <x v="3"/>
    <x v="421"/>
    <n v="1488.91"/>
    <n v="1483.74"/>
    <s v="High"/>
    <n v="0.16800000000000001"/>
    <n v="24"/>
    <n v="29627.320319999999"/>
    <n v="35733.840000000004"/>
    <n v="-6106.5196800000049"/>
    <n v="-0.20611110333450519"/>
    <x v="0"/>
    <x v="0"/>
    <n v="0.16800000000000001"/>
    <n v="1234.4716799999999"/>
    <n v="1637.8010000000002"/>
    <n v="26"/>
    <n v="32096.263679999996"/>
    <n v="-10486.562320000008"/>
  </r>
  <r>
    <s v="ORD-2024-468655"/>
    <x v="350"/>
    <x v="0"/>
    <d v="2024-03-06T00:00:00"/>
    <n v="16"/>
    <x v="1"/>
    <x v="9"/>
    <s v="Beijing"/>
    <s v="Education"/>
    <x v="2"/>
    <x v="7"/>
    <x v="1"/>
    <x v="422"/>
    <n v="1477.84"/>
    <n v="3197.47"/>
    <s v="High"/>
    <n v="0.24299999999999999"/>
    <n v="24"/>
    <n v="58091.634960000003"/>
    <n v="35468.159999999996"/>
    <n v="22623.474960000007"/>
    <n v="0.38944462443823091"/>
    <x v="0"/>
    <x v="1"/>
    <n v="0.2"/>
    <n v="2557.9760000000001"/>
    <n v="1625.624"/>
    <n v="26"/>
    <n v="66507.376000000004"/>
    <n v="24241.152000000002"/>
  </r>
  <r>
    <s v="ORD-2024-515105"/>
    <x v="351"/>
    <x v="0"/>
    <d v="2024-03-26T00:00:00"/>
    <n v="28"/>
    <x v="1"/>
    <x v="4"/>
    <s v="Mumbai"/>
    <s v="Education"/>
    <x v="2"/>
    <x v="3"/>
    <x v="4"/>
    <x v="423"/>
    <n v="1035.19"/>
    <n v="2322.6999999999998"/>
    <s v="High"/>
    <n v="0.17299999999999999"/>
    <n v="8"/>
    <n v="15366.983199999999"/>
    <n v="8281.52"/>
    <n v="7085.4631999999983"/>
    <n v="0.46108355217047409"/>
    <x v="0"/>
    <x v="0"/>
    <n v="0.17299999999999999"/>
    <n v="1920.8728999999998"/>
    <n v="1138.7090000000001"/>
    <n v="9"/>
    <n v="17287.856099999997"/>
    <n v="7039.4750999999978"/>
  </r>
  <r>
    <s v="ORD-2025-803803"/>
    <x v="256"/>
    <x v="7"/>
    <d v="2025-09-05T00:00:00"/>
    <n v="8"/>
    <x v="0"/>
    <x v="1"/>
    <s v="Port Harcourt"/>
    <s v="Small Business"/>
    <x v="2"/>
    <x v="6"/>
    <x v="4"/>
    <x v="424"/>
    <n v="1271.0999999999999"/>
    <n v="1932.42"/>
    <s v="High"/>
    <n v="0.25"/>
    <n v="21"/>
    <n v="30435.614999999998"/>
    <n v="26693.1"/>
    <n v="3742.5149999999994"/>
    <n v="0.12296498690760807"/>
    <x v="0"/>
    <x v="1"/>
    <n v="0.2"/>
    <n v="1545.9360000000001"/>
    <n v="1398.21"/>
    <n v="23"/>
    <n v="35556.528000000006"/>
    <n v="3397.6980000000026"/>
  </r>
  <r>
    <s v="ORD-2024-993481"/>
    <x v="352"/>
    <x v="9"/>
    <d v="2024-09-12T00:00:00"/>
    <n v="25"/>
    <x v="1"/>
    <x v="4"/>
    <s v="Mumbai"/>
    <s v="Consumer"/>
    <x v="2"/>
    <x v="0"/>
    <x v="3"/>
    <x v="425"/>
    <n v="1154.03"/>
    <n v="1590.36"/>
    <s v="High"/>
    <n v="0.3"/>
    <n v="18"/>
    <n v="20038.536"/>
    <n v="20772.54"/>
    <n v="-734.00400000000081"/>
    <n v="-3.6629622044245191E-2"/>
    <x v="0"/>
    <x v="1"/>
    <n v="0.2"/>
    <n v="1272.288"/>
    <n v="1269.433"/>
    <n v="19"/>
    <n v="24173.472000000002"/>
    <n v="54.245000000000346"/>
  </r>
  <r>
    <s v="ORD-2024-811752"/>
    <x v="353"/>
    <x v="0"/>
    <d v="2024-03-09T00:00:00"/>
    <n v="13"/>
    <x v="3"/>
    <x v="7"/>
    <s v="Marseille"/>
    <s v="Small Business"/>
    <x v="3"/>
    <x v="6"/>
    <x v="5"/>
    <x v="426"/>
    <n v="322.44"/>
    <n v="395.61"/>
    <s v="High"/>
    <n v="0"/>
    <n v="34"/>
    <n v="13450.74"/>
    <n v="10962.96"/>
    <n v="2487.7800000000007"/>
    <n v="0.18495487980586947"/>
    <x v="0"/>
    <x v="0"/>
    <n v="0"/>
    <n v="395.61"/>
    <n v="354.68400000000003"/>
    <n v="36"/>
    <n v="14241.960000000001"/>
    <n v="1473.3359999999996"/>
  </r>
  <r>
    <s v="ORD-2025-673091"/>
    <x v="354"/>
    <x v="6"/>
    <d v="2025-05-13T00:00:00"/>
    <n v="6"/>
    <x v="1"/>
    <x v="4"/>
    <s v="Bengaluru"/>
    <s v="Enterprise"/>
    <x v="4"/>
    <x v="1"/>
    <x v="3"/>
    <x v="427"/>
    <n v="935.98"/>
    <n v="2077.69"/>
    <s v="High"/>
    <n v="0.17499999999999999"/>
    <n v="24"/>
    <n v="41138.261999999995"/>
    <n v="22463.52"/>
    <n v="18674.741999999995"/>
    <n v="0.45395067978321491"/>
    <x v="1"/>
    <x v="0"/>
    <n v="0.17499999999999999"/>
    <n v="1714.0942499999999"/>
    <n v="1029.5780000000002"/>
    <n v="26"/>
    <n v="44566.450499999999"/>
    <n v="17797.422499999993"/>
  </r>
  <r>
    <s v="ORD-2024-381197"/>
    <x v="355"/>
    <x v="1"/>
    <d v="2024-11-12T00:00:00"/>
    <n v="11"/>
    <x v="3"/>
    <x v="6"/>
    <s v="Frankfurt"/>
    <s v="Consumer"/>
    <x v="1"/>
    <x v="5"/>
    <x v="1"/>
    <x v="428"/>
    <n v="599.84"/>
    <n v="1330.85"/>
    <s v="High"/>
    <n v="0.115"/>
    <n v="11"/>
    <n v="12955.824749999998"/>
    <n v="6598.2400000000007"/>
    <n v="6357.5847499999973"/>
    <n v="0.49071246892252063"/>
    <x v="0"/>
    <x v="0"/>
    <n v="0.115"/>
    <n v="1177.80225"/>
    <n v="659.82400000000007"/>
    <n v="12"/>
    <n v="14133.627"/>
    <n v="6215.7389999999987"/>
  </r>
  <r>
    <s v="ORD-2024-651852"/>
    <x v="356"/>
    <x v="1"/>
    <d v="2025-01-08T00:00:00"/>
    <n v="11"/>
    <x v="1"/>
    <x v="9"/>
    <s v="Shenzhen"/>
    <s v="Enterprise"/>
    <x v="1"/>
    <x v="11"/>
    <x v="4"/>
    <x v="429"/>
    <n v="1201.31"/>
    <n v="2764.65"/>
    <s v="High"/>
    <n v="0"/>
    <n v="21"/>
    <n v="58057.65"/>
    <n v="25227.51"/>
    <n v="32830.14"/>
    <n v="0.56547483406579491"/>
    <x v="0"/>
    <x v="0"/>
    <n v="0"/>
    <n v="2764.65"/>
    <n v="1321.441"/>
    <n v="23"/>
    <n v="63586.950000000004"/>
    <n v="33193.807000000001"/>
  </r>
  <r>
    <s v="ORD-2023-659070"/>
    <x v="258"/>
    <x v="4"/>
    <d v="2023-10-21T00:00:00"/>
    <n v="0"/>
    <x v="3"/>
    <x v="8"/>
    <s v="Manchester"/>
    <s v="Enterprise"/>
    <x v="3"/>
    <x v="1"/>
    <x v="5"/>
    <x v="430"/>
    <n v="384.19"/>
    <n v="278.35000000000002"/>
    <s v="High"/>
    <n v="5.6000000000000001E-2"/>
    <n v="10"/>
    <n v="2627.6239999999998"/>
    <n v="3841.9"/>
    <n v="-1214.2760000000003"/>
    <n v="-0.46211938998882657"/>
    <x v="1"/>
    <x v="0"/>
    <n v="5.6000000000000001E-2"/>
    <n v="262.76240000000001"/>
    <n v="422.60900000000004"/>
    <n v="11"/>
    <n v="2890.3864000000003"/>
    <n v="-1758.3126000000002"/>
  </r>
  <r>
    <s v="ORD-2024-837651"/>
    <x v="16"/>
    <x v="1"/>
    <d v="2024-12-19T00:00:00"/>
    <n v="9"/>
    <x v="0"/>
    <x v="1"/>
    <s v="Lagos"/>
    <s v="Corporate"/>
    <x v="0"/>
    <x v="7"/>
    <x v="5"/>
    <x v="431"/>
    <n v="488.68"/>
    <n v="984.36"/>
    <s v="High"/>
    <n v="5.8999999999999997E-2"/>
    <n v="14"/>
    <n v="12967.958640000001"/>
    <n v="6841.52"/>
    <n v="6126.4386400000003"/>
    <n v="0.47242891576649876"/>
    <x v="0"/>
    <x v="0"/>
    <n v="5.8999999999999997E-2"/>
    <n v="926.28276000000005"/>
    <n v="537.548"/>
    <n v="15"/>
    <n v="13894.241400000001"/>
    <n v="5831.0214000000005"/>
  </r>
  <r>
    <s v="ORD-2024-581530"/>
    <x v="254"/>
    <x v="9"/>
    <d v="2024-09-18T00:00:00"/>
    <n v="11"/>
    <x v="1"/>
    <x v="9"/>
    <s v="Beijing"/>
    <s v="Consumer"/>
    <x v="3"/>
    <x v="7"/>
    <x v="2"/>
    <x v="432"/>
    <n v="181.74"/>
    <n v="190.84"/>
    <s v="High"/>
    <n v="0.214"/>
    <n v="13"/>
    <n v="1950.0031200000001"/>
    <n v="2362.62"/>
    <n v="-412.61687999999981"/>
    <n v="-0.21159806144310159"/>
    <x v="0"/>
    <x v="1"/>
    <n v="0.2"/>
    <n v="152.672"/>
    <n v="199.91400000000002"/>
    <n v="14"/>
    <n v="2137.4079999999999"/>
    <n v="-661.38800000000026"/>
  </r>
  <r>
    <s v="ORD-2023-378104"/>
    <x v="357"/>
    <x v="4"/>
    <d v="2023-10-20T00:00:00"/>
    <n v="2"/>
    <x v="0"/>
    <x v="0"/>
    <s v="Kisumu"/>
    <s v="Consumer"/>
    <x v="0"/>
    <x v="1"/>
    <x v="3"/>
    <x v="433"/>
    <n v="774.12"/>
    <n v="908.3"/>
    <s v="High"/>
    <n v="0"/>
    <n v="30"/>
    <n v="27249"/>
    <n v="23223.599999999999"/>
    <n v="4025.4000000000015"/>
    <n v="0.14772652207420461"/>
    <x v="1"/>
    <x v="0"/>
    <n v="0"/>
    <n v="908.3"/>
    <n v="851.53200000000004"/>
    <n v="32"/>
    <n v="29065.599999999999"/>
    <n v="1816.5759999999973"/>
  </r>
  <r>
    <s v="ORD-2024-972318"/>
    <x v="358"/>
    <x v="1"/>
    <d v="2025-01-13T00:00:00"/>
    <n v="20"/>
    <x v="1"/>
    <x v="4"/>
    <s v="Bengaluru"/>
    <s v="Corporate"/>
    <x v="2"/>
    <x v="14"/>
    <x v="2"/>
    <x v="434"/>
    <n v="126.15"/>
    <n v="284.23"/>
    <s v="High"/>
    <n v="0.113"/>
    <n v="22"/>
    <n v="5546.4642200000008"/>
    <n v="2775.3"/>
    <n v="2771.1642200000006"/>
    <n v="0.49962716968541088"/>
    <x v="0"/>
    <x v="0"/>
    <n v="0.113"/>
    <n v="252.11201000000003"/>
    <n v="138.76500000000001"/>
    <n v="24"/>
    <n v="6050.6882400000004"/>
    <n v="2720.3282400000003"/>
  </r>
  <r>
    <s v="ORD-2023-752962"/>
    <x v="67"/>
    <x v="8"/>
    <d v="2023-04-28T00:00:00"/>
    <n v="7"/>
    <x v="1"/>
    <x v="2"/>
    <s v="Nagoya"/>
    <s v="Small Business"/>
    <x v="4"/>
    <x v="12"/>
    <x v="0"/>
    <x v="435"/>
    <n v="607.04"/>
    <n v="1229.3399999999999"/>
    <s v="High"/>
    <n v="0.14699999999999999"/>
    <n v="7"/>
    <n v="7340.3891399999993"/>
    <n v="4249.28"/>
    <n v="3091.1091399999996"/>
    <n v="0.42110970972310058"/>
    <x v="1"/>
    <x v="0"/>
    <n v="0.14699999999999999"/>
    <n v="1048.6270199999999"/>
    <n v="667.74400000000003"/>
    <n v="8"/>
    <n v="8389.0161599999992"/>
    <n v="3047.064159999999"/>
  </r>
  <r>
    <s v="ORD-2023-808024"/>
    <x v="359"/>
    <x v="4"/>
    <d v="2024-01-08T00:00:00"/>
    <n v="9"/>
    <x v="3"/>
    <x v="7"/>
    <s v="Marseille"/>
    <s v="Consumer"/>
    <x v="2"/>
    <x v="4"/>
    <x v="6"/>
    <x v="436"/>
    <n v="861.1"/>
    <n v="1224.72"/>
    <s v="High"/>
    <n v="0.17399999999999999"/>
    <n v="24"/>
    <n v="24278.849280000002"/>
    <n v="20666.400000000001"/>
    <n v="3612.4492800000007"/>
    <n v="0.14878997098827909"/>
    <x v="0"/>
    <x v="0"/>
    <n v="0.17399999999999999"/>
    <n v="1011.6187200000001"/>
    <n v="947.21000000000015"/>
    <n v="26"/>
    <n v="26302.086720000003"/>
    <n v="1674.6267199999975"/>
  </r>
  <r>
    <s v="ORD-2023-156396"/>
    <x v="360"/>
    <x v="2"/>
    <d v="2023-03-12T00:00:00"/>
    <n v="19"/>
    <x v="0"/>
    <x v="0"/>
    <s v="Nakuru"/>
    <s v="Corporate"/>
    <x v="1"/>
    <x v="9"/>
    <x v="2"/>
    <x v="437"/>
    <n v="352.65"/>
    <n v="485.86"/>
    <s v="High"/>
    <n v="4.1000000000000002E-2"/>
    <n v="6"/>
    <n v="2795.6384399999997"/>
    <n v="2115.8999999999996"/>
    <n v="679.73844000000008"/>
    <n v="0.24314247159943908"/>
    <x v="0"/>
    <x v="0"/>
    <n v="4.1000000000000002E-2"/>
    <n v="465.93973999999997"/>
    <n v="387.91500000000002"/>
    <n v="7"/>
    <n v="3261.57818"/>
    <n v="546.17317999999966"/>
  </r>
  <r>
    <s v="ORD-2023-184577"/>
    <x v="361"/>
    <x v="8"/>
    <d v="2023-06-03T00:00:00"/>
    <n v="17"/>
    <x v="1"/>
    <x v="9"/>
    <s v="Beijing"/>
    <s v="Non-Profit"/>
    <x v="3"/>
    <x v="12"/>
    <x v="1"/>
    <x v="438"/>
    <n v="979.59"/>
    <n v="2210.94"/>
    <s v="High"/>
    <n v="0.15"/>
    <n v="11"/>
    <n v="20672.289000000001"/>
    <n v="10775.49"/>
    <n v="9896.7990000000009"/>
    <n v="0.47874712858358359"/>
    <x v="0"/>
    <x v="0"/>
    <n v="0.15"/>
    <n v="1879.299"/>
    <n v="1077.5490000000002"/>
    <n v="12"/>
    <n v="22551.588"/>
    <n v="9620.9999999999964"/>
  </r>
  <r>
    <s v="ORD-2024-446030"/>
    <x v="362"/>
    <x v="0"/>
    <d v="2024-03-26T00:00:00"/>
    <n v="3"/>
    <x v="1"/>
    <x v="4"/>
    <s v="Bengaluru"/>
    <s v="Education"/>
    <x v="4"/>
    <x v="3"/>
    <x v="3"/>
    <x v="439"/>
    <n v="382.21"/>
    <n v="571.89"/>
    <s v="High"/>
    <n v="0.14799999999999999"/>
    <n v="26"/>
    <n v="12668.50728"/>
    <n v="9937.4599999999991"/>
    <n v="2731.0472800000007"/>
    <n v="0.2155776698578809"/>
    <x v="1"/>
    <x v="0"/>
    <n v="0.14799999999999999"/>
    <n v="487.25027999999998"/>
    <n v="420.43099999999998"/>
    <n v="28"/>
    <n v="13643.007839999998"/>
    <n v="1870.9398399999998"/>
  </r>
  <r>
    <s v="ORD-2023-842820"/>
    <x v="363"/>
    <x v="10"/>
    <d v="2023-09-28T00:00:00"/>
    <n v="8"/>
    <x v="1"/>
    <x v="4"/>
    <s v="Unknown"/>
    <s v="Corporate"/>
    <x v="5"/>
    <x v="5"/>
    <x v="6"/>
    <x v="440"/>
    <n v="1362.06"/>
    <n v="3398.37"/>
    <s v="High"/>
    <n v="0.157"/>
    <n v="11"/>
    <n v="31513.085009999999"/>
    <n v="14982.66"/>
    <n v="16530.425009999999"/>
    <n v="0.52455749745714919"/>
    <x v="0"/>
    <x v="0"/>
    <n v="0.157"/>
    <n v="2864.82591"/>
    <n v="1498.2660000000001"/>
    <n v="12"/>
    <n v="34377.910920000002"/>
    <n v="16398.718919999999"/>
  </r>
  <r>
    <s v="ORD-2024-745424"/>
    <x v="364"/>
    <x v="9"/>
    <d v="2024-09-04T00:00:00"/>
    <n v="13"/>
    <x v="3"/>
    <x v="6"/>
    <s v="Frankfurt"/>
    <s v="Non-Profit"/>
    <x v="0"/>
    <x v="4"/>
    <x v="1"/>
    <x v="441"/>
    <n v="90.04"/>
    <n v="194.62"/>
    <s v="High"/>
    <n v="4.2999999999999997E-2"/>
    <n v="32"/>
    <n v="5960.04288"/>
    <n v="2881.28"/>
    <n v="3078.7628799999998"/>
    <n v="0.51656723650954672"/>
    <x v="0"/>
    <x v="0"/>
    <n v="4.2999999999999997E-2"/>
    <n v="186.25134"/>
    <n v="99.044000000000011"/>
    <n v="34"/>
    <n v="6332.5455599999996"/>
    <n v="2965.0495599999995"/>
  </r>
  <r>
    <s v="ORD-2024-510520"/>
    <x v="365"/>
    <x v="9"/>
    <d v="2024-10-03T00:00:00"/>
    <n v="8"/>
    <x v="2"/>
    <x v="3"/>
    <s v="Toronto"/>
    <s v="Consumer"/>
    <x v="1"/>
    <x v="6"/>
    <x v="1"/>
    <x v="442"/>
    <n v="558.19000000000005"/>
    <n v="1031.6400000000001"/>
    <s v="High"/>
    <n v="0"/>
    <n v="21"/>
    <n v="21664.440000000002"/>
    <n v="11721.990000000002"/>
    <n v="9942.4500000000007"/>
    <n v="0.45892947152107322"/>
    <x v="0"/>
    <x v="0"/>
    <n v="0"/>
    <n v="1031.6400000000001"/>
    <n v="614.00900000000013"/>
    <n v="23"/>
    <n v="23727.72"/>
    <n v="9605.512999999999"/>
  </r>
  <r>
    <s v="ORD-2023-769774"/>
    <x v="366"/>
    <x v="8"/>
    <d v="2023-06-24T00:00:00"/>
    <n v="11"/>
    <x v="2"/>
    <x v="3"/>
    <s v="Toronto"/>
    <s v="Corporate"/>
    <x v="1"/>
    <x v="0"/>
    <x v="1"/>
    <x v="443"/>
    <n v="247.07"/>
    <n v="495.19"/>
    <s v="High"/>
    <n v="2.8000000000000001E-2"/>
    <n v="4"/>
    <n v="1925.29872"/>
    <n v="988.28"/>
    <n v="937.01872000000003"/>
    <n v="0.48668744764968214"/>
    <x v="0"/>
    <x v="0"/>
    <n v="2.8000000000000001E-2"/>
    <n v="481.32468"/>
    <n v="271.77699999999999"/>
    <n v="5"/>
    <n v="2406.6233999999999"/>
    <n v="1047.7384000000002"/>
  </r>
  <r>
    <s v="ORD-2023-580751"/>
    <x v="239"/>
    <x v="4"/>
    <d v="2024-01-13T00:00:00"/>
    <n v="20"/>
    <x v="1"/>
    <x v="2"/>
    <s v="Nagoya"/>
    <s v="Education"/>
    <x v="4"/>
    <x v="5"/>
    <x v="4"/>
    <x v="444"/>
    <n v="625.37"/>
    <n v="1319.04"/>
    <s v="High"/>
    <n v="7.3999999999999996E-2"/>
    <n v="8"/>
    <n v="9771.4483199999995"/>
    <n v="5002.96"/>
    <n v="4768.4883199999995"/>
    <n v="0.48800220436513547"/>
    <x v="0"/>
    <x v="0"/>
    <n v="7.3999999999999996E-2"/>
    <n v="1221.4310399999999"/>
    <n v="687.90700000000004"/>
    <n v="9"/>
    <n v="10992.879359999999"/>
    <n v="4801.7163599999994"/>
  </r>
  <r>
    <s v="ORD-2025-473192"/>
    <x v="257"/>
    <x v="3"/>
    <d v="2025-04-29T00:00:00"/>
    <n v="30"/>
    <x v="0"/>
    <x v="11"/>
    <s v="Durban"/>
    <s v="Consumer"/>
    <x v="2"/>
    <x v="1"/>
    <x v="5"/>
    <x v="445"/>
    <n v="194.6"/>
    <n v="314.87"/>
    <s v="High"/>
    <n v="0.29299999999999998"/>
    <n v="25"/>
    <n v="5565.3272500000003"/>
    <n v="4865"/>
    <n v="700.32725000000028"/>
    <n v="0.1258375686712763"/>
    <x v="0"/>
    <x v="1"/>
    <n v="0.2"/>
    <n v="251.89600000000002"/>
    <n v="214.06"/>
    <n v="27"/>
    <n v="6801.192"/>
    <n v="1021.5720000000003"/>
  </r>
  <r>
    <s v="ORD-2024-886939"/>
    <x v="367"/>
    <x v="5"/>
    <d v="2024-06-24T00:00:00"/>
    <n v="21"/>
    <x v="2"/>
    <x v="3"/>
    <s v="Toronto"/>
    <s v="Small Business"/>
    <x v="4"/>
    <x v="3"/>
    <x v="5"/>
    <x v="446"/>
    <n v="1205.5"/>
    <n v="2210.17"/>
    <s v="High"/>
    <n v="0.104"/>
    <n v="23"/>
    <n v="45547.183360000003"/>
    <n v="27726.5"/>
    <n v="17820.683360000003"/>
    <n v="0.39125763758314652"/>
    <x v="0"/>
    <x v="0"/>
    <n v="0.104"/>
    <n v="1980.31232"/>
    <n v="1326.0500000000002"/>
    <n v="25"/>
    <n v="49507.807999999997"/>
    <n v="16356.557999999995"/>
  </r>
  <r>
    <s v="ORD-2024-566589"/>
    <x v="368"/>
    <x v="5"/>
    <d v="2024-07-09T00:00:00"/>
    <n v="28"/>
    <x v="0"/>
    <x v="1"/>
    <s v="Port Harcourt"/>
    <s v="Corporate"/>
    <x v="2"/>
    <x v="2"/>
    <x v="3"/>
    <x v="447"/>
    <n v="895.54"/>
    <n v="1045"/>
    <s v="High"/>
    <n v="0.216"/>
    <n v="15"/>
    <n v="12289.2"/>
    <n v="13433.099999999999"/>
    <n v="-1143.8999999999978"/>
    <n v="-9.3081730299775234E-2"/>
    <x v="0"/>
    <x v="1"/>
    <n v="0.2"/>
    <n v="836"/>
    <n v="985.09400000000005"/>
    <n v="16"/>
    <n v="13376"/>
    <n v="-2385.5040000000008"/>
  </r>
  <r>
    <s v="ORD-2023-109927"/>
    <x v="369"/>
    <x v="10"/>
    <d v="2023-07-29T00:00:00"/>
    <n v="7"/>
    <x v="1"/>
    <x v="4"/>
    <s v="Delhi"/>
    <s v="Small Business"/>
    <x v="3"/>
    <x v="6"/>
    <x v="1"/>
    <x v="448"/>
    <n v="946.99"/>
    <n v="2132.19"/>
    <s v="High"/>
    <n v="0.16500000000000001"/>
    <n v="7"/>
    <n v="12462.65055"/>
    <n v="6628.93"/>
    <n v="5833.72055"/>
    <n v="0.46809629513362228"/>
    <x v="1"/>
    <x v="0"/>
    <n v="0.16500000000000001"/>
    <n v="1780.3786499999999"/>
    <n v="1041.6890000000001"/>
    <n v="8"/>
    <n v="14243.029199999999"/>
    <n v="5909.5171999999984"/>
  </r>
  <r>
    <s v="ORD-2023-780206"/>
    <x v="370"/>
    <x v="2"/>
    <d v="2023-02-03T00:00:00"/>
    <n v="15"/>
    <x v="3"/>
    <x v="8"/>
    <s v="London"/>
    <s v="Enterprise"/>
    <x v="3"/>
    <x v="3"/>
    <x v="6"/>
    <x v="449"/>
    <n v="873.06"/>
    <n v="2101.5500000000002"/>
    <s v="High"/>
    <n v="6.6000000000000003E-2"/>
    <n v="10"/>
    <n v="19628.476999999999"/>
    <n v="8730.5999999999985"/>
    <n v="10897.877"/>
    <n v="0.55520746719167269"/>
    <x v="0"/>
    <x v="0"/>
    <n v="6.6000000000000003E-2"/>
    <n v="1962.8477"/>
    <n v="960.36599999999999"/>
    <n v="11"/>
    <n v="21591.324700000001"/>
    <n v="11027.298700000001"/>
  </r>
  <r>
    <s v="ORD-2024-851993"/>
    <x v="371"/>
    <x v="5"/>
    <d v="2024-05-16T00:00:00"/>
    <n v="15"/>
    <x v="1"/>
    <x v="4"/>
    <s v="Bengaluru"/>
    <s v="Small Business"/>
    <x v="0"/>
    <x v="4"/>
    <x v="0"/>
    <x v="450"/>
    <n v="901.19"/>
    <n v="2125.44"/>
    <s v="High"/>
    <n v="7.0999999999999994E-2"/>
    <n v="12"/>
    <n v="23694.405119999999"/>
    <n v="10814.28"/>
    <n v="12880.125119999999"/>
    <n v="0.54359352154100415"/>
    <x v="0"/>
    <x v="0"/>
    <n v="7.0999999999999994E-2"/>
    <n v="1974.5337600000003"/>
    <n v="991.3090000000002"/>
    <n v="13"/>
    <n v="25668.938880000002"/>
    <n v="12781.921880000002"/>
  </r>
  <r>
    <s v="ORD-2025-417942"/>
    <x v="56"/>
    <x v="6"/>
    <d v="2025-06-24T00:00:00"/>
    <n v="15"/>
    <x v="1"/>
    <x v="2"/>
    <s v="Nagoya"/>
    <s v="Corporate"/>
    <x v="4"/>
    <x v="5"/>
    <x v="3"/>
    <x v="451"/>
    <n v="400.39"/>
    <n v="712.75"/>
    <s v="High"/>
    <n v="0.115"/>
    <n v="19"/>
    <n v="11984.891250000001"/>
    <n v="7607.41"/>
    <n v="4377.4812500000007"/>
    <n v="0.36524997671547504"/>
    <x v="0"/>
    <x v="0"/>
    <n v="0.115"/>
    <n v="630.78375000000005"/>
    <n v="440.42900000000003"/>
    <n v="20"/>
    <n v="12615.675000000001"/>
    <n v="3807.0950000000003"/>
  </r>
  <r>
    <s v="ORD-2023-172095"/>
    <x v="372"/>
    <x v="8"/>
    <d v="2023-06-21T00:00:00"/>
    <n v="28"/>
    <x v="2"/>
    <x v="10"/>
    <s v="Austin"/>
    <s v="Small Business"/>
    <x v="2"/>
    <x v="3"/>
    <x v="5"/>
    <x v="452"/>
    <n v="813.97"/>
    <n v="1568.83"/>
    <s v="High"/>
    <n v="1.7000000000000001E-2"/>
    <n v="15"/>
    <n v="23132.398349999996"/>
    <n v="12209.550000000001"/>
    <n v="10922.848349999995"/>
    <n v="0.4721883215364911"/>
    <x v="0"/>
    <x v="0"/>
    <n v="1.7000000000000001E-2"/>
    <n v="1542.1598899999999"/>
    <n v="895.36700000000008"/>
    <n v="16"/>
    <n v="24674.558239999998"/>
    <n v="10348.686239999997"/>
  </r>
  <r>
    <s v="ORD-2024-257550"/>
    <x v="6"/>
    <x v="1"/>
    <d v="2024-12-29T00:00:00"/>
    <n v="2"/>
    <x v="2"/>
    <x v="3"/>
    <s v="Vancouver"/>
    <s v="Enterprise"/>
    <x v="2"/>
    <x v="0"/>
    <x v="6"/>
    <x v="453"/>
    <n v="1146.72"/>
    <n v="2074.34"/>
    <s v="High"/>
    <n v="0.111"/>
    <n v="8"/>
    <n v="14752.706080000002"/>
    <n v="9173.76"/>
    <n v="5578.9460800000015"/>
    <n v="0.37816425337472737"/>
    <x v="1"/>
    <x v="0"/>
    <n v="0.111"/>
    <n v="1844.0882600000002"/>
    <n v="1261.3920000000001"/>
    <n v="9"/>
    <n v="16596.79434"/>
    <n v="5244.2663400000019"/>
  </r>
  <r>
    <s v="ORD-2023-581799"/>
    <x v="373"/>
    <x v="4"/>
    <d v="2023-12-12T00:00:00"/>
    <n v="7"/>
    <x v="2"/>
    <x v="5"/>
    <s v="Brasília"/>
    <s v="Corporate"/>
    <x v="4"/>
    <x v="9"/>
    <x v="3"/>
    <x v="454"/>
    <n v="307.43"/>
    <n v="495.19"/>
    <s v="High"/>
    <n v="0"/>
    <n v="42"/>
    <n v="20797.98"/>
    <n v="12912.06"/>
    <n v="7885.92"/>
    <n v="0.37916759223732305"/>
    <x v="1"/>
    <x v="0"/>
    <n v="0"/>
    <n v="495.19"/>
    <n v="338.17300000000006"/>
    <n v="45"/>
    <n v="22283.55"/>
    <n v="7065.7649999999976"/>
  </r>
  <r>
    <s v="ORD-2023-880296"/>
    <x v="129"/>
    <x v="8"/>
    <d v="2023-05-19T00:00:00"/>
    <n v="17"/>
    <x v="1"/>
    <x v="9"/>
    <s v="Shanghai"/>
    <s v="Non-Profit"/>
    <x v="4"/>
    <x v="1"/>
    <x v="5"/>
    <x v="455"/>
    <n v="714.28"/>
    <n v="757.59"/>
    <s v="High"/>
    <n v="0.13600000000000001"/>
    <n v="12"/>
    <n v="7854.6931199999999"/>
    <n v="8571.36"/>
    <n v="-716.66688000000067"/>
    <n v="-9.1240595787910383E-2"/>
    <x v="0"/>
    <x v="0"/>
    <n v="0.13600000000000001"/>
    <n v="654.55776000000003"/>
    <n v="785.70800000000008"/>
    <n v="13"/>
    <n v="8509.2508799999996"/>
    <n v="-1704.9531200000006"/>
  </r>
  <r>
    <s v="ORD-2023-191563"/>
    <x v="134"/>
    <x v="4"/>
    <d v="2023-12-10T00:00:00"/>
    <n v="10"/>
    <x v="3"/>
    <x v="6"/>
    <s v="Munich"/>
    <s v="Small Business"/>
    <x v="4"/>
    <x v="9"/>
    <x v="4"/>
    <x v="456"/>
    <n v="174.74"/>
    <n v="415.96"/>
    <s v="High"/>
    <n v="0.125"/>
    <n v="21"/>
    <n v="7643.2649999999994"/>
    <n v="3669.54"/>
    <n v="3973.7249999999995"/>
    <n v="0.51989889137691803"/>
    <x v="0"/>
    <x v="0"/>
    <n v="0.125"/>
    <n v="363.96499999999997"/>
    <n v="192.21400000000003"/>
    <n v="23"/>
    <n v="8371.1949999999997"/>
    <n v="3950.2729999999988"/>
  </r>
  <r>
    <s v="ORD-2024-202166"/>
    <x v="374"/>
    <x v="5"/>
    <d v="2024-05-18T00:00:00"/>
    <n v="13"/>
    <x v="3"/>
    <x v="7"/>
    <s v="Marseille"/>
    <s v="Corporate"/>
    <x v="2"/>
    <x v="8"/>
    <x v="0"/>
    <x v="457"/>
    <n v="1264.04"/>
    <n v="1870.89"/>
    <s v="High"/>
    <n v="0"/>
    <n v="13"/>
    <n v="24321.57"/>
    <n v="16432.52"/>
    <n v="7889.0499999999993"/>
    <n v="0.32436433996653996"/>
    <x v="0"/>
    <x v="0"/>
    <n v="0"/>
    <n v="1870.89"/>
    <n v="1390.444"/>
    <n v="14"/>
    <n v="26192.460000000003"/>
    <n v="6726.2440000000024"/>
  </r>
  <r>
    <s v="ORD-2023-539967"/>
    <x v="375"/>
    <x v="10"/>
    <d v="2023-07-19T00:00:00"/>
    <n v="10"/>
    <x v="1"/>
    <x v="2"/>
    <s v="Tokyo"/>
    <s v="Enterprise"/>
    <x v="3"/>
    <x v="13"/>
    <x v="0"/>
    <x v="458"/>
    <n v="141.26"/>
    <n v="206.88"/>
    <s v="High"/>
    <n v="0.107"/>
    <n v="9"/>
    <n v="1662.6945600000001"/>
    <n v="1271.3399999999999"/>
    <n v="391.35456000000022"/>
    <n v="0.23537369365062469"/>
    <x v="0"/>
    <x v="0"/>
    <n v="0.107"/>
    <n v="184.74384000000001"/>
    <n v="155.386"/>
    <n v="10"/>
    <n v="1847.4384"/>
    <n v="293.5784000000001"/>
  </r>
  <r>
    <s v="ORD-2023-704111"/>
    <x v="361"/>
    <x v="8"/>
    <d v="2023-06-15T00:00:00"/>
    <n v="29"/>
    <x v="0"/>
    <x v="11"/>
    <s v="Durban"/>
    <s v="Enterprise"/>
    <x v="0"/>
    <x v="11"/>
    <x v="6"/>
    <x v="459"/>
    <n v="40.89"/>
    <n v="62.82"/>
    <s v="High"/>
    <n v="0.129"/>
    <n v="17"/>
    <n v="930.17574000000002"/>
    <n v="695.13"/>
    <n v="235.04574000000002"/>
    <n v="0.25268960465470752"/>
    <x v="0"/>
    <x v="0"/>
    <n v="0.129"/>
    <n v="54.71622"/>
    <n v="44.979000000000006"/>
    <n v="18"/>
    <n v="984.89196000000004"/>
    <n v="175.26995999999988"/>
  </r>
  <r>
    <s v="ORD-2024-356812"/>
    <x v="34"/>
    <x v="0"/>
    <d v="2024-04-03T00:00:00"/>
    <n v="27"/>
    <x v="3"/>
    <x v="6"/>
    <s v="Frankfurt"/>
    <s v="Corporate"/>
    <x v="4"/>
    <x v="12"/>
    <x v="1"/>
    <x v="460"/>
    <n v="738.16"/>
    <n v="956.49"/>
    <s v="High"/>
    <n v="0.152"/>
    <n v="5"/>
    <n v="4055.5175999999997"/>
    <n v="3690.7999999999997"/>
    <n v="364.71759999999995"/>
    <n v="8.9931208780847108E-2"/>
    <x v="0"/>
    <x v="0"/>
    <n v="0.152"/>
    <n v="811.10352"/>
    <n v="811.976"/>
    <n v="6"/>
    <n v="4866.6211199999998"/>
    <n v="-5.2348799999999756"/>
  </r>
  <r>
    <s v="ORD-2025-306251"/>
    <x v="376"/>
    <x v="6"/>
    <d v="2025-04-19T00:00:00"/>
    <n v="9"/>
    <x v="0"/>
    <x v="11"/>
    <s v="Durban"/>
    <s v="Enterprise"/>
    <x v="5"/>
    <x v="3"/>
    <x v="2"/>
    <x v="461"/>
    <n v="113.74"/>
    <n v="165.7"/>
    <s v="High"/>
    <n v="0.124"/>
    <n v="13"/>
    <n v="1886.9915999999998"/>
    <n v="1478.62"/>
    <n v="408.37159999999994"/>
    <n v="0.21641410592394794"/>
    <x v="0"/>
    <x v="0"/>
    <n v="0.124"/>
    <n v="145.1532"/>
    <n v="125.114"/>
    <n v="14"/>
    <n v="2032.1448"/>
    <n v="280.54879999999991"/>
  </r>
  <r>
    <s v="ORD-2025-496178"/>
    <x v="377"/>
    <x v="7"/>
    <d v="2025-08-15T00:00:00"/>
    <n v="19"/>
    <x v="1"/>
    <x v="2"/>
    <s v="Tokyo"/>
    <s v="Small Business"/>
    <x v="2"/>
    <x v="1"/>
    <x v="0"/>
    <x v="462"/>
    <n v="275.43"/>
    <n v="608.36"/>
    <s v="High"/>
    <n v="0.25700000000000001"/>
    <n v="4"/>
    <n v="1808.04592"/>
    <n v="1101.72"/>
    <n v="706.32592"/>
    <n v="0.39065706915231446"/>
    <x v="0"/>
    <x v="1"/>
    <n v="0.2"/>
    <n v="486.68800000000005"/>
    <n v="302.97300000000001"/>
    <n v="5"/>
    <n v="2433.44"/>
    <n v="918.57500000000016"/>
  </r>
  <r>
    <s v="ORD-2024-508213"/>
    <x v="378"/>
    <x v="1"/>
    <d v="2024-12-15T00:00:00"/>
    <n v="23"/>
    <x v="0"/>
    <x v="0"/>
    <s v="Mombasa"/>
    <s v="Non-Profit"/>
    <x v="3"/>
    <x v="0"/>
    <x v="0"/>
    <x v="463"/>
    <n v="1335.76"/>
    <n v="2665.91"/>
    <s v="High"/>
    <n v="0.21099999999999999"/>
    <n v="40"/>
    <n v="84136.119600000005"/>
    <n v="53430.400000000001"/>
    <n v="30705.719600000004"/>
    <n v="0.36495288522909253"/>
    <x v="0"/>
    <x v="1"/>
    <n v="0.2"/>
    <n v="2132.7280000000001"/>
    <n v="1469.336"/>
    <n v="42"/>
    <n v="89574.576000000001"/>
    <n v="27862.464000000004"/>
  </r>
  <r>
    <s v="ORD-2024-787018"/>
    <x v="303"/>
    <x v="5"/>
    <d v="2024-06-28T00:00:00"/>
    <n v="5"/>
    <x v="0"/>
    <x v="1"/>
    <s v="Port Harcourt"/>
    <s v="Non-Profit"/>
    <x v="4"/>
    <x v="12"/>
    <x v="6"/>
    <x v="464"/>
    <n v="242.31"/>
    <n v="587.95000000000005"/>
    <s v="High"/>
    <n v="0.22900000000000001"/>
    <n v="6"/>
    <n v="2719.8567000000003"/>
    <n v="1453.8600000000001"/>
    <n v="1265.9967000000001"/>
    <n v="0.46546448568411714"/>
    <x v="1"/>
    <x v="1"/>
    <n v="0.2"/>
    <n v="470.36000000000007"/>
    <n v="266.541"/>
    <n v="7"/>
    <n v="3292.5200000000004"/>
    <n v="1426.7330000000006"/>
  </r>
  <r>
    <s v="ORD-2023-728177"/>
    <x v="379"/>
    <x v="4"/>
    <d v="2024-01-14T00:00:00"/>
    <n v="27"/>
    <x v="1"/>
    <x v="4"/>
    <s v="Mumbai"/>
    <s v="Consumer"/>
    <x v="3"/>
    <x v="14"/>
    <x v="2"/>
    <x v="465"/>
    <n v="1408.3"/>
    <n v="2193.13"/>
    <s v="High"/>
    <n v="7.0999999999999994E-2"/>
    <n v="7"/>
    <n v="14261.92439"/>
    <n v="9858.1"/>
    <n v="4403.8243899999998"/>
    <n v="0.30878191957656281"/>
    <x v="0"/>
    <x v="0"/>
    <n v="7.0999999999999994E-2"/>
    <n v="2037.4177700000002"/>
    <n v="1549.13"/>
    <n v="8"/>
    <n v="16299.342160000002"/>
    <n v="3906.3021600000011"/>
  </r>
  <r>
    <s v="ORD-2025-795385"/>
    <x v="261"/>
    <x v="6"/>
    <d v="2025-06-05T00:00:00"/>
    <n v="4"/>
    <x v="3"/>
    <x v="6"/>
    <s v="Munich"/>
    <s v="Enterprise"/>
    <x v="4"/>
    <x v="12"/>
    <x v="0"/>
    <x v="466"/>
    <n v="1171.42"/>
    <n v="2187.8000000000002"/>
    <s v="High"/>
    <n v="0.23"/>
    <n v="15"/>
    <n v="25269.09"/>
    <n v="17571.300000000003"/>
    <n v="7697.7899999999972"/>
    <n v="0.30463265594447592"/>
    <x v="1"/>
    <x v="1"/>
    <n v="0.2"/>
    <n v="1750.2400000000002"/>
    <n v="1288.5620000000001"/>
    <n v="16"/>
    <n v="28003.840000000004"/>
    <n v="7386.8480000000018"/>
  </r>
  <r>
    <s v="ORD-2025-947929"/>
    <x v="380"/>
    <x v="3"/>
    <d v="2025-04-02T00:00:00"/>
    <n v="10"/>
    <x v="3"/>
    <x v="6"/>
    <s v="Berlin"/>
    <s v="Enterprise"/>
    <x v="1"/>
    <x v="6"/>
    <x v="1"/>
    <x v="467"/>
    <n v="663.61"/>
    <n v="1002.11"/>
    <s v="High"/>
    <n v="4.5999999999999999E-2"/>
    <n v="17"/>
    <n v="16252.219979999998"/>
    <n v="11281.37"/>
    <n v="4970.8499799999972"/>
    <n v="0.30585667595670812"/>
    <x v="0"/>
    <x v="0"/>
    <n v="4.5999999999999999E-2"/>
    <n v="956.01293999999996"/>
    <n v="729.97100000000012"/>
    <n v="18"/>
    <n v="17208.232919999999"/>
    <n v="4068.7549199999971"/>
  </r>
  <r>
    <s v="ORD-2023-931633"/>
    <x v="381"/>
    <x v="8"/>
    <d v="2023-05-22T00:00:00"/>
    <n v="8"/>
    <x v="0"/>
    <x v="0"/>
    <s v="Mombasa"/>
    <s v="Small Business"/>
    <x v="3"/>
    <x v="9"/>
    <x v="1"/>
    <x v="468"/>
    <n v="432.01"/>
    <n v="913.78"/>
    <s v="High"/>
    <n v="4.9000000000000002E-2"/>
    <n v="12"/>
    <n v="10428.057360000001"/>
    <n v="5184.12"/>
    <n v="5243.9373600000008"/>
    <n v="0.50286809699711899"/>
    <x v="0"/>
    <x v="0"/>
    <n v="4.9000000000000002E-2"/>
    <n v="869.00477999999998"/>
    <n v="475.21100000000001"/>
    <n v="13"/>
    <n v="11297.06214"/>
    <n v="5119.3191399999996"/>
  </r>
  <r>
    <s v="ORD-2023-243704"/>
    <x v="344"/>
    <x v="10"/>
    <d v="2023-09-19T00:00:00"/>
    <n v="21"/>
    <x v="3"/>
    <x v="7"/>
    <s v="Lyon"/>
    <s v="Small Business"/>
    <x v="4"/>
    <x v="5"/>
    <x v="1"/>
    <x v="469"/>
    <n v="784.46"/>
    <n v="1843.51"/>
    <s v="High"/>
    <n v="0.13800000000000001"/>
    <n v="23"/>
    <n v="36549.429260000004"/>
    <n v="18042.580000000002"/>
    <n v="18506.849260000003"/>
    <n v="0.50635125184441798"/>
    <x v="0"/>
    <x v="0"/>
    <n v="0.13800000000000001"/>
    <n v="1589.10562"/>
    <n v="862.90600000000006"/>
    <n v="25"/>
    <n v="39727.640500000001"/>
    <n v="18154.9905"/>
  </r>
  <r>
    <s v="ORD-2025-779659"/>
    <x v="349"/>
    <x v="7"/>
    <d v="2025-07-23T00:00:00"/>
    <n v="20"/>
    <x v="1"/>
    <x v="9"/>
    <s v="Beijing"/>
    <s v="Small Business"/>
    <x v="1"/>
    <x v="12"/>
    <x v="0"/>
    <x v="470"/>
    <n v="647.36"/>
    <n v="1383.6"/>
    <s v="High"/>
    <n v="7.3999999999999996E-2"/>
    <n v="12"/>
    <n v="15374.563199999999"/>
    <n v="7768.32"/>
    <n v="7606.243199999999"/>
    <n v="0.49472906000997802"/>
    <x v="0"/>
    <x v="0"/>
    <n v="7.3999999999999996E-2"/>
    <n v="1281.2136"/>
    <n v="712.09600000000012"/>
    <n v="13"/>
    <n v="16655.7768"/>
    <n v="7398.5287999999991"/>
  </r>
  <r>
    <s v="ORD-2024-647571"/>
    <x v="382"/>
    <x v="0"/>
    <d v="2024-02-28T00:00:00"/>
    <n v="22"/>
    <x v="0"/>
    <x v="0"/>
    <s v="Kisumu"/>
    <s v="Non-Profit"/>
    <x v="1"/>
    <x v="11"/>
    <x v="5"/>
    <x v="471"/>
    <n v="834.93"/>
    <n v="1588.53"/>
    <s v="High"/>
    <n v="0.126"/>
    <n v="6"/>
    <n v="8330.2513199999994"/>
    <n v="5009.58"/>
    <n v="3320.6713199999995"/>
    <n v="0.39862798761274343"/>
    <x v="0"/>
    <x v="0"/>
    <n v="0.126"/>
    <n v="1388.3752199999999"/>
    <n v="918.423"/>
    <n v="7"/>
    <n v="9718.6265399999993"/>
    <n v="3289.6655399999991"/>
  </r>
  <r>
    <s v="ORD-2025-683043"/>
    <x v="383"/>
    <x v="7"/>
    <d v="2025-09-03T00:00:00"/>
    <n v="21"/>
    <x v="3"/>
    <x v="7"/>
    <s v="Paris"/>
    <s v="Education"/>
    <x v="0"/>
    <x v="2"/>
    <x v="3"/>
    <x v="472"/>
    <n v="603.47"/>
    <n v="1344.05"/>
    <s v="High"/>
    <n v="0.20499999999999999"/>
    <n v="18"/>
    <n v="19233.355499999998"/>
    <n v="10862.460000000001"/>
    <n v="8370.8954999999969"/>
    <n v="0.43522803392262976"/>
    <x v="0"/>
    <x v="1"/>
    <n v="0.2"/>
    <n v="1075.24"/>
    <n v="663.81700000000012"/>
    <n v="19"/>
    <n v="20429.560000000001"/>
    <n v="7817.0369999999975"/>
  </r>
  <r>
    <s v="ORD-2023-588455"/>
    <x v="206"/>
    <x v="8"/>
    <d v="2023-05-25T00:00:00"/>
    <n v="2"/>
    <x v="2"/>
    <x v="5"/>
    <s v="Rio de Janeiro"/>
    <s v="Enterprise"/>
    <x v="0"/>
    <x v="12"/>
    <x v="1"/>
    <x v="473"/>
    <n v="690.49"/>
    <n v="1290.29"/>
    <s v="High"/>
    <n v="4.2000000000000003E-2"/>
    <n v="22"/>
    <n v="27194.152039999997"/>
    <n v="15190.78"/>
    <n v="12003.372039999997"/>
    <n v="0.44139534199647718"/>
    <x v="1"/>
    <x v="0"/>
    <n v="4.2000000000000003E-2"/>
    <n v="1236.09782"/>
    <n v="759.5390000000001"/>
    <n v="24"/>
    <n v="29666.347679999999"/>
    <n v="11437.411679999997"/>
  </r>
  <r>
    <s v="ORD-2024-641220"/>
    <x v="384"/>
    <x v="5"/>
    <d v="2024-05-16T00:00:00"/>
    <n v="6"/>
    <x v="3"/>
    <x v="8"/>
    <s v="Birmingham"/>
    <s v="Non-Profit"/>
    <x v="4"/>
    <x v="3"/>
    <x v="4"/>
    <x v="474"/>
    <n v="210.76"/>
    <n v="221.58"/>
    <s v="High"/>
    <n v="8.8999999999999996E-2"/>
    <n v="5"/>
    <n v="1009.2969000000002"/>
    <n v="1053.8"/>
    <n v="-44.50309999999979"/>
    <n v="-4.4093170205912434E-2"/>
    <x v="1"/>
    <x v="0"/>
    <n v="8.8999999999999996E-2"/>
    <n v="201.85938000000002"/>
    <n v="231.83600000000001"/>
    <n v="6"/>
    <n v="1211.1562800000002"/>
    <n v="-179.85971999999998"/>
  </r>
  <r>
    <s v="ORD-2023-799597"/>
    <x v="210"/>
    <x v="2"/>
    <d v="2023-03-18T00:00:00"/>
    <n v="4"/>
    <x v="3"/>
    <x v="6"/>
    <s v="Frankfurt"/>
    <s v="Enterprise"/>
    <x v="4"/>
    <x v="8"/>
    <x v="0"/>
    <x v="475"/>
    <n v="472.33"/>
    <n v="360.34"/>
    <s v="High"/>
    <n v="0.16500000000000001"/>
    <n v="14"/>
    <n v="4212.3745999999992"/>
    <n v="6612.62"/>
    <n v="-2400.2454000000007"/>
    <n v="-0.56980815523861561"/>
    <x v="1"/>
    <x v="0"/>
    <n v="0.16500000000000001"/>
    <n v="300.88389999999998"/>
    <n v="519.56299999999999"/>
    <n v="15"/>
    <n v="4513.2584999999999"/>
    <n v="-3280.1865000000003"/>
  </r>
  <r>
    <s v="ORD-2023-569862"/>
    <x v="385"/>
    <x v="10"/>
    <d v="2023-08-13T00:00:00"/>
    <n v="28"/>
    <x v="3"/>
    <x v="8"/>
    <s v="Manchester"/>
    <s v="Non-Profit"/>
    <x v="1"/>
    <x v="1"/>
    <x v="4"/>
    <x v="476"/>
    <n v="1039.03"/>
    <n v="2545.81"/>
    <s v="High"/>
    <n v="0.216"/>
    <n v="21"/>
    <n v="41914.215840000004"/>
    <n v="21819.63"/>
    <n v="20094.585840000003"/>
    <n v="0.47942172929364774"/>
    <x v="0"/>
    <x v="1"/>
    <n v="0.2"/>
    <n v="2036.6480000000001"/>
    <n v="1142.933"/>
    <n v="23"/>
    <n v="46842.904000000002"/>
    <n v="20555.445000000003"/>
  </r>
  <r>
    <s v="ORD-2023-609394"/>
    <x v="386"/>
    <x v="8"/>
    <d v="2023-04-19T00:00:00"/>
    <n v="3"/>
    <x v="3"/>
    <x v="6"/>
    <s v="Munich"/>
    <s v="Corporate"/>
    <x v="4"/>
    <x v="5"/>
    <x v="6"/>
    <x v="477"/>
    <n v="553.61"/>
    <n v="699.47"/>
    <s v="High"/>
    <n v="0.02"/>
    <n v="33"/>
    <n v="22620.859800000002"/>
    <n v="18269.13"/>
    <n v="4351.729800000001"/>
    <n v="0.19237685209472014"/>
    <x v="1"/>
    <x v="0"/>
    <n v="0.02"/>
    <n v="685.48059999999998"/>
    <n v="608.97100000000012"/>
    <n v="35"/>
    <n v="23991.821"/>
    <n v="2677.8359999999952"/>
  </r>
  <r>
    <s v="ORD-2024-105586"/>
    <x v="278"/>
    <x v="0"/>
    <d v="2024-01-15T00:00:00"/>
    <n v="13"/>
    <x v="1"/>
    <x v="2"/>
    <s v="Nagoya"/>
    <s v="Small Business"/>
    <x v="2"/>
    <x v="3"/>
    <x v="2"/>
    <x v="478"/>
    <n v="1219.06"/>
    <n v="2738.69"/>
    <s v="High"/>
    <n v="7.5999999999999998E-2"/>
    <n v="16"/>
    <n v="40488.792960000006"/>
    <n v="19504.96"/>
    <n v="20983.832960000007"/>
    <n v="0.51826274447673737"/>
    <x v="0"/>
    <x v="0"/>
    <n v="7.5999999999999998E-2"/>
    <n v="2530.5495600000004"/>
    <n v="1340.9660000000001"/>
    <n v="17"/>
    <n v="43019.342520000006"/>
    <n v="20222.920520000003"/>
  </r>
  <r>
    <s v="ORD-2024-207792"/>
    <x v="208"/>
    <x v="9"/>
    <d v="2024-09-07T00:00:00"/>
    <n v="4"/>
    <x v="1"/>
    <x v="2"/>
    <s v="Tokyo"/>
    <s v="Small Business"/>
    <x v="3"/>
    <x v="13"/>
    <x v="1"/>
    <x v="479"/>
    <n v="43.23"/>
    <n v="94.78"/>
    <s v="High"/>
    <n v="9.0999999999999998E-2"/>
    <n v="55"/>
    <n v="4738.5261"/>
    <n v="2377.6499999999996"/>
    <n v="2360.8761000000004"/>
    <n v="0.49823005090127082"/>
    <x v="1"/>
    <x v="0"/>
    <n v="9.0999999999999998E-2"/>
    <n v="86.155020000000007"/>
    <n v="47.552999999999997"/>
    <n v="58"/>
    <n v="4996.9911600000005"/>
    <n v="2238.9171600000004"/>
  </r>
  <r>
    <s v="ORD-2025-417336"/>
    <x v="387"/>
    <x v="7"/>
    <d v="2025-09-03T00:00:00"/>
    <n v="4"/>
    <x v="3"/>
    <x v="7"/>
    <s v="Marseille"/>
    <s v="Small Business"/>
    <x v="2"/>
    <x v="1"/>
    <x v="4"/>
    <x v="480"/>
    <n v="1286.56"/>
    <n v="2777.35"/>
    <s v="High"/>
    <n v="0.13200000000000001"/>
    <n v="15"/>
    <n v="36161.097000000002"/>
    <n v="19298.399999999998"/>
    <n v="16862.697000000004"/>
    <n v="0.46632150014696744"/>
    <x v="1"/>
    <x v="0"/>
    <n v="0.13200000000000001"/>
    <n v="2410.7397999999998"/>
    <n v="1415.2160000000001"/>
    <n v="16"/>
    <n v="38571.836799999997"/>
    <n v="15928.380799999995"/>
  </r>
  <r>
    <s v="ORD-2025-252117"/>
    <x v="86"/>
    <x v="6"/>
    <d v="2025-05-19T00:00:00"/>
    <n v="21"/>
    <x v="3"/>
    <x v="6"/>
    <s v="Berlin"/>
    <s v="Corporate"/>
    <x v="3"/>
    <x v="5"/>
    <x v="3"/>
    <x v="481"/>
    <n v="350.76"/>
    <n v="492.18"/>
    <s v="High"/>
    <n v="5.2999999999999999E-2"/>
    <n v="11"/>
    <n v="5127.0390600000001"/>
    <n v="3858.3599999999997"/>
    <n v="1268.6790600000004"/>
    <n v="0.24744868239798437"/>
    <x v="0"/>
    <x v="0"/>
    <n v="5.2999999999999999E-2"/>
    <n v="466.09445999999997"/>
    <n v="385.83600000000001"/>
    <n v="12"/>
    <n v="5593.1335199999994"/>
    <n v="963.10151999999948"/>
  </r>
  <r>
    <s v="ORD-2023-867175"/>
    <x v="388"/>
    <x v="10"/>
    <d v="2023-08-15T00:00:00"/>
    <n v="5"/>
    <x v="2"/>
    <x v="5"/>
    <s v="São Paulo"/>
    <s v="Education"/>
    <x v="4"/>
    <x v="3"/>
    <x v="2"/>
    <x v="482"/>
    <n v="1307.52"/>
    <n v="1921.65"/>
    <s v="High"/>
    <n v="0.123"/>
    <n v="13"/>
    <n v="21908.731650000002"/>
    <n v="16997.759999999998"/>
    <n v="4910.9716500000031"/>
    <n v="0.22415590863289445"/>
    <x v="1"/>
    <x v="0"/>
    <n v="0.123"/>
    <n v="1685.2870500000001"/>
    <n v="1438.2720000000002"/>
    <n v="14"/>
    <n v="23594.018700000001"/>
    <n v="3458.2106999999996"/>
  </r>
  <r>
    <s v="ORD-2024-382152"/>
    <x v="389"/>
    <x v="1"/>
    <d v="2024-12-08T00:00:00"/>
    <n v="0"/>
    <x v="3"/>
    <x v="7"/>
    <s v="Lyon"/>
    <s v="Enterprise"/>
    <x v="0"/>
    <x v="10"/>
    <x v="0"/>
    <x v="483"/>
    <n v="257.44"/>
    <n v="290.33"/>
    <s v="High"/>
    <n v="9.1999999999999998E-2"/>
    <n v="23"/>
    <n v="6063.2517199999993"/>
    <n v="5921.12"/>
    <n v="142.1317199999994"/>
    <n v="2.3441500792581216E-2"/>
    <x v="1"/>
    <x v="0"/>
    <n v="9.1999999999999998E-2"/>
    <n v="263.61964"/>
    <n v="283.18400000000003"/>
    <n v="25"/>
    <n v="6590.491"/>
    <n v="-489.10900000000055"/>
  </r>
  <r>
    <s v="ORD-2023-597666"/>
    <x v="390"/>
    <x v="4"/>
    <d v="2023-11-24T00:00:00"/>
    <n v="30"/>
    <x v="3"/>
    <x v="7"/>
    <s v="Paris"/>
    <s v="Enterprise"/>
    <x v="3"/>
    <x v="0"/>
    <x v="3"/>
    <x v="484"/>
    <n v="287.85000000000002"/>
    <n v="602.91999999999996"/>
    <s v="High"/>
    <n v="0.222"/>
    <n v="11"/>
    <n v="5159.7893599999998"/>
    <n v="3166.3500000000004"/>
    <n v="1993.4393599999994"/>
    <n v="0.38634122847216373"/>
    <x v="0"/>
    <x v="1"/>
    <n v="0.2"/>
    <n v="482.33600000000001"/>
    <n v="316.63500000000005"/>
    <n v="12"/>
    <n v="5788.0320000000002"/>
    <n v="1988.4119999999996"/>
  </r>
  <r>
    <s v="ORD-2024-371409"/>
    <x v="391"/>
    <x v="1"/>
    <d v="2024-11-28T00:00:00"/>
    <n v="11"/>
    <x v="2"/>
    <x v="3"/>
    <s v="Unknown"/>
    <s v="Consumer"/>
    <x v="3"/>
    <x v="8"/>
    <x v="1"/>
    <x v="485"/>
    <n v="1008.16"/>
    <n v="2077.5"/>
    <s v="High"/>
    <n v="7.3999999999999996E-2"/>
    <n v="15"/>
    <n v="28856.475000000002"/>
    <n v="15122.4"/>
    <n v="13734.075000000003"/>
    <n v="0.47594430712691005"/>
    <x v="0"/>
    <x v="0"/>
    <n v="7.3999999999999996E-2"/>
    <n v="1923.7650000000001"/>
    <n v="1108.9760000000001"/>
    <n v="16"/>
    <n v="30780.240000000002"/>
    <n v="13036.624"/>
  </r>
  <r>
    <s v="ORD-2024-973420"/>
    <x v="392"/>
    <x v="5"/>
    <d v="2024-05-24T00:00:00"/>
    <n v="12"/>
    <x v="3"/>
    <x v="8"/>
    <s v="Manchester"/>
    <s v="Education"/>
    <x v="2"/>
    <x v="11"/>
    <x v="1"/>
    <x v="486"/>
    <n v="111.02"/>
    <n v="172.88"/>
    <s v="High"/>
    <n v="0.19700000000000001"/>
    <n v="29"/>
    <n v="4025.8565599999993"/>
    <n v="3219.58"/>
    <n v="806.27655999999934"/>
    <n v="0.20027453735212053"/>
    <x v="0"/>
    <x v="0"/>
    <n v="0.19700000000000001"/>
    <n v="138.82263999999998"/>
    <n v="122.122"/>
    <n v="31"/>
    <n v="4303.501839999999"/>
    <n v="517.71983999999929"/>
  </r>
  <r>
    <s v="ORD-2025-254721"/>
    <x v="393"/>
    <x v="6"/>
    <d v="2025-06-05T00:00:00"/>
    <n v="21"/>
    <x v="1"/>
    <x v="2"/>
    <s v="Osaka"/>
    <s v="Enterprise"/>
    <x v="4"/>
    <x v="10"/>
    <x v="3"/>
    <x v="487"/>
    <n v="1466.5"/>
    <n v="2778.74"/>
    <s v="High"/>
    <n v="0.13500000000000001"/>
    <n v="4"/>
    <n v="9614.4403999999995"/>
    <n v="5866"/>
    <n v="3748.4403999999995"/>
    <n v="0.38987608680792279"/>
    <x v="0"/>
    <x v="0"/>
    <n v="0.13500000000000001"/>
    <n v="2403.6100999999999"/>
    <n v="1613.15"/>
    <n v="5"/>
    <n v="12018.050499999999"/>
    <n v="3952.3004999999989"/>
  </r>
  <r>
    <s v="ORD-2024-247032"/>
    <x v="394"/>
    <x v="5"/>
    <d v="2024-05-19T00:00:00"/>
    <n v="28"/>
    <x v="0"/>
    <x v="1"/>
    <s v="Lagos"/>
    <s v="Corporate"/>
    <x v="3"/>
    <x v="8"/>
    <x v="6"/>
    <x v="488"/>
    <n v="187.22"/>
    <n v="309.47000000000003"/>
    <s v="High"/>
    <n v="0"/>
    <n v="5"/>
    <n v="1547.3500000000001"/>
    <n v="936.1"/>
    <n v="611.25000000000011"/>
    <n v="0.39503021294471197"/>
    <x v="0"/>
    <x v="0"/>
    <n v="0"/>
    <n v="309.47000000000003"/>
    <n v="205.94200000000001"/>
    <n v="6"/>
    <n v="1856.8200000000002"/>
    <n v="621.16800000000012"/>
  </r>
  <r>
    <s v="ORD-2024-792353"/>
    <x v="395"/>
    <x v="9"/>
    <d v="2024-09-07T00:00:00"/>
    <n v="19"/>
    <x v="3"/>
    <x v="7"/>
    <s v="Lyon"/>
    <s v="Corporate"/>
    <x v="4"/>
    <x v="1"/>
    <x v="0"/>
    <x v="489"/>
    <n v="297.58999999999997"/>
    <n v="666.41"/>
    <s v="High"/>
    <n v="0"/>
    <n v="10"/>
    <n v="6664.0999999999995"/>
    <n v="2975.8999999999996"/>
    <n v="3688.2"/>
    <n v="0.55344307558409989"/>
    <x v="0"/>
    <x v="0"/>
    <n v="0"/>
    <n v="666.41"/>
    <n v="327.34899999999999"/>
    <n v="11"/>
    <n v="7330.5099999999993"/>
    <n v="3729.6709999999998"/>
  </r>
  <r>
    <s v="ORD-2025-703623"/>
    <x v="318"/>
    <x v="7"/>
    <d v="2025-08-19T00:00:00"/>
    <n v="27"/>
    <x v="1"/>
    <x v="2"/>
    <s v="Nagoya"/>
    <s v="Consumer"/>
    <x v="2"/>
    <x v="5"/>
    <x v="6"/>
    <x v="490"/>
    <n v="896.09"/>
    <n v="744.27"/>
    <s v="High"/>
    <n v="8.3000000000000004E-2"/>
    <n v="11"/>
    <n v="7507.4514899999995"/>
    <n v="9856.99"/>
    <n v="-2349.5385100000003"/>
    <n v="-0.31296086469950679"/>
    <x v="0"/>
    <x v="0"/>
    <n v="8.3000000000000004E-2"/>
    <n v="682.49558999999999"/>
    <n v="985.69900000000007"/>
    <n v="12"/>
    <n v="8189.9470799999999"/>
    <n v="-3638.4409200000009"/>
  </r>
  <r>
    <s v="ORD-2024-516704"/>
    <x v="396"/>
    <x v="0"/>
    <d v="2024-03-08T00:00:00"/>
    <n v="7"/>
    <x v="2"/>
    <x v="5"/>
    <s v="São Paulo"/>
    <s v="Non-Profit"/>
    <x v="4"/>
    <x v="2"/>
    <x v="3"/>
    <x v="491"/>
    <n v="5.34"/>
    <n v="12.69"/>
    <s v="High"/>
    <n v="0.13200000000000001"/>
    <n v="10"/>
    <n v="110.14919999999999"/>
    <n v="53.4"/>
    <n v="56.749199999999995"/>
    <n v="0.51520301554618642"/>
    <x v="1"/>
    <x v="0"/>
    <n v="0.13200000000000001"/>
    <n v="11.01492"/>
    <n v="5.8740000000000006"/>
    <n v="11"/>
    <n v="121.16412"/>
    <n v="56.550119999999993"/>
  </r>
  <r>
    <s v="ORD-2024-578646"/>
    <x v="397"/>
    <x v="5"/>
    <d v="2024-06-17T00:00:00"/>
    <n v="21"/>
    <x v="1"/>
    <x v="4"/>
    <s v="Delhi"/>
    <s v="Small Business"/>
    <x v="1"/>
    <x v="10"/>
    <x v="6"/>
    <x v="492"/>
    <n v="465.02"/>
    <n v="651.55999999999995"/>
    <s v="High"/>
    <n v="4.2000000000000003E-2"/>
    <n v="19"/>
    <n v="11859.695119999998"/>
    <n v="8835.3799999999992"/>
    <n v="3024.3151199999993"/>
    <n v="0.25500783025187918"/>
    <x v="0"/>
    <x v="0"/>
    <n v="4.2000000000000003E-2"/>
    <n v="624.19447999999988"/>
    <n v="511.52200000000005"/>
    <n v="20"/>
    <n v="12483.889599999999"/>
    <n v="2253.4495999999967"/>
  </r>
  <r>
    <s v="ORD-2024-433936"/>
    <x v="398"/>
    <x v="9"/>
    <d v="2024-08-17T00:00:00"/>
    <n v="13"/>
    <x v="2"/>
    <x v="10"/>
    <s v="Austin"/>
    <s v="Consumer"/>
    <x v="0"/>
    <x v="14"/>
    <x v="5"/>
    <x v="493"/>
    <n v="352.79"/>
    <n v="754.22"/>
    <s v="High"/>
    <n v="0.113"/>
    <n v="7"/>
    <n v="4682.9519799999998"/>
    <n v="2469.5300000000002"/>
    <n v="2213.4219799999996"/>
    <n v="0.47265528014233443"/>
    <x v="0"/>
    <x v="0"/>
    <n v="0.113"/>
    <n v="668.99314000000004"/>
    <n v="388.06900000000007"/>
    <n v="8"/>
    <n v="5351.9451200000003"/>
    <n v="2247.3931199999997"/>
  </r>
  <r>
    <s v="ORD-2023-434071"/>
    <x v="263"/>
    <x v="8"/>
    <d v="2023-07-04T00:00:00"/>
    <n v="14"/>
    <x v="2"/>
    <x v="5"/>
    <s v="Brasília"/>
    <s v="Non-Profit"/>
    <x v="4"/>
    <x v="0"/>
    <x v="2"/>
    <x v="494"/>
    <n v="1292.8599999999999"/>
    <n v="2981.01"/>
    <s v="High"/>
    <n v="0.14199999999999999"/>
    <n v="12"/>
    <n v="30692.47896"/>
    <n v="15514.32"/>
    <n v="15178.158960000001"/>
    <n v="0.49452372288927687"/>
    <x v="0"/>
    <x v="0"/>
    <n v="0.14199999999999999"/>
    <n v="2557.70658"/>
    <n v="1422.146"/>
    <n v="13"/>
    <n v="33250.185539999999"/>
    <n v="14762.287540000001"/>
  </r>
  <r>
    <s v="ORD-2024-728474"/>
    <x v="190"/>
    <x v="9"/>
    <d v="2024-09-13T00:00:00"/>
    <n v="4"/>
    <x v="3"/>
    <x v="8"/>
    <s v="London"/>
    <s v="Consumer"/>
    <x v="2"/>
    <x v="9"/>
    <x v="2"/>
    <x v="495"/>
    <n v="1133.08"/>
    <n v="976.17"/>
    <s v="High"/>
    <n v="4.2000000000000003E-2"/>
    <n v="27"/>
    <n v="25249.613219999999"/>
    <n v="30593.159999999996"/>
    <n v="-5343.5467799999969"/>
    <n v="-0.21162885678452373"/>
    <x v="1"/>
    <x v="0"/>
    <n v="4.2000000000000003E-2"/>
    <n v="935.17085999999995"/>
    <n v="1246.3879999999999"/>
    <n v="29"/>
    <n v="27119.95494"/>
    <n v="-9025.297059999999"/>
  </r>
  <r>
    <s v="ORD-2023-406606"/>
    <x v="390"/>
    <x v="4"/>
    <d v="2023-10-28T00:00:00"/>
    <n v="3"/>
    <x v="2"/>
    <x v="5"/>
    <s v="Brasília"/>
    <s v="Corporate"/>
    <x v="3"/>
    <x v="4"/>
    <x v="6"/>
    <x v="496"/>
    <n v="509.31"/>
    <n v="1145.9000000000001"/>
    <s v="High"/>
    <n v="5.7000000000000002E-2"/>
    <n v="8"/>
    <n v="8644.6696000000011"/>
    <n v="4074.48"/>
    <n v="4570.1896000000015"/>
    <n v="0.52867140231709964"/>
    <x v="1"/>
    <x v="0"/>
    <n v="5.7000000000000002E-2"/>
    <n v="1080.5837000000001"/>
    <n v="560.2410000000001"/>
    <n v="9"/>
    <n v="9725.2533000000003"/>
    <n v="4683.0843000000004"/>
  </r>
  <r>
    <s v="ORD-2025-823055"/>
    <x v="17"/>
    <x v="7"/>
    <d v="2025-10-05T00:00:00"/>
    <n v="27"/>
    <x v="2"/>
    <x v="5"/>
    <s v="Rio de Janeiro"/>
    <s v="Education"/>
    <x v="1"/>
    <x v="0"/>
    <x v="5"/>
    <x v="497"/>
    <n v="660.78"/>
    <n v="1630.39"/>
    <s v="High"/>
    <n v="0.218"/>
    <n v="13"/>
    <n v="16574.544740000001"/>
    <n v="8590.14"/>
    <n v="7984.4047400000018"/>
    <n v="0.48172694123724097"/>
    <x v="0"/>
    <x v="1"/>
    <n v="0.2"/>
    <n v="1304.3120000000001"/>
    <n v="726.85800000000006"/>
    <n v="14"/>
    <n v="18260.368000000002"/>
    <n v="8084.3560000000007"/>
  </r>
  <r>
    <s v="ORD-2023-573656"/>
    <x v="129"/>
    <x v="8"/>
    <d v="2023-05-16T00:00:00"/>
    <n v="14"/>
    <x v="1"/>
    <x v="4"/>
    <s v="Bengaluru"/>
    <s v="Non-Profit"/>
    <x v="0"/>
    <x v="4"/>
    <x v="5"/>
    <x v="498"/>
    <n v="475.37"/>
    <n v="963.73"/>
    <s v="High"/>
    <n v="4.1000000000000002E-2"/>
    <n v="22"/>
    <n v="20332.775539999999"/>
    <n v="10458.14"/>
    <n v="9874.6355399999993"/>
    <n v="0.48565113604750881"/>
    <x v="0"/>
    <x v="0"/>
    <n v="4.1000000000000002E-2"/>
    <n v="924.21707000000004"/>
    <n v="522.90700000000004"/>
    <n v="24"/>
    <n v="22181.20968"/>
    <n v="9631.4416799999999"/>
  </r>
  <r>
    <s v="ORD-2024-567435"/>
    <x v="399"/>
    <x v="5"/>
    <d v="2024-05-03T00:00:00"/>
    <n v="7"/>
    <x v="3"/>
    <x v="8"/>
    <s v="London"/>
    <s v="Non-Profit"/>
    <x v="3"/>
    <x v="13"/>
    <x v="3"/>
    <x v="499"/>
    <n v="1232.77"/>
    <n v="891.73"/>
    <s v="High"/>
    <n v="0.16700000000000001"/>
    <n v="10"/>
    <n v="7428.1108999999988"/>
    <n v="12327.7"/>
    <n v="-4899.589100000002"/>
    <n v="-0.65960096260813805"/>
    <x v="1"/>
    <x v="0"/>
    <n v="0.16700000000000001"/>
    <n v="742.81109000000004"/>
    <n v="1356.047"/>
    <n v="11"/>
    <n v="8170.9219900000007"/>
    <n v="-6745.59501"/>
  </r>
  <r>
    <s v="ORD-2023-744942"/>
    <x v="29"/>
    <x v="2"/>
    <d v="2023-03-18T00:00:00"/>
    <n v="23"/>
    <x v="1"/>
    <x v="9"/>
    <s v="Beijing"/>
    <s v="Education"/>
    <x v="3"/>
    <x v="11"/>
    <x v="1"/>
    <x v="500"/>
    <n v="770.11"/>
    <n v="1667.82"/>
    <s v="High"/>
    <n v="6.9000000000000006E-2"/>
    <n v="7"/>
    <n v="10869.182940000001"/>
    <n v="5390.77"/>
    <n v="5478.4129400000002"/>
    <n v="0.50403171703355287"/>
    <x v="0"/>
    <x v="0"/>
    <n v="6.9000000000000006E-2"/>
    <n v="1552.7404200000001"/>
    <n v="847.12100000000009"/>
    <n v="8"/>
    <n v="12421.923360000001"/>
    <n v="5644.9553599999999"/>
  </r>
  <r>
    <s v="ORD-2025-331237"/>
    <x v="400"/>
    <x v="3"/>
    <d v="2025-03-25T00:00:00"/>
    <n v="1"/>
    <x v="1"/>
    <x v="9"/>
    <s v="Beijing"/>
    <s v="Non-Profit"/>
    <x v="1"/>
    <x v="3"/>
    <x v="2"/>
    <x v="501"/>
    <n v="1133.03"/>
    <n v="1921.51"/>
    <s v="High"/>
    <n v="0.10100000000000001"/>
    <n v="5"/>
    <n v="8637.1874499999994"/>
    <n v="5665.15"/>
    <n v="2972.0374499999998"/>
    <n v="0.3440978289755654"/>
    <x v="1"/>
    <x v="0"/>
    <n v="0.10100000000000001"/>
    <n v="1727.43749"/>
    <n v="1246.3330000000001"/>
    <n v="6"/>
    <n v="10364.62494"/>
    <n v="2886.6269399999996"/>
  </r>
  <r>
    <s v="ORD-2025-680118"/>
    <x v="401"/>
    <x v="3"/>
    <d v="2025-03-27T00:00:00"/>
    <n v="17"/>
    <x v="2"/>
    <x v="5"/>
    <s v="Rio de Janeiro"/>
    <s v="Enterprise"/>
    <x v="4"/>
    <x v="9"/>
    <x v="2"/>
    <x v="502"/>
    <n v="996.73"/>
    <n v="1217.43"/>
    <s v="High"/>
    <n v="7.0000000000000007E-2"/>
    <n v="9"/>
    <n v="10189.8891"/>
    <n v="8970.57"/>
    <n v="1219.3191000000006"/>
    <n v="0.11965970267527255"/>
    <x v="0"/>
    <x v="0"/>
    <n v="7.0000000000000007E-2"/>
    <n v="1132.2099000000001"/>
    <n v="1096.403"/>
    <n v="10"/>
    <n v="11322.099"/>
    <n v="358.06900000000041"/>
  </r>
  <r>
    <s v="ORD-2024-310809"/>
    <x v="402"/>
    <x v="5"/>
    <d v="2024-04-09T00:00:00"/>
    <n v="4"/>
    <x v="0"/>
    <x v="1"/>
    <s v="Lagos"/>
    <s v="Non-Profit"/>
    <x v="4"/>
    <x v="11"/>
    <x v="0"/>
    <x v="503"/>
    <n v="395.07"/>
    <n v="970.27"/>
    <s v="High"/>
    <n v="0.123"/>
    <n v="38"/>
    <n v="32335.21802"/>
    <n v="15012.66"/>
    <n v="17322.55802"/>
    <n v="0.53571799049833657"/>
    <x v="1"/>
    <x v="0"/>
    <n v="0.123"/>
    <n v="850.92678999999998"/>
    <n v="434.57700000000006"/>
    <n v="40"/>
    <n v="34037.071599999996"/>
    <n v="16653.991599999998"/>
  </r>
  <r>
    <s v="ORD-2025-474368"/>
    <x v="60"/>
    <x v="6"/>
    <d v="2025-05-17T00:00:00"/>
    <n v="20"/>
    <x v="2"/>
    <x v="10"/>
    <s v="Austin"/>
    <s v="Corporate"/>
    <x v="4"/>
    <x v="13"/>
    <x v="3"/>
    <x v="504"/>
    <n v="932.26"/>
    <n v="1624.67"/>
    <s v="High"/>
    <n v="0.23499999999999999"/>
    <n v="28"/>
    <n v="34800.431400000001"/>
    <n v="26103.279999999999"/>
    <n v="8697.1514000000025"/>
    <n v="0.24991504559337163"/>
    <x v="0"/>
    <x v="1"/>
    <n v="0.2"/>
    <n v="1299.7360000000001"/>
    <n v="1025.4860000000001"/>
    <n v="30"/>
    <n v="38992.080000000002"/>
    <n v="8227.5"/>
  </r>
  <r>
    <s v="ORD-2024-732543"/>
    <x v="403"/>
    <x v="1"/>
    <d v="2024-10-28T00:00:00"/>
    <n v="4"/>
    <x v="1"/>
    <x v="9"/>
    <s v="Shanghai"/>
    <s v="Small Business"/>
    <x v="3"/>
    <x v="2"/>
    <x v="2"/>
    <x v="505"/>
    <n v="1331.77"/>
    <n v="2606.11"/>
    <s v="High"/>
    <n v="0.02"/>
    <n v="6"/>
    <n v="15323.926799999999"/>
    <n v="7990.62"/>
    <n v="7333.3067999999994"/>
    <n v="0.47855271665745619"/>
    <x v="1"/>
    <x v="0"/>
    <n v="0.02"/>
    <n v="2553.9877999999999"/>
    <n v="1464.9470000000001"/>
    <n v="7"/>
    <n v="17877.9146"/>
    <n v="7623.2855999999983"/>
  </r>
  <r>
    <s v="ORD-2023-867166"/>
    <x v="289"/>
    <x v="8"/>
    <d v="2023-04-20T00:00:00"/>
    <n v="7"/>
    <x v="3"/>
    <x v="7"/>
    <s v="Lyon"/>
    <s v="Small Business"/>
    <x v="1"/>
    <x v="8"/>
    <x v="4"/>
    <x v="506"/>
    <n v="227.02"/>
    <n v="434.72"/>
    <s v="High"/>
    <n v="9.8000000000000004E-2"/>
    <n v="10"/>
    <n v="3921.1744000000008"/>
    <n v="2270.2000000000003"/>
    <n v="1650.9744000000005"/>
    <n v="0.42104079838938052"/>
    <x v="1"/>
    <x v="0"/>
    <n v="9.8000000000000004E-2"/>
    <n v="392.11744000000004"/>
    <n v="249.72200000000004"/>
    <n v="11"/>
    <n v="4313.2918400000008"/>
    <n v="1566.3498400000001"/>
  </r>
  <r>
    <s v="ORD-2024-776337"/>
    <x v="404"/>
    <x v="1"/>
    <d v="2024-11-21T00:00:00"/>
    <n v="9"/>
    <x v="1"/>
    <x v="4"/>
    <s v="Mumbai"/>
    <s v="Corporate"/>
    <x v="4"/>
    <x v="10"/>
    <x v="4"/>
    <x v="507"/>
    <n v="903.41"/>
    <n v="1860.41"/>
    <s v="High"/>
    <n v="0.108"/>
    <n v="5"/>
    <n v="8297.4286000000011"/>
    <n v="4517.05"/>
    <n v="3780.3786000000009"/>
    <n v="0.455608451996803"/>
    <x v="0"/>
    <x v="0"/>
    <n v="0.108"/>
    <n v="1659.4857200000001"/>
    <n v="993.75100000000009"/>
    <n v="6"/>
    <n v="9956.9143199999999"/>
    <n v="3994.4083200000005"/>
  </r>
  <r>
    <s v="ORD-2023-913592"/>
    <x v="405"/>
    <x v="8"/>
    <d v="2023-05-14T00:00:00"/>
    <n v="4"/>
    <x v="1"/>
    <x v="4"/>
    <s v="Delhi"/>
    <s v="Non-Profit"/>
    <x v="3"/>
    <x v="0"/>
    <x v="5"/>
    <x v="508"/>
    <n v="622.6"/>
    <n v="833.69"/>
    <s v="High"/>
    <n v="0.20899999999999999"/>
    <n v="14"/>
    <n v="9232.2830599999998"/>
    <n v="8716.4"/>
    <n v="515.88306000000011"/>
    <n v="5.5878167582959715E-2"/>
    <x v="1"/>
    <x v="1"/>
    <n v="0.2"/>
    <n v="666.95200000000011"/>
    <n v="684.86000000000013"/>
    <n v="15"/>
    <n v="10004.280000000002"/>
    <n v="-268.62000000000023"/>
  </r>
  <r>
    <s v="ORD-2024-961501"/>
    <x v="262"/>
    <x v="0"/>
    <d v="2024-03-23T00:00:00"/>
    <n v="21"/>
    <x v="2"/>
    <x v="10"/>
    <s v="Chicago"/>
    <s v="Small Business"/>
    <x v="1"/>
    <x v="9"/>
    <x v="0"/>
    <x v="509"/>
    <n v="225.01"/>
    <n v="333.48"/>
    <s v="High"/>
    <n v="0.11899999999999999"/>
    <n v="12"/>
    <n v="3525.5505600000001"/>
    <n v="2700.12"/>
    <n v="825.43056000000024"/>
    <n v="0.23412813004729685"/>
    <x v="0"/>
    <x v="0"/>
    <n v="0.11899999999999999"/>
    <n v="293.79588000000001"/>
    <n v="247.51100000000002"/>
    <n v="13"/>
    <n v="3819.3464400000003"/>
    <n v="601.70343999999977"/>
  </r>
  <r>
    <s v="ORD-2024-964950"/>
    <x v="406"/>
    <x v="1"/>
    <d v="2024-10-11T00:00:00"/>
    <n v="1"/>
    <x v="3"/>
    <x v="8"/>
    <s v="Manchester"/>
    <s v="Non-Profit"/>
    <x v="3"/>
    <x v="4"/>
    <x v="0"/>
    <x v="510"/>
    <n v="1389.46"/>
    <n v="1784.7"/>
    <s v="High"/>
    <n v="0.14599999999999999"/>
    <n v="33"/>
    <n v="50296.415399999998"/>
    <n v="45852.18"/>
    <n v="4444.2353999999978"/>
    <n v="8.8360877503011831E-2"/>
    <x v="1"/>
    <x v="0"/>
    <n v="0.14599999999999999"/>
    <n v="1524.1338000000001"/>
    <n v="1528.4060000000002"/>
    <n v="35"/>
    <n v="53344.683000000005"/>
    <n v="-149.52700000000391"/>
  </r>
  <r>
    <s v="ORD-2023-349264"/>
    <x v="407"/>
    <x v="8"/>
    <d v="2023-06-08T00:00:00"/>
    <n v="7"/>
    <x v="3"/>
    <x v="6"/>
    <s v="Frankfurt"/>
    <s v="Consumer"/>
    <x v="1"/>
    <x v="8"/>
    <x v="3"/>
    <x v="511"/>
    <n v="804.17"/>
    <n v="1072.29"/>
    <s v="High"/>
    <n v="3.2000000000000001E-2"/>
    <n v="5"/>
    <n v="5189.8836000000001"/>
    <n v="4020.85"/>
    <n v="1169.0336000000002"/>
    <n v="0.2252523736755869"/>
    <x v="1"/>
    <x v="0"/>
    <n v="3.2000000000000001E-2"/>
    <n v="1037.9767199999999"/>
    <n v="884.58699999999999"/>
    <n v="6"/>
    <n v="6227.8603199999998"/>
    <n v="920.33831999999938"/>
  </r>
  <r>
    <s v="ORD-2025-137394"/>
    <x v="408"/>
    <x v="3"/>
    <d v="2025-01-05T00:00:00"/>
    <n v="1"/>
    <x v="1"/>
    <x v="4"/>
    <s v="Delhi"/>
    <s v="Education"/>
    <x v="0"/>
    <x v="2"/>
    <x v="0"/>
    <x v="512"/>
    <n v="1428.33"/>
    <n v="3028.05"/>
    <s v="High"/>
    <n v="0"/>
    <n v="11"/>
    <n v="33308.550000000003"/>
    <n v="15711.63"/>
    <n v="17596.920000000006"/>
    <n v="0.52830039134096207"/>
    <x v="1"/>
    <x v="0"/>
    <n v="0"/>
    <n v="3028.05"/>
    <n v="1571.163"/>
    <n v="12"/>
    <n v="36336.600000000006"/>
    <n v="17482.644"/>
  </r>
  <r>
    <s v="ORD-2025-635337"/>
    <x v="117"/>
    <x v="7"/>
    <d v="2025-08-28T00:00:00"/>
    <n v="23"/>
    <x v="1"/>
    <x v="4"/>
    <s v="Mumbai"/>
    <s v="Non-Profit"/>
    <x v="3"/>
    <x v="13"/>
    <x v="4"/>
    <x v="513"/>
    <n v="638.54"/>
    <n v="987.24"/>
    <s v="High"/>
    <n v="0"/>
    <n v="11"/>
    <n v="10859.64"/>
    <n v="7023.94"/>
    <n v="3835.7"/>
    <n v="0.35320692030306716"/>
    <x v="0"/>
    <x v="0"/>
    <n v="0"/>
    <n v="987.24"/>
    <n v="702.39400000000001"/>
    <n v="12"/>
    <n v="11846.880000000001"/>
    <n v="3418.152"/>
  </r>
  <r>
    <s v="ORD-2023-568013"/>
    <x v="322"/>
    <x v="10"/>
    <d v="2023-10-30T00:00:00"/>
    <n v="30"/>
    <x v="1"/>
    <x v="2"/>
    <s v="Tokyo"/>
    <s v="Enterprise"/>
    <x v="1"/>
    <x v="14"/>
    <x v="1"/>
    <x v="514"/>
    <n v="649.13"/>
    <n v="975.43"/>
    <s v="High"/>
    <n v="0.157"/>
    <n v="27"/>
    <n v="22201.762229999997"/>
    <n v="17526.509999999998"/>
    <n v="4675.2522299999982"/>
    <n v="0.21058023149543473"/>
    <x v="0"/>
    <x v="0"/>
    <n v="0.157"/>
    <n v="822.28748999999993"/>
    <n v="714.04300000000001"/>
    <n v="29"/>
    <n v="23846.337209999998"/>
    <n v="3139.090209999998"/>
  </r>
  <r>
    <s v="ORD-2025-828263"/>
    <x v="252"/>
    <x v="6"/>
    <d v="2025-05-30T00:00:00"/>
    <n v="13"/>
    <x v="0"/>
    <x v="1"/>
    <s v="Lagos"/>
    <s v="Consumer"/>
    <x v="3"/>
    <x v="9"/>
    <x v="6"/>
    <x v="515"/>
    <n v="66.400000000000006"/>
    <n v="141.43"/>
    <s v="High"/>
    <n v="0.107"/>
    <n v="8"/>
    <n v="1010.3759200000001"/>
    <n v="531.20000000000005"/>
    <n v="479.17592000000002"/>
    <n v="0.47425508715607551"/>
    <x v="0"/>
    <x v="0"/>
    <n v="0.107"/>
    <n v="126.29699000000001"/>
    <n v="73.040000000000006"/>
    <n v="9"/>
    <n v="1136.67291"/>
    <n v="479.31290999999999"/>
  </r>
  <r>
    <s v="ORD-2024-402240"/>
    <x v="371"/>
    <x v="5"/>
    <d v="2024-05-26T00:00:00"/>
    <n v="25"/>
    <x v="3"/>
    <x v="6"/>
    <s v="Berlin"/>
    <s v="Non-Profit"/>
    <x v="0"/>
    <x v="5"/>
    <x v="2"/>
    <x v="516"/>
    <n v="930.71"/>
    <n v="1625.42"/>
    <s v="High"/>
    <n v="0.13800000000000001"/>
    <n v="7"/>
    <n v="9807.7842799999999"/>
    <n v="6514.97"/>
    <n v="3292.8142799999996"/>
    <n v="0.33573477821231196"/>
    <x v="0"/>
    <x v="0"/>
    <n v="0.13800000000000001"/>
    <n v="1401.11204"/>
    <n v="1023.7810000000002"/>
    <n v="8"/>
    <n v="11208.89632"/>
    <n v="3018.6483199999984"/>
  </r>
  <r>
    <s v="ORD-2023-125739"/>
    <x v="409"/>
    <x v="8"/>
    <d v="2023-05-18T00:00:00"/>
    <n v="17"/>
    <x v="0"/>
    <x v="1"/>
    <s v="Port Harcourt"/>
    <s v="Corporate"/>
    <x v="4"/>
    <x v="9"/>
    <x v="0"/>
    <x v="517"/>
    <n v="327.97"/>
    <n v="299.94"/>
    <s v="High"/>
    <n v="4.9000000000000002E-2"/>
    <n v="3"/>
    <n v="855.72881999999993"/>
    <n v="983.91000000000008"/>
    <n v="-128.18118000000015"/>
    <n v="-0.14979182306843442"/>
    <x v="0"/>
    <x v="0"/>
    <n v="4.9000000000000002E-2"/>
    <n v="285.24293999999998"/>
    <n v="360.76700000000005"/>
    <n v="4"/>
    <n v="1140.9717599999999"/>
    <n v="-302.09624000000031"/>
  </r>
  <r>
    <s v="ORD-2024-892879"/>
    <x v="410"/>
    <x v="9"/>
    <d v="2024-08-08T00:00:00"/>
    <n v="30"/>
    <x v="3"/>
    <x v="7"/>
    <s v="Marseille"/>
    <s v="Corporate"/>
    <x v="4"/>
    <x v="1"/>
    <x v="0"/>
    <x v="518"/>
    <n v="1062.3800000000001"/>
    <n v="1503.96"/>
    <s v="High"/>
    <n v="0.18"/>
    <n v="6"/>
    <n v="7399.4832000000006"/>
    <n v="6374.2800000000007"/>
    <n v="1025.2031999999999"/>
    <n v="0.13855064905073369"/>
    <x v="0"/>
    <x v="0"/>
    <n v="0.18"/>
    <n v="1233.2472"/>
    <n v="1168.6180000000002"/>
    <n v="7"/>
    <n v="8632.7304000000004"/>
    <n v="452.40439999999899"/>
  </r>
  <r>
    <s v="ORD-2023-472050"/>
    <x v="405"/>
    <x v="8"/>
    <d v="2023-05-27T00:00:00"/>
    <n v="17"/>
    <x v="1"/>
    <x v="4"/>
    <s v="Mumbai"/>
    <s v="Consumer"/>
    <x v="0"/>
    <x v="12"/>
    <x v="4"/>
    <x v="519"/>
    <n v="1286.1600000000001"/>
    <n v="3101.11"/>
    <s v="High"/>
    <n v="0.1"/>
    <n v="23"/>
    <n v="64192.976999999999"/>
    <n v="29581.68"/>
    <n v="34611.296999999999"/>
    <n v="0.53917575749758417"/>
    <x v="0"/>
    <x v="0"/>
    <n v="0.1"/>
    <n v="2790.9990000000003"/>
    <n v="1414.7760000000003"/>
    <n v="25"/>
    <n v="69774.975000000006"/>
    <n v="34405.574999999997"/>
  </r>
  <r>
    <s v="ORD-2024-468615"/>
    <x v="410"/>
    <x v="9"/>
    <d v="2024-07-12T00:00:00"/>
    <n v="3"/>
    <x v="1"/>
    <x v="9"/>
    <s v="Shanghai"/>
    <s v="Small Business"/>
    <x v="0"/>
    <x v="14"/>
    <x v="6"/>
    <x v="520"/>
    <n v="748.39"/>
    <n v="979.42"/>
    <s v="High"/>
    <n v="0"/>
    <n v="23"/>
    <n v="22526.66"/>
    <n v="17212.97"/>
    <n v="5313.6899999999987"/>
    <n v="0.23588450307324738"/>
    <x v="1"/>
    <x v="0"/>
    <n v="0"/>
    <n v="979.42"/>
    <n v="823.22900000000004"/>
    <n v="25"/>
    <n v="24485.5"/>
    <n v="3904.7749999999978"/>
  </r>
  <r>
    <s v="ORD-2024-833375"/>
    <x v="411"/>
    <x v="5"/>
    <d v="2024-05-10T00:00:00"/>
    <n v="16"/>
    <x v="0"/>
    <x v="0"/>
    <s v="Kisumu"/>
    <s v="Non-Profit"/>
    <x v="1"/>
    <x v="13"/>
    <x v="5"/>
    <x v="521"/>
    <n v="513.30999999999995"/>
    <n v="1186.26"/>
    <s v="High"/>
    <n v="9.4E-2"/>
    <n v="15"/>
    <n v="16121.273400000002"/>
    <n v="7699.65"/>
    <n v="8421.6234000000022"/>
    <n v="0.52239194702820446"/>
    <x v="0"/>
    <x v="0"/>
    <n v="9.4E-2"/>
    <n v="1074.7515599999999"/>
    <n v="564.64099999999996"/>
    <n v="16"/>
    <n v="17196.024959999999"/>
    <n v="8161.7689599999994"/>
  </r>
  <r>
    <s v="ORD-2024-206311"/>
    <x v="94"/>
    <x v="0"/>
    <d v="2024-01-15T00:00:00"/>
    <n v="2"/>
    <x v="2"/>
    <x v="10"/>
    <s v="San Francisco"/>
    <s v="Non-Profit"/>
    <x v="4"/>
    <x v="6"/>
    <x v="0"/>
    <x v="522"/>
    <n v="1061.3699999999999"/>
    <n v="1938.33"/>
    <s v="High"/>
    <n v="0.17"/>
    <n v="4"/>
    <n v="6435.2555999999995"/>
    <n v="4245.4799999999996"/>
    <n v="2189.7755999999999"/>
    <n v="0.34027795259600879"/>
    <x v="1"/>
    <x v="0"/>
    <n v="0.17"/>
    <n v="1608.8138999999999"/>
    <n v="1167.5070000000001"/>
    <n v="5"/>
    <n v="8044.0694999999996"/>
    <n v="2206.5344999999988"/>
  </r>
  <r>
    <s v="ORD-2024-364080"/>
    <x v="412"/>
    <x v="5"/>
    <d v="2024-04-27T00:00:00"/>
    <n v="11"/>
    <x v="0"/>
    <x v="0"/>
    <s v="Nakuru"/>
    <s v="Enterprise"/>
    <x v="1"/>
    <x v="14"/>
    <x v="1"/>
    <x v="523"/>
    <n v="401.3"/>
    <n v="826.47"/>
    <s v="High"/>
    <n v="0.22500000000000001"/>
    <n v="13"/>
    <n v="8326.6852500000005"/>
    <n v="5216.9000000000005"/>
    <n v="3109.7852499999999"/>
    <n v="0.37347217489696755"/>
    <x v="0"/>
    <x v="1"/>
    <n v="0.2"/>
    <n v="661.17600000000004"/>
    <n v="441.43000000000006"/>
    <n v="14"/>
    <n v="9256.4639999999999"/>
    <n v="3076.4439999999995"/>
  </r>
  <r>
    <s v="ORD-2025-460466"/>
    <x v="413"/>
    <x v="3"/>
    <d v="2025-02-16T00:00:00"/>
    <n v="9"/>
    <x v="0"/>
    <x v="1"/>
    <s v="Lagos"/>
    <s v="Small Business"/>
    <x v="3"/>
    <x v="0"/>
    <x v="1"/>
    <x v="524"/>
    <n v="90.68"/>
    <n v="118.17"/>
    <s v="High"/>
    <n v="0.13500000000000001"/>
    <n v="21"/>
    <n v="2146.5580500000001"/>
    <n v="1904.2800000000002"/>
    <n v="242.27804999999989"/>
    <n v="0.11286815653552899"/>
    <x v="0"/>
    <x v="0"/>
    <n v="0.13500000000000001"/>
    <n v="102.21705"/>
    <n v="99.748000000000019"/>
    <n v="23"/>
    <n v="2350.99215"/>
    <n v="56.788149999999575"/>
  </r>
  <r>
    <s v="ORD-2023-700699"/>
    <x v="414"/>
    <x v="2"/>
    <d v="2023-01-26T00:00:00"/>
    <n v="14"/>
    <x v="1"/>
    <x v="9"/>
    <s v="Shenzhen"/>
    <s v="Non-Profit"/>
    <x v="0"/>
    <x v="12"/>
    <x v="1"/>
    <x v="525"/>
    <n v="1083.0899999999999"/>
    <n v="1425.87"/>
    <s v="High"/>
    <n v="0"/>
    <n v="8"/>
    <n v="11406.96"/>
    <n v="8664.7199999999993"/>
    <n v="2742.24"/>
    <n v="0.24040059752992909"/>
    <x v="0"/>
    <x v="0"/>
    <n v="0"/>
    <n v="1425.87"/>
    <n v="1191.3990000000001"/>
    <n v="9"/>
    <n v="12832.829999999998"/>
    <n v="2110.2389999999978"/>
  </r>
  <r>
    <s v="ORD-2024-713332"/>
    <x v="415"/>
    <x v="5"/>
    <d v="2024-06-23T00:00:00"/>
    <n v="18"/>
    <x v="0"/>
    <x v="0"/>
    <s v="Nairobi"/>
    <s v="Consumer"/>
    <x v="3"/>
    <x v="14"/>
    <x v="4"/>
    <x v="526"/>
    <n v="1208.74"/>
    <n v="1594.78"/>
    <s v="High"/>
    <n v="5.8999999999999997E-2"/>
    <n v="39"/>
    <n v="58526.83122"/>
    <n v="47140.86"/>
    <n v="11385.971219999999"/>
    <n v="0.1945427589817838"/>
    <x v="0"/>
    <x v="0"/>
    <n v="5.8999999999999997E-2"/>
    <n v="1500.6879800000002"/>
    <n v="1329.614"/>
    <n v="41"/>
    <n v="61528.207180000005"/>
    <n v="7014.0331800000049"/>
  </r>
  <r>
    <s v="ORD-2023-640022"/>
    <x v="416"/>
    <x v="10"/>
    <d v="2023-09-20T00:00:00"/>
    <n v="27"/>
    <x v="0"/>
    <x v="11"/>
    <s v="Durban"/>
    <s v="Small Business"/>
    <x v="2"/>
    <x v="12"/>
    <x v="1"/>
    <x v="527"/>
    <n v="1399.64"/>
    <n v="3342.11"/>
    <s v="High"/>
    <n v="0"/>
    <n v="10"/>
    <n v="33421.1"/>
    <n v="13996.400000000001"/>
    <n v="19424.699999999997"/>
    <n v="0.58121067229983447"/>
    <x v="0"/>
    <x v="0"/>
    <n v="0"/>
    <n v="3342.11"/>
    <n v="1539.6040000000003"/>
    <n v="11"/>
    <n v="36763.21"/>
    <n v="19827.565999999999"/>
  </r>
  <r>
    <s v="ORD-2024-532184"/>
    <x v="246"/>
    <x v="0"/>
    <d v="2024-02-08T00:00:00"/>
    <n v="14"/>
    <x v="1"/>
    <x v="2"/>
    <s v="Osaka"/>
    <s v="Consumer"/>
    <x v="2"/>
    <x v="2"/>
    <x v="2"/>
    <x v="528"/>
    <n v="937.16"/>
    <n v="1069.77"/>
    <s v="High"/>
    <n v="3.7999999999999999E-2"/>
    <n v="9"/>
    <n v="9262.0686600000008"/>
    <n v="8434.44"/>
    <n v="827.62866000000031"/>
    <n v="8.9356783066645962E-2"/>
    <x v="0"/>
    <x v="0"/>
    <n v="3.7999999999999999E-2"/>
    <n v="1029.1187399999999"/>
    <n v="1030.876"/>
    <n v="10"/>
    <n v="10291.187399999999"/>
    <n v="-17.572600000000875"/>
  </r>
  <r>
    <s v="ORD-2025-926547"/>
    <x v="417"/>
    <x v="3"/>
    <d v="2025-03-26T00:00:00"/>
    <n v="15"/>
    <x v="3"/>
    <x v="6"/>
    <s v="Berlin"/>
    <s v="Small Business"/>
    <x v="1"/>
    <x v="2"/>
    <x v="3"/>
    <x v="529"/>
    <n v="116.97"/>
    <n v="140.82"/>
    <s v="High"/>
    <n v="0.122"/>
    <n v="5"/>
    <n v="618.19979999999987"/>
    <n v="584.85"/>
    <n v="33.349799999999846"/>
    <n v="5.3946636669891926E-2"/>
    <x v="0"/>
    <x v="0"/>
    <n v="0.122"/>
    <n v="123.63995999999999"/>
    <n v="128.667"/>
    <n v="6"/>
    <n v="741.83975999999996"/>
    <n v="-30.162240000000082"/>
  </r>
  <r>
    <s v="ORD-2025-778145"/>
    <x v="221"/>
    <x v="6"/>
    <d v="2025-05-12T00:00:00"/>
    <n v="20"/>
    <x v="3"/>
    <x v="7"/>
    <s v="Lyon"/>
    <s v="Enterprise"/>
    <x v="2"/>
    <x v="11"/>
    <x v="5"/>
    <x v="530"/>
    <n v="59.51"/>
    <n v="67.040000000000006"/>
    <s v="High"/>
    <n v="0.114"/>
    <n v="9"/>
    <n v="534.57695999999999"/>
    <n v="535.59"/>
    <n v="-1.0130400000000463"/>
    <n v="-1.8950311663264469E-3"/>
    <x v="0"/>
    <x v="0"/>
    <n v="0.114"/>
    <n v="59.397440000000003"/>
    <n v="65.460999999999999"/>
    <n v="10"/>
    <n v="593.97440000000006"/>
    <n v="-60.635599999999954"/>
  </r>
  <r>
    <s v="ORD-2023-525643"/>
    <x v="418"/>
    <x v="10"/>
    <d v="2023-09-03T00:00:00"/>
    <n v="17"/>
    <x v="0"/>
    <x v="11"/>
    <s v="Durban"/>
    <s v="Enterprise"/>
    <x v="0"/>
    <x v="8"/>
    <x v="3"/>
    <x v="531"/>
    <n v="676.37"/>
    <n v="1276.67"/>
    <s v="High"/>
    <n v="6.6000000000000003E-2"/>
    <n v="10"/>
    <n v="11924.0978"/>
    <n v="6763.7"/>
    <n v="5160.3977999999997"/>
    <n v="0.4327705027712872"/>
    <x v="0"/>
    <x v="0"/>
    <n v="6.6000000000000003E-2"/>
    <n v="1192.40978"/>
    <n v="744.00700000000006"/>
    <n v="11"/>
    <n v="13116.50758"/>
    <n v="4932.4305799999984"/>
  </r>
  <r>
    <s v="ORD-2025-312803"/>
    <x v="35"/>
    <x v="6"/>
    <d v="2025-07-14T00:00:00"/>
    <n v="20"/>
    <x v="0"/>
    <x v="11"/>
    <s v="Johannesburg"/>
    <s v="Enterprise"/>
    <x v="2"/>
    <x v="1"/>
    <x v="4"/>
    <x v="532"/>
    <n v="1151.06"/>
    <n v="2821.36"/>
    <s v="High"/>
    <n v="0.248"/>
    <n v="20"/>
    <n v="42433.254400000005"/>
    <n v="23021.199999999997"/>
    <n v="19412.054400000008"/>
    <n v="0.45747267501594235"/>
    <x v="0"/>
    <x v="1"/>
    <n v="0.2"/>
    <n v="2257.0880000000002"/>
    <n v="1266.1659999999999"/>
    <n v="21"/>
    <n v="47398.848000000005"/>
    <n v="20809.362000000005"/>
  </r>
  <r>
    <s v="ORD-2025-149156"/>
    <x v="419"/>
    <x v="3"/>
    <d v="2025-02-06T00:00:00"/>
    <n v="27"/>
    <x v="2"/>
    <x v="5"/>
    <s v="Brasília"/>
    <s v="Non-Profit"/>
    <x v="0"/>
    <x v="5"/>
    <x v="4"/>
    <x v="533"/>
    <n v="725.62"/>
    <n v="1559.19"/>
    <s v="High"/>
    <n v="0.19"/>
    <n v="12"/>
    <n v="15155.326800000001"/>
    <n v="8707.44"/>
    <n v="6447.8868000000002"/>
    <n v="0.42545349797405885"/>
    <x v="0"/>
    <x v="0"/>
    <n v="0.19"/>
    <n v="1262.9439000000002"/>
    <n v="798.18200000000002"/>
    <n v="13"/>
    <n v="16418.270700000001"/>
    <n v="6041.9047000000028"/>
  </r>
  <r>
    <s v="ORD-2023-215819"/>
    <x v="305"/>
    <x v="10"/>
    <d v="2023-07-11T00:00:00"/>
    <n v="10"/>
    <x v="3"/>
    <x v="7"/>
    <s v="Paris"/>
    <s v="Corporate"/>
    <x v="4"/>
    <x v="9"/>
    <x v="2"/>
    <x v="534"/>
    <n v="479.5"/>
    <n v="656.66"/>
    <s v="High"/>
    <n v="0.14899999999999999"/>
    <n v="14"/>
    <n v="7823.4472399999995"/>
    <n v="6713"/>
    <n v="1110.4472399999995"/>
    <n v="0.14193835606412289"/>
    <x v="0"/>
    <x v="0"/>
    <n v="0.14899999999999999"/>
    <n v="558.81765999999993"/>
    <n v="527.45000000000005"/>
    <n v="15"/>
    <n v="8382.2648999999983"/>
    <n v="470.51489999999831"/>
  </r>
  <r>
    <s v="ORD-2024-353078"/>
    <x v="420"/>
    <x v="9"/>
    <d v="2024-08-26T00:00:00"/>
    <n v="10"/>
    <x v="2"/>
    <x v="10"/>
    <s v="Chicago"/>
    <s v="Corporate"/>
    <x v="3"/>
    <x v="4"/>
    <x v="4"/>
    <x v="386"/>
    <n v="1291.7"/>
    <n v="2657.84"/>
    <s v="High"/>
    <n v="8.6999999999999994E-2"/>
    <n v="21"/>
    <n v="50958.766320000002"/>
    <n v="27125.7"/>
    <n v="23833.066320000002"/>
    <n v="0.46769315745083367"/>
    <x v="0"/>
    <x v="0"/>
    <n v="8.6999999999999994E-2"/>
    <n v="2426.6079200000004"/>
    <n v="1420.8700000000001"/>
    <n v="23"/>
    <n v="55811.982160000007"/>
    <n v="23131.972160000005"/>
  </r>
  <r>
    <s v="ORD-2023-621393"/>
    <x v="421"/>
    <x v="10"/>
    <d v="2023-07-13T00:00:00"/>
    <n v="6"/>
    <x v="0"/>
    <x v="11"/>
    <s v="Cape Town"/>
    <s v="Small Business"/>
    <x v="2"/>
    <x v="5"/>
    <x v="6"/>
    <x v="535"/>
    <n v="612.59"/>
    <n v="1424.74"/>
    <s v="High"/>
    <n v="4.3999999999999997E-2"/>
    <n v="15"/>
    <n v="20430.771599999996"/>
    <n v="9188.85"/>
    <n v="11241.921599999996"/>
    <n v="0.55024459281802152"/>
    <x v="1"/>
    <x v="0"/>
    <n v="4.3999999999999997E-2"/>
    <n v="1362.05144"/>
    <n v="673.84900000000005"/>
    <n v="16"/>
    <n v="21792.823039999999"/>
    <n v="11011.239039999999"/>
  </r>
  <r>
    <s v="ORD-2023-974506"/>
    <x v="422"/>
    <x v="4"/>
    <d v="2024-01-01T00:00:00"/>
    <n v="4"/>
    <x v="0"/>
    <x v="11"/>
    <s v="Cape Town"/>
    <s v="Education"/>
    <x v="3"/>
    <x v="8"/>
    <x v="1"/>
    <x v="536"/>
    <n v="1141.8"/>
    <n v="2318.7399999999998"/>
    <s v="High"/>
    <n v="0.107"/>
    <n v="32"/>
    <n v="66260.314239999992"/>
    <n v="36537.599999999999"/>
    <n v="29722.714239999994"/>
    <n v="0.44857490612468304"/>
    <x v="1"/>
    <x v="0"/>
    <n v="0.107"/>
    <n v="2070.6348199999998"/>
    <n v="1255.98"/>
    <n v="34"/>
    <n v="70401.583879999991"/>
    <n v="27698.263879999991"/>
  </r>
  <r>
    <s v="ORD-2023-811823"/>
    <x v="423"/>
    <x v="2"/>
    <d v="2023-02-15T00:00:00"/>
    <n v="20"/>
    <x v="3"/>
    <x v="6"/>
    <s v="Berlin"/>
    <s v="Small Business"/>
    <x v="1"/>
    <x v="7"/>
    <x v="2"/>
    <x v="537"/>
    <n v="492.62"/>
    <n v="366.7"/>
    <s v="High"/>
    <n v="8.8999999999999996E-2"/>
    <n v="10"/>
    <n v="3340.6370000000002"/>
    <n v="4926.2"/>
    <n v="-1585.5629999999996"/>
    <n v="-0.47462894052840809"/>
    <x v="0"/>
    <x v="0"/>
    <n v="8.8999999999999996E-2"/>
    <n v="334.06369999999998"/>
    <n v="541.88200000000006"/>
    <n v="11"/>
    <n v="3674.7006999999999"/>
    <n v="-2286.0013000000008"/>
  </r>
  <r>
    <s v="ORD-2023-286720"/>
    <x v="424"/>
    <x v="10"/>
    <d v="2023-07-09T00:00:00"/>
    <n v="1"/>
    <x v="0"/>
    <x v="0"/>
    <s v="Nairobi"/>
    <s v="Consumer"/>
    <x v="1"/>
    <x v="14"/>
    <x v="4"/>
    <x v="538"/>
    <n v="1258.72"/>
    <n v="2797.41"/>
    <s v="High"/>
    <n v="0"/>
    <n v="7"/>
    <n v="19581.87"/>
    <n v="8811.0400000000009"/>
    <n v="10770.829999999998"/>
    <n v="0.55004093071805704"/>
    <x v="1"/>
    <x v="0"/>
    <n v="0"/>
    <n v="2797.41"/>
    <n v="1384.5920000000001"/>
    <n v="8"/>
    <n v="22379.279999999999"/>
    <n v="11302.543999999998"/>
  </r>
  <r>
    <s v="ORD-2024-626925"/>
    <x v="116"/>
    <x v="5"/>
    <d v="2024-06-09T00:00:00"/>
    <n v="2"/>
    <x v="1"/>
    <x v="9"/>
    <s v="Shanghai"/>
    <s v="Corporate"/>
    <x v="0"/>
    <x v="7"/>
    <x v="5"/>
    <x v="539"/>
    <n v="1370.28"/>
    <n v="2209.66"/>
    <s v="High"/>
    <n v="0.13300000000000001"/>
    <n v="16"/>
    <n v="30652.403519999996"/>
    <n v="21924.48"/>
    <n v="8727.9235199999966"/>
    <n v="0.28473863442079589"/>
    <x v="1"/>
    <x v="0"/>
    <n v="0.13300000000000001"/>
    <n v="1915.7752199999998"/>
    <n v="1507.308"/>
    <n v="17"/>
    <n v="32568.178739999996"/>
    <n v="6943.9427399999959"/>
  </r>
  <r>
    <s v="ORD-2023-960380"/>
    <x v="425"/>
    <x v="2"/>
    <d v="2023-02-12T00:00:00"/>
    <n v="1"/>
    <x v="0"/>
    <x v="1"/>
    <s v="Port Harcourt"/>
    <s v="Non-Profit"/>
    <x v="4"/>
    <x v="14"/>
    <x v="6"/>
    <x v="540"/>
    <n v="944.61"/>
    <n v="839.04"/>
    <s v="High"/>
    <n v="5.8999999999999997E-2"/>
    <n v="6"/>
    <n v="4737.2198399999997"/>
    <n v="5667.66"/>
    <n v="-930.44016000000011"/>
    <n v="-0.19641059343363726"/>
    <x v="1"/>
    <x v="0"/>
    <n v="5.8999999999999997E-2"/>
    <n v="789.53664000000003"/>
    <n v="1039.0710000000001"/>
    <n v="7"/>
    <n v="5526.75648"/>
    <n v="-1746.7405200000007"/>
  </r>
  <r>
    <s v="ORD-2023-453699"/>
    <x v="305"/>
    <x v="10"/>
    <d v="2023-07-08T00:00:00"/>
    <n v="7"/>
    <x v="3"/>
    <x v="6"/>
    <s v="Frankfurt"/>
    <s v="Small Business"/>
    <x v="3"/>
    <x v="13"/>
    <x v="4"/>
    <x v="541"/>
    <n v="460.21"/>
    <n v="1139.1500000000001"/>
    <s v="High"/>
    <n v="0.115"/>
    <n v="14"/>
    <n v="14114.068500000001"/>
    <n v="6442.94"/>
    <n v="7671.1285000000016"/>
    <n v="0.54350937151821255"/>
    <x v="1"/>
    <x v="0"/>
    <n v="0.115"/>
    <n v="1008.1477500000001"/>
    <n v="506.23099999999999"/>
    <n v="15"/>
    <n v="15122.216250000001"/>
    <n v="7528.7512500000012"/>
  </r>
  <r>
    <s v="ORD-2025-960931"/>
    <x v="426"/>
    <x v="7"/>
    <d v="2025-08-26T00:00:00"/>
    <n v="6"/>
    <x v="2"/>
    <x v="10"/>
    <s v="New York"/>
    <s v="Corporate"/>
    <x v="0"/>
    <x v="12"/>
    <x v="2"/>
    <x v="542"/>
    <n v="1304.95"/>
    <n v="1712.03"/>
    <s v="High"/>
    <n v="0.21199999999999999"/>
    <n v="8"/>
    <n v="10792.637119999999"/>
    <n v="10439.6"/>
    <n v="353.03711999999905"/>
    <n v="3.2710922833287949E-2"/>
    <x v="1"/>
    <x v="1"/>
    <n v="0.2"/>
    <n v="1369.624"/>
    <n v="1435.4450000000002"/>
    <n v="9"/>
    <n v="12326.616"/>
    <n v="-592.38900000000126"/>
  </r>
  <r>
    <s v="ORD-2024-419248"/>
    <x v="427"/>
    <x v="0"/>
    <d v="2024-03-16T00:00:00"/>
    <n v="12"/>
    <x v="0"/>
    <x v="11"/>
    <s v="Johannesburg"/>
    <s v="Enterprise"/>
    <x v="3"/>
    <x v="12"/>
    <x v="5"/>
    <x v="543"/>
    <n v="441.08"/>
    <n v="1054.29"/>
    <s v="High"/>
    <n v="0.23699999999999999"/>
    <n v="6"/>
    <n v="4826.5396199999996"/>
    <n v="2646.48"/>
    <n v="2180.0596199999995"/>
    <n v="0.45168169985932899"/>
    <x v="0"/>
    <x v="1"/>
    <n v="0.2"/>
    <n v="843.43200000000002"/>
    <n v="485.18800000000005"/>
    <n v="7"/>
    <n v="5904.0240000000003"/>
    <n v="2507.7079999999996"/>
  </r>
  <r>
    <s v="ORD-2023-488227"/>
    <x v="428"/>
    <x v="10"/>
    <d v="2023-10-02T00:00:00"/>
    <n v="24"/>
    <x v="2"/>
    <x v="3"/>
    <s v="Toronto"/>
    <s v="Education"/>
    <x v="4"/>
    <x v="8"/>
    <x v="6"/>
    <x v="544"/>
    <n v="1299.03"/>
    <n v="2451.2199999999998"/>
    <s v="High"/>
    <n v="0.20799999999999999"/>
    <n v="8"/>
    <n v="15530.929919999999"/>
    <n v="10392.24"/>
    <n v="5138.6899199999989"/>
    <n v="0.3308681416032041"/>
    <x v="0"/>
    <x v="1"/>
    <n v="0.2"/>
    <n v="1960.9759999999999"/>
    <n v="1428.933"/>
    <n v="9"/>
    <n v="17648.784"/>
    <n v="4788.3869999999988"/>
  </r>
  <r>
    <s v="ORD-2023-472078"/>
    <x v="2"/>
    <x v="2"/>
    <d v="2023-03-06T00:00:00"/>
    <n v="6"/>
    <x v="3"/>
    <x v="6"/>
    <s v="Frankfurt"/>
    <s v="Small Business"/>
    <x v="2"/>
    <x v="14"/>
    <x v="1"/>
    <x v="545"/>
    <n v="880.02"/>
    <n v="1251.21"/>
    <s v="High"/>
    <n v="0.123"/>
    <n v="29"/>
    <n v="31822.023930000003"/>
    <n v="25520.579999999998"/>
    <n v="6301.4439300000049"/>
    <n v="0.19802146915172672"/>
    <x v="1"/>
    <x v="0"/>
    <n v="0.123"/>
    <n v="1097.3111699999999"/>
    <n v="968.02200000000005"/>
    <n v="31"/>
    <n v="34016.646269999997"/>
    <n v="4007.9642699999968"/>
  </r>
  <r>
    <s v="ORD-2024-202877"/>
    <x v="292"/>
    <x v="9"/>
    <d v="2024-08-03T00:00:00"/>
    <n v="21"/>
    <x v="2"/>
    <x v="5"/>
    <s v="Rio de Janeiro"/>
    <s v="Corporate"/>
    <x v="2"/>
    <x v="12"/>
    <x v="5"/>
    <x v="546"/>
    <n v="702.98"/>
    <n v="1104.8"/>
    <s v="High"/>
    <n v="0.17499999999999999"/>
    <n v="12"/>
    <n v="10937.519999999999"/>
    <n v="8435.76"/>
    <n v="2501.7599999999984"/>
    <n v="0.22873192460448061"/>
    <x v="0"/>
    <x v="0"/>
    <n v="0.17499999999999999"/>
    <n v="911.45999999999992"/>
    <n v="773.27800000000013"/>
    <n v="13"/>
    <n v="11848.98"/>
    <n v="1796.3659999999973"/>
  </r>
  <r>
    <s v="ORD-2024-140633"/>
    <x v="429"/>
    <x v="1"/>
    <d v="2024-12-26T00:00:00"/>
    <n v="19"/>
    <x v="3"/>
    <x v="8"/>
    <s v="London"/>
    <s v="Enterprise"/>
    <x v="1"/>
    <x v="14"/>
    <x v="2"/>
    <x v="547"/>
    <n v="1035.24"/>
    <n v="2383.41"/>
    <s v="High"/>
    <n v="0.17"/>
    <n v="15"/>
    <n v="29673.454499999993"/>
    <n v="15528.6"/>
    <n v="14144.854499999992"/>
    <n v="0.47668378145860962"/>
    <x v="0"/>
    <x v="0"/>
    <n v="0.17"/>
    <n v="1978.2302999999997"/>
    <n v="1138.7640000000001"/>
    <n v="16"/>
    <n v="31651.684799999995"/>
    <n v="13431.460799999993"/>
  </r>
  <r>
    <s v="ORD-2025-419532"/>
    <x v="430"/>
    <x v="7"/>
    <d v="2025-08-23T00:00:00"/>
    <n v="17"/>
    <x v="2"/>
    <x v="5"/>
    <s v="Brasília"/>
    <s v="Consumer"/>
    <x v="3"/>
    <x v="8"/>
    <x v="5"/>
    <x v="548"/>
    <n v="86.64"/>
    <n v="213.06"/>
    <s v="High"/>
    <n v="0.21199999999999999"/>
    <n v="11"/>
    <n v="1846.8040799999999"/>
    <n v="953.04"/>
    <n v="893.76407999999992"/>
    <n v="0.48395175735154322"/>
    <x v="0"/>
    <x v="1"/>
    <n v="0.2"/>
    <n v="170.44800000000001"/>
    <n v="95.304000000000002"/>
    <n v="12"/>
    <n v="2045.3760000000002"/>
    <n v="901.72800000000007"/>
  </r>
  <r>
    <s v="ORD-2023-139236"/>
    <x v="431"/>
    <x v="2"/>
    <d v="2023-03-20T00:00:00"/>
    <n v="17"/>
    <x v="1"/>
    <x v="2"/>
    <s v="Nagoya"/>
    <s v="Small Business"/>
    <x v="1"/>
    <x v="14"/>
    <x v="2"/>
    <x v="549"/>
    <n v="1171.17"/>
    <n v="2030.64"/>
    <s v="High"/>
    <n v="0.157"/>
    <n v="11"/>
    <n v="18830.12472"/>
    <n v="12882.87"/>
    <n v="5947.254719999999"/>
    <n v="0.31583724528830415"/>
    <x v="0"/>
    <x v="0"/>
    <n v="0.157"/>
    <n v="1711.82952"/>
    <n v="1288.2870000000003"/>
    <n v="12"/>
    <n v="20541.954239999999"/>
    <n v="5082.5102399999969"/>
  </r>
  <r>
    <s v="ORD-2025-337268"/>
    <x v="432"/>
    <x v="3"/>
    <d v="2025-03-17T00:00:00"/>
    <n v="29"/>
    <x v="3"/>
    <x v="6"/>
    <s v="Munich"/>
    <s v="Consumer"/>
    <x v="0"/>
    <x v="4"/>
    <x v="6"/>
    <x v="550"/>
    <n v="730.42"/>
    <n v="956.7"/>
    <s v="High"/>
    <n v="4.2000000000000003E-2"/>
    <n v="22"/>
    <n v="20163.409200000002"/>
    <n v="16069.24"/>
    <n v="4094.1692000000021"/>
    <n v="0.20304945256975698"/>
    <x v="0"/>
    <x v="0"/>
    <n v="4.2000000000000003E-2"/>
    <n v="916.51859999999999"/>
    <n v="803.46199999999999"/>
    <n v="24"/>
    <n v="21996.446400000001"/>
    <n v="2713.3584000000001"/>
  </r>
  <r>
    <s v="ORD-2025-332931"/>
    <x v="146"/>
    <x v="3"/>
    <d v="2025-03-01T00:00:00"/>
    <n v="14"/>
    <x v="0"/>
    <x v="0"/>
    <s v="Mombasa"/>
    <s v="Education"/>
    <x v="4"/>
    <x v="4"/>
    <x v="6"/>
    <x v="551"/>
    <n v="1162.8599999999999"/>
    <n v="1447.68"/>
    <s v="High"/>
    <n v="8.6999999999999994E-2"/>
    <n v="12"/>
    <n v="15860.782080000001"/>
    <n v="13954.32"/>
    <n v="1906.4620800000012"/>
    <n v="0.12019975247021369"/>
    <x v="0"/>
    <x v="0"/>
    <n v="8.6999999999999994E-2"/>
    <n v="1321.7318400000001"/>
    <n v="1279.146"/>
    <n v="13"/>
    <n v="17182.513920000001"/>
    <n v="553.61592000000246"/>
  </r>
  <r>
    <s v="ORD-2024-536442"/>
    <x v="433"/>
    <x v="9"/>
    <d v="2024-09-26T00:00:00"/>
    <n v="26"/>
    <x v="1"/>
    <x v="2"/>
    <s v="Tokyo"/>
    <s v="Education"/>
    <x v="1"/>
    <x v="2"/>
    <x v="3"/>
    <x v="552"/>
    <n v="1189.03"/>
    <n v="2949.62"/>
    <s v="High"/>
    <n v="0.125"/>
    <n v="13"/>
    <n v="33551.927499999998"/>
    <n v="15457.39"/>
    <n v="18094.537499999999"/>
    <n v="0.53929949330034765"/>
    <x v="0"/>
    <x v="0"/>
    <n v="0.125"/>
    <n v="2580.9175"/>
    <n v="1307.933"/>
    <n v="14"/>
    <n v="36132.845000000001"/>
    <n v="17821.782999999999"/>
  </r>
  <r>
    <s v="ORD-2023-957692"/>
    <x v="238"/>
    <x v="8"/>
    <d v="2023-05-20T00:00:00"/>
    <n v="13"/>
    <x v="1"/>
    <x v="4"/>
    <s v="Mumbai"/>
    <s v="Enterprise"/>
    <x v="0"/>
    <x v="14"/>
    <x v="6"/>
    <x v="553"/>
    <n v="1443.28"/>
    <n v="2580.5700000000002"/>
    <s v="High"/>
    <n v="0"/>
    <n v="18"/>
    <n v="46450.26"/>
    <n v="25979.040000000001"/>
    <n v="20471.22"/>
    <n v="0.4407127107577008"/>
    <x v="0"/>
    <x v="0"/>
    <n v="0"/>
    <n v="2580.5700000000002"/>
    <n v="1587.6080000000002"/>
    <n v="19"/>
    <n v="49030.83"/>
    <n v="18866.277999999998"/>
  </r>
  <r>
    <s v="ORD-2025-874124"/>
    <x v="78"/>
    <x v="6"/>
    <d v="2025-05-21T00:00:00"/>
    <n v="7"/>
    <x v="2"/>
    <x v="3"/>
    <s v="Vancouver"/>
    <s v="Non-Profit"/>
    <x v="3"/>
    <x v="9"/>
    <x v="1"/>
    <x v="554"/>
    <n v="883.5"/>
    <n v="1978.91"/>
    <s v="High"/>
    <n v="5.3999999999999999E-2"/>
    <n v="27"/>
    <n v="50545.319219999998"/>
    <n v="23854.5"/>
    <n v="26690.819219999998"/>
    <n v="0.52805718970390547"/>
    <x v="1"/>
    <x v="0"/>
    <n v="5.3999999999999999E-2"/>
    <n v="1872.0488599999999"/>
    <n v="971.85"/>
    <n v="29"/>
    <n v="54289.416939999996"/>
    <n v="26105.766939999994"/>
  </r>
  <r>
    <s v="ORD-2024-687073"/>
    <x v="0"/>
    <x v="0"/>
    <d v="2024-03-29T00:00:00"/>
    <n v="18"/>
    <x v="2"/>
    <x v="10"/>
    <s v="New York"/>
    <s v="Corporate"/>
    <x v="0"/>
    <x v="12"/>
    <x v="5"/>
    <x v="555"/>
    <n v="710.98"/>
    <n v="1481.45"/>
    <s v="High"/>
    <n v="0.21099999999999999"/>
    <n v="9"/>
    <n v="10519.776450000001"/>
    <n v="6398.82"/>
    <n v="4120.9564500000015"/>
    <n v="0.39173422264120461"/>
    <x v="0"/>
    <x v="1"/>
    <n v="0.2"/>
    <n v="1185.1600000000001"/>
    <n v="782.07800000000009"/>
    <n v="10"/>
    <n v="11851.6"/>
    <n v="4030.8199999999997"/>
  </r>
  <r>
    <s v="ORD-2024-555229"/>
    <x v="22"/>
    <x v="5"/>
    <d v="2024-05-22T00:00:00"/>
    <n v="4"/>
    <x v="0"/>
    <x v="0"/>
    <s v="Nairobi"/>
    <s v="Corporate"/>
    <x v="4"/>
    <x v="10"/>
    <x v="6"/>
    <x v="556"/>
    <n v="857.42"/>
    <n v="1658.92"/>
    <s v="High"/>
    <n v="0.122"/>
    <n v="9"/>
    <n v="13108.78584"/>
    <n v="7716.78"/>
    <n v="5392.0058400000007"/>
    <n v="0.41132763215544305"/>
    <x v="1"/>
    <x v="0"/>
    <n v="0.122"/>
    <n v="1456.5317600000001"/>
    <n v="943.16200000000003"/>
    <n v="10"/>
    <n v="14565.3176"/>
    <n v="5133.6976000000004"/>
  </r>
  <r>
    <s v="ORD-2024-872291"/>
    <x v="434"/>
    <x v="0"/>
    <d v="2024-01-12T00:00:00"/>
    <n v="4"/>
    <x v="1"/>
    <x v="4"/>
    <s v="Bengaluru"/>
    <s v="Corporate"/>
    <x v="4"/>
    <x v="6"/>
    <x v="1"/>
    <x v="557"/>
    <n v="802.32"/>
    <n v="602.34"/>
    <s v="High"/>
    <n v="0.12"/>
    <n v="25"/>
    <n v="13251.48"/>
    <n v="20058"/>
    <n v="-6806.52"/>
    <n v="-0.51364224977134632"/>
    <x v="1"/>
    <x v="0"/>
    <n v="0.12"/>
    <n v="530.05920000000003"/>
    <n v="882.55200000000013"/>
    <n v="27"/>
    <n v="14311.598400000001"/>
    <n v="-9517.3056000000033"/>
  </r>
  <r>
    <s v="ORD-2024-250862"/>
    <x v="40"/>
    <x v="1"/>
    <d v="2024-11-05T00:00:00"/>
    <n v="11"/>
    <x v="2"/>
    <x v="10"/>
    <s v="New York"/>
    <s v="Corporate"/>
    <x v="3"/>
    <x v="13"/>
    <x v="0"/>
    <x v="558"/>
    <n v="446.66"/>
    <n v="527.64"/>
    <s v="High"/>
    <n v="0.14499999999999999"/>
    <n v="15"/>
    <n v="6766.9829999999993"/>
    <n v="6699.9000000000005"/>
    <n v="67.082999999998719"/>
    <n v="9.9132804087137105E-3"/>
    <x v="0"/>
    <x v="0"/>
    <n v="0.14499999999999999"/>
    <n v="451.13219999999995"/>
    <n v="491.32600000000008"/>
    <n v="16"/>
    <n v="7218.1151999999993"/>
    <n v="-643.10080000000198"/>
  </r>
  <r>
    <s v="ORD-2024-331226"/>
    <x v="25"/>
    <x v="1"/>
    <d v="2024-12-19T00:00:00"/>
    <n v="19"/>
    <x v="0"/>
    <x v="0"/>
    <s v="Kisumu"/>
    <s v="Corporate"/>
    <x v="1"/>
    <x v="4"/>
    <x v="3"/>
    <x v="559"/>
    <n v="1195.98"/>
    <n v="1841.9"/>
    <s v="High"/>
    <n v="5.5E-2"/>
    <n v="19"/>
    <n v="33071.3145"/>
    <n v="22723.62"/>
    <n v="10347.694500000001"/>
    <n v="0.31289032977506842"/>
    <x v="0"/>
    <x v="0"/>
    <n v="5.5E-2"/>
    <n v="1740.5954999999999"/>
    <n v="1315.5780000000002"/>
    <n v="20"/>
    <n v="34811.909999999996"/>
    <n v="8500.3499999999949"/>
  </r>
  <r>
    <s v="ORD-2023-356427"/>
    <x v="289"/>
    <x v="8"/>
    <d v="2023-05-02T00:00:00"/>
    <n v="19"/>
    <x v="2"/>
    <x v="3"/>
    <s v="Montreal"/>
    <s v="Consumer"/>
    <x v="3"/>
    <x v="6"/>
    <x v="5"/>
    <x v="560"/>
    <n v="671.05"/>
    <n v="1645.48"/>
    <s v="High"/>
    <n v="0.13700000000000001"/>
    <n v="6"/>
    <n v="8520.2954399999999"/>
    <n v="4026.2999999999997"/>
    <n v="4493.9954400000006"/>
    <n v="0.52744596377517172"/>
    <x v="0"/>
    <x v="0"/>
    <n v="0.13700000000000001"/>
    <n v="1420.0492400000001"/>
    <n v="738.15499999999997"/>
    <n v="7"/>
    <n v="9940.3446800000002"/>
    <n v="4773.259680000001"/>
  </r>
  <r>
    <s v="ORD-2025-659650"/>
    <x v="184"/>
    <x v="3"/>
    <d v="2025-02-08T00:00:00"/>
    <n v="4"/>
    <x v="3"/>
    <x v="8"/>
    <s v="Manchester"/>
    <s v="Enterprise"/>
    <x v="2"/>
    <x v="4"/>
    <x v="2"/>
    <x v="561"/>
    <n v="586.21"/>
    <n v="727.22"/>
    <s v="High"/>
    <n v="6.8000000000000005E-2"/>
    <n v="15"/>
    <n v="10166.535600000001"/>
    <n v="8793.1500000000015"/>
    <n v="1373.3855999999996"/>
    <n v="0.13508884973559721"/>
    <x v="1"/>
    <x v="0"/>
    <n v="6.8000000000000005E-2"/>
    <n v="677.76904000000002"/>
    <n v="644.83100000000013"/>
    <n v="16"/>
    <n v="10844.30464"/>
    <n v="527.00863999999819"/>
  </r>
  <r>
    <s v="ORD-2024-207669"/>
    <x v="435"/>
    <x v="0"/>
    <d v="2024-02-04T00:00:00"/>
    <n v="11"/>
    <x v="3"/>
    <x v="8"/>
    <s v="Manchester"/>
    <s v="Consumer"/>
    <x v="0"/>
    <x v="5"/>
    <x v="4"/>
    <x v="562"/>
    <n v="525.34"/>
    <n v="1233.79"/>
    <s v="High"/>
    <n v="0.14299999999999999"/>
    <n v="4"/>
    <n v="4229.4321199999995"/>
    <n v="2101.36"/>
    <n v="2128.0721199999994"/>
    <n v="0.50315788494082736"/>
    <x v="0"/>
    <x v="0"/>
    <n v="0.14299999999999999"/>
    <n v="1057.3580299999999"/>
    <n v="577.87400000000014"/>
    <n v="5"/>
    <n v="5286.7901499999989"/>
    <n v="2397.4201499999986"/>
  </r>
  <r>
    <s v="ORD-2024-979401"/>
    <x v="436"/>
    <x v="0"/>
    <d v="2024-02-09T00:00:00"/>
    <n v="1"/>
    <x v="0"/>
    <x v="0"/>
    <s v="Mombasa"/>
    <s v="Corporate"/>
    <x v="4"/>
    <x v="9"/>
    <x v="0"/>
    <x v="563"/>
    <n v="1233.52"/>
    <n v="1543.76"/>
    <s v="High"/>
    <n v="0.126"/>
    <n v="13"/>
    <n v="17540.201120000002"/>
    <n v="16035.76"/>
    <n v="1504.4411200000013"/>
    <n v="8.5771030201277493E-2"/>
    <x v="1"/>
    <x v="0"/>
    <n v="0.126"/>
    <n v="1349.2462399999999"/>
    <n v="1356.8720000000001"/>
    <n v="14"/>
    <n v="18889.447359999998"/>
    <n v="-106.76064000000179"/>
  </r>
  <r>
    <s v="ORD-2025-929414"/>
    <x v="437"/>
    <x v="6"/>
    <d v="2025-07-11T00:00:00"/>
    <n v="15"/>
    <x v="0"/>
    <x v="1"/>
    <s v="Port Harcourt"/>
    <s v="Small Business"/>
    <x v="1"/>
    <x v="8"/>
    <x v="4"/>
    <x v="564"/>
    <n v="1170.1500000000001"/>
    <n v="2115.19"/>
    <s v="High"/>
    <n v="9.1999999999999998E-2"/>
    <n v="23"/>
    <n v="44173.627960000005"/>
    <n v="26913.45"/>
    <n v="17260.177960000005"/>
    <n v="0.39073489674946776"/>
    <x v="0"/>
    <x v="0"/>
    <n v="9.1999999999999998E-2"/>
    <n v="1920.5925200000001"/>
    <n v="1287.1650000000002"/>
    <n v="25"/>
    <n v="48014.813000000002"/>
    <n v="15835.687999999998"/>
  </r>
  <r>
    <s v="ORD-2024-766980"/>
    <x v="272"/>
    <x v="1"/>
    <d v="2024-11-07T00:00:00"/>
    <n v="3"/>
    <x v="3"/>
    <x v="7"/>
    <s v="Lyon"/>
    <s v="Corporate"/>
    <x v="1"/>
    <x v="7"/>
    <x v="5"/>
    <x v="565"/>
    <n v="740.68"/>
    <n v="1837.19"/>
    <s v="High"/>
    <n v="0.19700000000000001"/>
    <n v="17"/>
    <n v="25079.480689999997"/>
    <n v="12591.56"/>
    <n v="12487.920689999997"/>
    <n v="0.4979337827748298"/>
    <x v="1"/>
    <x v="0"/>
    <n v="0.19700000000000001"/>
    <n v="1475.2635699999998"/>
    <n v="814.74800000000005"/>
    <n v="18"/>
    <n v="26554.744259999996"/>
    <n v="11889.280259999996"/>
  </r>
  <r>
    <s v="ORD-2024-437164"/>
    <x v="438"/>
    <x v="0"/>
    <d v="2024-02-20T00:00:00"/>
    <n v="0"/>
    <x v="2"/>
    <x v="10"/>
    <s v="New York"/>
    <s v="Enterprise"/>
    <x v="1"/>
    <x v="0"/>
    <x v="2"/>
    <x v="566"/>
    <n v="1407.05"/>
    <n v="2858.93"/>
    <s v="High"/>
    <n v="0"/>
    <n v="12"/>
    <n v="34307.159999999996"/>
    <n v="16884.599999999999"/>
    <n v="17422.559999999998"/>
    <n v="0.50784034586366222"/>
    <x v="1"/>
    <x v="0"/>
    <n v="0"/>
    <n v="2858.93"/>
    <n v="1547.7550000000001"/>
    <n v="13"/>
    <n v="37166.089999999997"/>
    <n v="17045.274999999998"/>
  </r>
  <r>
    <s v="ORD-2025-169093"/>
    <x v="439"/>
    <x v="6"/>
    <d v="2025-04-14T00:00:00"/>
    <n v="1"/>
    <x v="1"/>
    <x v="2"/>
    <s v="Osaka"/>
    <s v="Enterprise"/>
    <x v="1"/>
    <x v="3"/>
    <x v="0"/>
    <x v="567"/>
    <n v="138.9"/>
    <n v="289.92"/>
    <s v="High"/>
    <n v="2.9000000000000001E-2"/>
    <n v="12"/>
    <n v="3378.1478400000001"/>
    <n v="1666.8000000000002"/>
    <n v="1711.3478399999999"/>
    <n v="0.50659353025828491"/>
    <x v="1"/>
    <x v="0"/>
    <n v="2.9000000000000001E-2"/>
    <n v="281.51231999999999"/>
    <n v="152.79000000000002"/>
    <n v="13"/>
    <n v="3659.6601599999999"/>
    <n v="1673.3901599999995"/>
  </r>
  <r>
    <s v="ORD-2023-868460"/>
    <x v="407"/>
    <x v="8"/>
    <d v="2023-06-01T00:00:00"/>
    <n v="0"/>
    <x v="1"/>
    <x v="4"/>
    <s v="Bengaluru"/>
    <s v="Corporate"/>
    <x v="0"/>
    <x v="6"/>
    <x v="6"/>
    <x v="568"/>
    <n v="669.37"/>
    <n v="997.2"/>
    <s v="High"/>
    <n v="8.2000000000000003E-2"/>
    <n v="5"/>
    <n v="4577.1480000000001"/>
    <n v="3346.85"/>
    <n v="1230.2980000000002"/>
    <n v="0.26879139586484863"/>
    <x v="1"/>
    <x v="0"/>
    <n v="8.2000000000000003E-2"/>
    <n v="915.42960000000005"/>
    <n v="736.30700000000002"/>
    <n v="6"/>
    <n v="5492.5776000000005"/>
    <n v="1074.7356000000002"/>
  </r>
  <r>
    <s v="ORD-2025-177994"/>
    <x v="400"/>
    <x v="3"/>
    <d v="2025-04-04T00:00:00"/>
    <n v="11"/>
    <x v="1"/>
    <x v="4"/>
    <s v="Mumbai"/>
    <s v="Education"/>
    <x v="2"/>
    <x v="1"/>
    <x v="3"/>
    <x v="569"/>
    <n v="23.83"/>
    <n v="47.29"/>
    <s v="High"/>
    <n v="6.4000000000000001E-2"/>
    <n v="19"/>
    <n v="841.00536"/>
    <n v="452.77"/>
    <n v="388.23536000000001"/>
    <n v="0.46163244429262618"/>
    <x v="0"/>
    <x v="0"/>
    <n v="6.4000000000000001E-2"/>
    <n v="44.263439999999996"/>
    <n v="26.213000000000001"/>
    <n v="20"/>
    <n v="885.26879999999994"/>
    <n v="361.00879999999989"/>
  </r>
  <r>
    <s v="ORD-2024-355095"/>
    <x v="278"/>
    <x v="0"/>
    <d v="2024-01-02T00:00:00"/>
    <n v="0"/>
    <x v="2"/>
    <x v="3"/>
    <s v="Vancouver"/>
    <s v="Education"/>
    <x v="4"/>
    <x v="8"/>
    <x v="4"/>
    <x v="570"/>
    <n v="444.41"/>
    <n v="754.24"/>
    <s v="High"/>
    <n v="0.20699999999999999"/>
    <n v="32"/>
    <n v="19139.594240000002"/>
    <n v="14221.12"/>
    <n v="4918.4742400000014"/>
    <n v="0.25697902360546598"/>
    <x v="1"/>
    <x v="1"/>
    <n v="0.2"/>
    <n v="603.39200000000005"/>
    <n v="488.85100000000006"/>
    <n v="34"/>
    <n v="20515.328000000001"/>
    <n v="3894.3939999999998"/>
  </r>
  <r>
    <s v="ORD-2023-126505"/>
    <x v="201"/>
    <x v="4"/>
    <d v="2024-01-01T00:00:00"/>
    <n v="13"/>
    <x v="2"/>
    <x v="3"/>
    <s v="Toronto"/>
    <s v="Enterprise"/>
    <x v="0"/>
    <x v="11"/>
    <x v="5"/>
    <x v="571"/>
    <n v="856.1"/>
    <n v="901.48"/>
    <s v="High"/>
    <n v="5.6000000000000001E-2"/>
    <n v="17"/>
    <n v="14466.95104"/>
    <n v="14553.7"/>
    <n v="-86.748960000000807"/>
    <n v="-5.9963540182134192E-3"/>
    <x v="0"/>
    <x v="0"/>
    <n v="5.6000000000000001E-2"/>
    <n v="850.99712"/>
    <n v="941.71000000000015"/>
    <n v="18"/>
    <n v="15317.94816"/>
    <n v="-1632.8318400000028"/>
  </r>
  <r>
    <s v="ORD-2023-340056"/>
    <x v="440"/>
    <x v="8"/>
    <d v="2023-04-26T00:00:00"/>
    <n v="0"/>
    <x v="3"/>
    <x v="7"/>
    <s v="Marseille"/>
    <s v="Consumer"/>
    <x v="4"/>
    <x v="12"/>
    <x v="0"/>
    <x v="572"/>
    <n v="81.489999999999995"/>
    <n v="113.08"/>
    <s v="High"/>
    <n v="0.121"/>
    <n v="5"/>
    <n v="496.98660000000001"/>
    <n v="407.45"/>
    <n v="89.536600000000021"/>
    <n v="0.18015898215364362"/>
    <x v="1"/>
    <x v="0"/>
    <n v="0.121"/>
    <n v="99.397319999999993"/>
    <n v="89.638999999999996"/>
    <n v="6"/>
    <n v="596.38391999999999"/>
    <n v="58.549919999999986"/>
  </r>
  <r>
    <s v="ORD-2025-281413"/>
    <x v="441"/>
    <x v="7"/>
    <d v="2025-08-16T00:00:00"/>
    <n v="13"/>
    <x v="2"/>
    <x v="3"/>
    <s v="Montreal"/>
    <s v="Enterprise"/>
    <x v="3"/>
    <x v="7"/>
    <x v="2"/>
    <x v="573"/>
    <n v="698.66"/>
    <n v="868.62"/>
    <s v="High"/>
    <n v="7.1999999999999995E-2"/>
    <n v="15"/>
    <n v="12091.190399999999"/>
    <n v="10479.9"/>
    <n v="1611.2903999999999"/>
    <n v="0.13326151906432637"/>
    <x v="0"/>
    <x v="0"/>
    <n v="7.1999999999999995E-2"/>
    <n v="806.07936000000007"/>
    <n v="768.52600000000007"/>
    <n v="16"/>
    <n v="12897.269760000001"/>
    <n v="600.85375999999997"/>
  </r>
  <r>
    <s v="ORD-2023-713614"/>
    <x v="442"/>
    <x v="10"/>
    <d v="2023-08-19T00:00:00"/>
    <n v="17"/>
    <x v="2"/>
    <x v="3"/>
    <s v="Vancouver"/>
    <s v="Corporate"/>
    <x v="1"/>
    <x v="9"/>
    <x v="2"/>
    <x v="574"/>
    <n v="175.38"/>
    <n v="347.9"/>
    <s v="High"/>
    <n v="7.1999999999999995E-2"/>
    <n v="43"/>
    <n v="13882.6016"/>
    <n v="7541.34"/>
    <n v="6341.2615999999998"/>
    <n v="0.45677761148169804"/>
    <x v="0"/>
    <x v="0"/>
    <n v="7.1999999999999995E-2"/>
    <n v="322.85120000000001"/>
    <n v="192.91800000000001"/>
    <n v="46"/>
    <n v="14851.155200000001"/>
    <n v="5976.9272000000001"/>
  </r>
  <r>
    <s v="ORD-2023-173313"/>
    <x v="250"/>
    <x v="8"/>
    <d v="2023-07-12T00:00:00"/>
    <n v="27"/>
    <x v="3"/>
    <x v="8"/>
    <s v="Manchester"/>
    <s v="Consumer"/>
    <x v="4"/>
    <x v="2"/>
    <x v="6"/>
    <x v="575"/>
    <n v="751.28"/>
    <n v="1111.8800000000001"/>
    <s v="High"/>
    <n v="0.13500000000000001"/>
    <n v="7"/>
    <n v="6732.4334000000008"/>
    <n v="5258.96"/>
    <n v="1473.4734000000008"/>
    <n v="0.21886193482433863"/>
    <x v="0"/>
    <x v="0"/>
    <n v="0.13500000000000001"/>
    <n v="961.77620000000013"/>
    <n v="826.40800000000002"/>
    <n v="8"/>
    <n v="7694.209600000001"/>
    <n v="1082.9456000000009"/>
  </r>
  <r>
    <s v="ORD-2024-496601"/>
    <x v="443"/>
    <x v="1"/>
    <d v="2024-11-24T00:00:00"/>
    <n v="13"/>
    <x v="3"/>
    <x v="8"/>
    <s v="London"/>
    <s v="Corporate"/>
    <x v="0"/>
    <x v="6"/>
    <x v="2"/>
    <x v="576"/>
    <n v="164.53"/>
    <n v="327.72"/>
    <s v="High"/>
    <n v="6.7000000000000004E-2"/>
    <n v="14"/>
    <n v="4280.6786400000001"/>
    <n v="2303.42"/>
    <n v="1977.25864"/>
    <n v="0.46190307805960412"/>
    <x v="0"/>
    <x v="0"/>
    <n v="6.7000000000000004E-2"/>
    <n v="305.76276000000001"/>
    <n v="180.983"/>
    <n v="15"/>
    <n v="4586.4414000000006"/>
    <n v="1871.6964000000003"/>
  </r>
  <r>
    <s v="ORD-2025-155182"/>
    <x v="444"/>
    <x v="7"/>
    <d v="2025-08-03T00:00:00"/>
    <n v="23"/>
    <x v="0"/>
    <x v="0"/>
    <s v="Nakuru"/>
    <s v="Small Business"/>
    <x v="0"/>
    <x v="0"/>
    <x v="3"/>
    <x v="577"/>
    <n v="389.93"/>
    <n v="486.13"/>
    <s v="High"/>
    <n v="0.13200000000000001"/>
    <n v="17"/>
    <n v="7173.3342799999991"/>
    <n v="6628.81"/>
    <n v="544.52427999999873"/>
    <n v="7.5909508569562828E-2"/>
    <x v="0"/>
    <x v="0"/>
    <n v="0.13200000000000001"/>
    <n v="421.96084000000002"/>
    <n v="428.92300000000006"/>
    <n v="18"/>
    <n v="7595.2951200000007"/>
    <n v="-125.31888000000072"/>
  </r>
  <r>
    <s v="ORD-2023-244375"/>
    <x v="445"/>
    <x v="8"/>
    <d v="2023-07-01T00:00:00"/>
    <n v="28"/>
    <x v="2"/>
    <x v="5"/>
    <s v="Brasília"/>
    <s v="Small Business"/>
    <x v="2"/>
    <x v="8"/>
    <x v="0"/>
    <x v="578"/>
    <n v="860.4"/>
    <n v="2066.6"/>
    <s v="High"/>
    <n v="0.01"/>
    <n v="3"/>
    <n v="6137.8019999999988"/>
    <n v="2581.1999999999998"/>
    <n v="3556.601999999999"/>
    <n v="0.57945857491004105"/>
    <x v="0"/>
    <x v="0"/>
    <n v="0.01"/>
    <n v="2045.934"/>
    <n v="946.44"/>
    <n v="4"/>
    <n v="8183.7359999999999"/>
    <n v="4397.9759999999997"/>
  </r>
  <r>
    <s v="ORD-2023-856322"/>
    <x v="446"/>
    <x v="2"/>
    <d v="2023-02-06T00:00:00"/>
    <n v="8"/>
    <x v="2"/>
    <x v="5"/>
    <s v="Brasília"/>
    <s v="Corporate"/>
    <x v="2"/>
    <x v="14"/>
    <x v="5"/>
    <x v="579"/>
    <n v="41.84"/>
    <n v="86.2"/>
    <s v="High"/>
    <n v="0.22600000000000001"/>
    <n v="27"/>
    <n v="1801.4076000000002"/>
    <n v="1129.68"/>
    <n v="671.72760000000017"/>
    <n v="0.37289039970742882"/>
    <x v="0"/>
    <x v="1"/>
    <n v="0.2"/>
    <n v="68.960000000000008"/>
    <n v="46.024000000000008"/>
    <n v="29"/>
    <n v="1999.8400000000001"/>
    <n v="665.14400000000001"/>
  </r>
  <r>
    <s v="ORD-2024-594527"/>
    <x v="330"/>
    <x v="9"/>
    <d v="2024-09-13T00:00:00"/>
    <n v="7"/>
    <x v="1"/>
    <x v="2"/>
    <s v="Osaka"/>
    <s v="Corporate"/>
    <x v="4"/>
    <x v="8"/>
    <x v="4"/>
    <x v="580"/>
    <n v="1368.17"/>
    <n v="2307.75"/>
    <s v="High"/>
    <n v="0.16300000000000001"/>
    <n v="21"/>
    <n v="40563.321749999996"/>
    <n v="28731.57"/>
    <n v="11831.751749999996"/>
    <n v="0.29168596750831921"/>
    <x v="1"/>
    <x v="0"/>
    <n v="0.16300000000000001"/>
    <n v="1931.5867499999999"/>
    <n v="1504.9870000000003"/>
    <n v="23"/>
    <n v="44426.49525"/>
    <n v="9811.7942499999917"/>
  </r>
  <r>
    <s v="ORD-2024-689872"/>
    <x v="447"/>
    <x v="9"/>
    <d v="2024-08-09T00:00:00"/>
    <n v="6"/>
    <x v="0"/>
    <x v="0"/>
    <s v="Mombasa"/>
    <s v="Consumer"/>
    <x v="2"/>
    <x v="10"/>
    <x v="4"/>
    <x v="581"/>
    <n v="643.21"/>
    <n v="1112.81"/>
    <s v="High"/>
    <n v="0.14099999999999999"/>
    <n v="4"/>
    <n v="3823.6151599999998"/>
    <n v="2572.84"/>
    <n v="1250.7751599999997"/>
    <n v="0.32711847496702562"/>
    <x v="1"/>
    <x v="0"/>
    <n v="0.14099999999999999"/>
    <n v="955.90378999999996"/>
    <n v="707.53100000000006"/>
    <n v="5"/>
    <n v="4779.5189499999997"/>
    <n v="1241.8639499999995"/>
  </r>
  <r>
    <s v="ORD-2025-246692"/>
    <x v="448"/>
    <x v="6"/>
    <d v="2025-04-17T00:00:00"/>
    <n v="0"/>
    <x v="2"/>
    <x v="5"/>
    <s v="São Paulo"/>
    <s v="Corporate"/>
    <x v="3"/>
    <x v="4"/>
    <x v="3"/>
    <x v="582"/>
    <n v="719.41"/>
    <n v="1125.99"/>
    <s v="High"/>
    <n v="4.1000000000000002E-2"/>
    <n v="21"/>
    <n v="22676.312610000001"/>
    <n v="15107.609999999999"/>
    <n v="7568.7026100000021"/>
    <n v="0.33377131194876403"/>
    <x v="1"/>
    <x v="0"/>
    <n v="4.1000000000000002E-2"/>
    <n v="1079.8244099999999"/>
    <n v="791.351"/>
    <n v="23"/>
    <n v="24835.961429999999"/>
    <n v="6634.8884299999991"/>
  </r>
  <r>
    <s v="ORD-2023-378676"/>
    <x v="449"/>
    <x v="8"/>
    <d v="2023-05-16T00:00:00"/>
    <n v="13"/>
    <x v="2"/>
    <x v="10"/>
    <s v="New York"/>
    <s v="Corporate"/>
    <x v="2"/>
    <x v="4"/>
    <x v="3"/>
    <x v="583"/>
    <n v="64.5"/>
    <n v="123.62"/>
    <s v="High"/>
    <n v="0"/>
    <n v="3"/>
    <n v="370.86"/>
    <n v="193.5"/>
    <n v="177.36"/>
    <n v="0.47823976702798904"/>
    <x v="0"/>
    <x v="0"/>
    <n v="0"/>
    <n v="123.62"/>
    <n v="70.95"/>
    <n v="4"/>
    <n v="494.48"/>
    <n v="210.68"/>
  </r>
  <r>
    <s v="ORD-2024-243988"/>
    <x v="450"/>
    <x v="0"/>
    <d v="2024-04-06T00:00:00"/>
    <n v="24"/>
    <x v="0"/>
    <x v="1"/>
    <s v="Abuja"/>
    <s v="Consumer"/>
    <x v="3"/>
    <x v="4"/>
    <x v="0"/>
    <x v="584"/>
    <n v="1232.78"/>
    <n v="1731.75"/>
    <s v="High"/>
    <n v="9.2999999999999999E-2"/>
    <n v="16"/>
    <n v="25131.155999999999"/>
    <n v="19724.48"/>
    <n v="5406.6759999999995"/>
    <n v="0.21513837246484005"/>
    <x v="0"/>
    <x v="0"/>
    <n v="9.2999999999999999E-2"/>
    <n v="1570.6972499999999"/>
    <n v="1356.058"/>
    <n v="17"/>
    <n v="26701.85325"/>
    <n v="3648.8672499999993"/>
  </r>
  <r>
    <s v="ORD-2024-572312"/>
    <x v="248"/>
    <x v="5"/>
    <d v="2024-06-21T00:00:00"/>
    <n v="5"/>
    <x v="1"/>
    <x v="2"/>
    <s v="Tokyo"/>
    <s v="Small Business"/>
    <x v="3"/>
    <x v="9"/>
    <x v="3"/>
    <x v="585"/>
    <n v="1367.13"/>
    <n v="3062.01"/>
    <s v="High"/>
    <n v="0.10299999999999999"/>
    <n v="25"/>
    <n v="68665.574250000005"/>
    <n v="34178.25"/>
    <n v="34487.324250000005"/>
    <n v="0.50225057645971705"/>
    <x v="1"/>
    <x v="0"/>
    <n v="0.10299999999999999"/>
    <n v="2746.6229700000004"/>
    <n v="1503.8430000000003"/>
    <n v="27"/>
    <n v="74158.820190000013"/>
    <n v="33555.05919"/>
  </r>
  <r>
    <s v="ORD-2025-281062"/>
    <x v="146"/>
    <x v="3"/>
    <d v="2025-02-27T00:00:00"/>
    <n v="12"/>
    <x v="3"/>
    <x v="7"/>
    <s v="Lyon"/>
    <s v="Non-Profit"/>
    <x v="4"/>
    <x v="11"/>
    <x v="6"/>
    <x v="586"/>
    <n v="1027.26"/>
    <n v="2200.41"/>
    <s v="High"/>
    <n v="8.7999999999999995E-2"/>
    <n v="6"/>
    <n v="12040.64352"/>
    <n v="6163.5599999999995"/>
    <n v="5877.0835200000001"/>
    <n v="0.48810377204822358"/>
    <x v="0"/>
    <x v="0"/>
    <n v="8.7999999999999995E-2"/>
    <n v="2006.7739199999999"/>
    <n v="1129.9860000000001"/>
    <n v="7"/>
    <n v="14047.417439999999"/>
    <n v="6137.5154399999983"/>
  </r>
  <r>
    <s v="ORD-2023-727290"/>
    <x v="451"/>
    <x v="8"/>
    <d v="2023-04-16T00:00:00"/>
    <n v="13"/>
    <x v="3"/>
    <x v="7"/>
    <s v="Marseille"/>
    <s v="Non-Profit"/>
    <x v="2"/>
    <x v="12"/>
    <x v="6"/>
    <x v="587"/>
    <n v="790.54"/>
    <n v="601.49"/>
    <s v="High"/>
    <n v="0"/>
    <n v="15"/>
    <n v="9022.35"/>
    <n v="11858.099999999999"/>
    <n v="-2835.7499999999982"/>
    <n v="-0.31430281467688553"/>
    <x v="0"/>
    <x v="0"/>
    <n v="0"/>
    <n v="601.49"/>
    <n v="869.59400000000005"/>
    <n v="16"/>
    <n v="9623.84"/>
    <n v="-4289.6640000000007"/>
  </r>
  <r>
    <s v="ORD-2025-993993"/>
    <x v="387"/>
    <x v="7"/>
    <d v="2025-09-22T00:00:00"/>
    <n v="23"/>
    <x v="3"/>
    <x v="7"/>
    <s v="Marseille"/>
    <s v="Corporate"/>
    <x v="4"/>
    <x v="6"/>
    <x v="0"/>
    <x v="588"/>
    <n v="663.9"/>
    <n v="947.77"/>
    <s v="High"/>
    <n v="0.17399999999999999"/>
    <n v="15"/>
    <n v="11742.8703"/>
    <n v="9958.5"/>
    <n v="1784.3703000000005"/>
    <n v="0.1519535049280073"/>
    <x v="0"/>
    <x v="0"/>
    <n v="0.17399999999999999"/>
    <n v="782.85802000000001"/>
    <n v="730.29000000000008"/>
    <n v="16"/>
    <n v="12525.72832"/>
    <n v="841.08831999999893"/>
  </r>
  <r>
    <s v="ORD-2023-619493"/>
    <x v="452"/>
    <x v="2"/>
    <d v="2023-03-06T00:00:00"/>
    <n v="7"/>
    <x v="2"/>
    <x v="10"/>
    <s v="San Francisco"/>
    <s v="Non-Profit"/>
    <x v="1"/>
    <x v="4"/>
    <x v="2"/>
    <x v="589"/>
    <n v="1015.91"/>
    <n v="2331.48"/>
    <s v="High"/>
    <n v="0.14599999999999999"/>
    <n v="26"/>
    <n v="51768.181920000003"/>
    <n v="26413.66"/>
    <n v="25354.521920000003"/>
    <n v="0.48977037592669626"/>
    <x v="1"/>
    <x v="0"/>
    <n v="0.14599999999999999"/>
    <n v="1991.08392"/>
    <n v="1117.501"/>
    <n v="28"/>
    <n v="55750.349759999997"/>
    <n v="24460.321760000003"/>
  </r>
  <r>
    <s v="ORD-2024-947056"/>
    <x v="453"/>
    <x v="9"/>
    <d v="2024-08-15T00:00:00"/>
    <n v="15"/>
    <x v="1"/>
    <x v="2"/>
    <s v="Tokyo"/>
    <s v="Corporate"/>
    <x v="2"/>
    <x v="9"/>
    <x v="5"/>
    <x v="590"/>
    <n v="1252.52"/>
    <n v="1417.24"/>
    <s v="High"/>
    <n v="0.192"/>
    <n v="5"/>
    <n v="5725.6496000000006"/>
    <n v="6262.6"/>
    <n v="-536.95039999999972"/>
    <n v="-9.3779821943696953E-2"/>
    <x v="0"/>
    <x v="0"/>
    <n v="0.192"/>
    <n v="1145.1299200000001"/>
    <n v="1377.7720000000002"/>
    <n v="6"/>
    <n v="6870.77952"/>
    <n v="-1395.8524800000005"/>
  </r>
  <r>
    <s v="ORD-2025-856556"/>
    <x v="324"/>
    <x v="6"/>
    <d v="2025-07-12T00:00:00"/>
    <n v="27"/>
    <x v="3"/>
    <x v="7"/>
    <s v="Marseille"/>
    <s v="Consumer"/>
    <x v="4"/>
    <x v="0"/>
    <x v="6"/>
    <x v="591"/>
    <n v="318.83"/>
    <n v="699.5"/>
    <s v="High"/>
    <n v="0.08"/>
    <n v="13"/>
    <n v="8366.02"/>
    <n v="4144.79"/>
    <n v="4221.2300000000005"/>
    <n v="0.50456848059172699"/>
    <x v="0"/>
    <x v="0"/>
    <n v="0.08"/>
    <n v="643.54000000000008"/>
    <n v="350.71300000000002"/>
    <n v="14"/>
    <n v="9009.5600000000013"/>
    <n v="4099.5780000000004"/>
  </r>
  <r>
    <s v="ORD-2024-442776"/>
    <x v="24"/>
    <x v="5"/>
    <d v="2024-07-21T00:00:00"/>
    <n v="21"/>
    <x v="0"/>
    <x v="0"/>
    <s v="Kisumu"/>
    <s v="Small Business"/>
    <x v="0"/>
    <x v="11"/>
    <x v="4"/>
    <x v="592"/>
    <n v="753.43"/>
    <n v="1787.2"/>
    <s v="High"/>
    <n v="7.2999999999999995E-2"/>
    <n v="9"/>
    <n v="14910.609600000002"/>
    <n v="6780.87"/>
    <n v="8129.7396000000017"/>
    <n v="0.54523187301476939"/>
    <x v="0"/>
    <x v="0"/>
    <n v="7.2999999999999995E-2"/>
    <n v="1656.7344000000001"/>
    <n v="828.77300000000002"/>
    <n v="10"/>
    <n v="16567.344000000001"/>
    <n v="8279.6139999999996"/>
  </r>
  <r>
    <s v="ORD-2025-705398"/>
    <x v="454"/>
    <x v="3"/>
    <d v="2025-02-24T00:00:00"/>
    <n v="7"/>
    <x v="2"/>
    <x v="3"/>
    <s v="Toronto"/>
    <s v="Small Business"/>
    <x v="0"/>
    <x v="14"/>
    <x v="0"/>
    <x v="593"/>
    <n v="1133.47"/>
    <n v="1698.75"/>
    <s v="High"/>
    <n v="4.2999999999999997E-2"/>
    <n v="5"/>
    <n v="8128.5187499999993"/>
    <n v="5667.35"/>
    <n v="2461.1687499999989"/>
    <n v="0.30278194904821976"/>
    <x v="1"/>
    <x v="0"/>
    <n v="4.2999999999999997E-2"/>
    <n v="1625.7037499999999"/>
    <n v="1246.8170000000002"/>
    <n v="6"/>
    <n v="9754.2224999999999"/>
    <n v="2273.320499999998"/>
  </r>
  <r>
    <s v="ORD-2023-689428"/>
    <x v="455"/>
    <x v="2"/>
    <d v="2023-01-30T00:00:00"/>
    <n v="23"/>
    <x v="0"/>
    <x v="11"/>
    <s v="Cape Town"/>
    <s v="Consumer"/>
    <x v="1"/>
    <x v="8"/>
    <x v="1"/>
    <x v="594"/>
    <n v="299.02"/>
    <n v="724.7"/>
    <s v="High"/>
    <n v="0.14000000000000001"/>
    <n v="5"/>
    <n v="3116.21"/>
    <n v="1495.1"/>
    <n v="1621.1100000000001"/>
    <n v="0.52021847051386139"/>
    <x v="0"/>
    <x v="0"/>
    <n v="0.14000000000000001"/>
    <n v="623.24200000000008"/>
    <n v="328.92200000000003"/>
    <n v="6"/>
    <n v="3739.4520000000002"/>
    <n v="1765.9200000000003"/>
  </r>
  <r>
    <s v="ORD-2025-683247"/>
    <x v="401"/>
    <x v="3"/>
    <d v="2025-04-04T00:00:00"/>
    <n v="25"/>
    <x v="1"/>
    <x v="2"/>
    <s v="Osaka"/>
    <s v="Corporate"/>
    <x v="4"/>
    <x v="10"/>
    <x v="1"/>
    <x v="595"/>
    <n v="783.72"/>
    <n v="1355.94"/>
    <s v="High"/>
    <n v="0.187"/>
    <n v="4"/>
    <n v="4409.5168800000001"/>
    <n v="3134.88"/>
    <n v="1274.63688"/>
    <n v="0.28906497348525856"/>
    <x v="0"/>
    <x v="0"/>
    <n v="0.187"/>
    <n v="1102.37922"/>
    <n v="862.0920000000001"/>
    <n v="5"/>
    <n v="5511.8960999999999"/>
    <n v="1201.4360999999997"/>
  </r>
  <r>
    <s v="ORD-2024-585443"/>
    <x v="456"/>
    <x v="9"/>
    <d v="2024-08-24T00:00:00"/>
    <n v="7"/>
    <x v="2"/>
    <x v="5"/>
    <s v="Rio de Janeiro"/>
    <s v="Consumer"/>
    <x v="4"/>
    <x v="12"/>
    <x v="5"/>
    <x v="596"/>
    <n v="165.3"/>
    <n v="275.07"/>
    <s v="High"/>
    <n v="0.13300000000000001"/>
    <n v="25"/>
    <n v="5962.1422499999999"/>
    <n v="4132.5"/>
    <n v="1829.6422499999999"/>
    <n v="0.30687665159280625"/>
    <x v="1"/>
    <x v="0"/>
    <n v="0.13300000000000001"/>
    <n v="238.48569000000001"/>
    <n v="181.83000000000004"/>
    <n v="27"/>
    <n v="6439.1136299999998"/>
    <n v="1529.7036299999991"/>
  </r>
  <r>
    <s v="ORD-2024-907733"/>
    <x v="306"/>
    <x v="0"/>
    <d v="2024-03-22T00:00:00"/>
    <n v="13"/>
    <x v="3"/>
    <x v="8"/>
    <s v="Manchester"/>
    <s v="Consumer"/>
    <x v="1"/>
    <x v="6"/>
    <x v="4"/>
    <x v="597"/>
    <n v="985.45"/>
    <n v="1802.44"/>
    <s v="High"/>
    <n v="8.9999999999999993E-3"/>
    <n v="19"/>
    <n v="33938.142760000002"/>
    <n v="18723.55"/>
    <n v="15214.592760000003"/>
    <n v="0.44830363486867486"/>
    <x v="0"/>
    <x v="0"/>
    <n v="8.9999999999999993E-3"/>
    <n v="1786.21804"/>
    <n v="1083.9950000000001"/>
    <n v="20"/>
    <n v="35724.360800000002"/>
    <n v="14044.460799999997"/>
  </r>
  <r>
    <s v="ORD-2024-550400"/>
    <x v="395"/>
    <x v="9"/>
    <d v="2024-09-02T00:00:00"/>
    <n v="14"/>
    <x v="2"/>
    <x v="3"/>
    <s v="Toronto"/>
    <s v="Consumer"/>
    <x v="3"/>
    <x v="0"/>
    <x v="1"/>
    <x v="598"/>
    <n v="1337.01"/>
    <n v="1269.78"/>
    <s v="High"/>
    <n v="0.16"/>
    <n v="7"/>
    <n v="7466.3063999999986"/>
    <n v="9359.07"/>
    <n v="-1892.7636000000011"/>
    <n v="-0.25350735672996244"/>
    <x v="0"/>
    <x v="0"/>
    <n v="0.16"/>
    <n v="1066.6152"/>
    <n v="1470.711"/>
    <n v="8"/>
    <n v="8532.9215999999997"/>
    <n v="-3232.7664000000004"/>
  </r>
  <r>
    <s v="ORD-2025-189846"/>
    <x v="457"/>
    <x v="7"/>
    <d v="2025-08-28T00:00:00"/>
    <n v="17"/>
    <x v="3"/>
    <x v="7"/>
    <s v="Paris"/>
    <s v="Education"/>
    <x v="1"/>
    <x v="9"/>
    <x v="2"/>
    <x v="599"/>
    <n v="416.16"/>
    <n v="571.9"/>
    <s v="High"/>
    <n v="7.0999999999999994E-2"/>
    <n v="2"/>
    <n v="1062.5902000000001"/>
    <n v="832.32"/>
    <n v="230.27020000000005"/>
    <n v="0.21670649701079497"/>
    <x v="0"/>
    <x v="0"/>
    <n v="7.0999999999999994E-2"/>
    <n v="531.29510000000005"/>
    <n v="457.77600000000007"/>
    <n v="3"/>
    <n v="1593.8853000000001"/>
    <n v="220.55729999999994"/>
  </r>
  <r>
    <s v="ORD-2025-752192"/>
    <x v="216"/>
    <x v="6"/>
    <d v="2025-05-18T00:00:00"/>
    <n v="2"/>
    <x v="1"/>
    <x v="2"/>
    <s v="Tokyo"/>
    <s v="Enterprise"/>
    <x v="0"/>
    <x v="1"/>
    <x v="1"/>
    <x v="600"/>
    <n v="1144.3800000000001"/>
    <n v="2755.04"/>
    <s v="High"/>
    <n v="0.15"/>
    <n v="17"/>
    <n v="39810.328000000001"/>
    <n v="19454.460000000003"/>
    <n v="20355.867999999999"/>
    <n v="0.51132128326096682"/>
    <x v="1"/>
    <x v="0"/>
    <n v="0.15"/>
    <n v="2341.7840000000001"/>
    <n v="1258.8180000000002"/>
    <n v="18"/>
    <n v="42152.112000000001"/>
    <n v="19493.387999999999"/>
  </r>
  <r>
    <s v="ORD-2023-294716"/>
    <x v="458"/>
    <x v="8"/>
    <d v="2023-04-25T00:00:00"/>
    <n v="15"/>
    <x v="3"/>
    <x v="8"/>
    <s v="London"/>
    <s v="Small Business"/>
    <x v="0"/>
    <x v="14"/>
    <x v="1"/>
    <x v="601"/>
    <n v="405.66"/>
    <n v="962.51"/>
    <s v="High"/>
    <n v="0.19"/>
    <n v="7"/>
    <n v="5457.4317000000001"/>
    <n v="2839.6200000000003"/>
    <n v="2617.8116999999997"/>
    <n v="0.47967832561239376"/>
    <x v="0"/>
    <x v="0"/>
    <n v="0.19"/>
    <n v="779.63310000000001"/>
    <n v="446.22600000000006"/>
    <n v="8"/>
    <n v="6237.0648000000001"/>
    <n v="2667.2567999999997"/>
  </r>
  <r>
    <s v="ORD-2023-552115"/>
    <x v="459"/>
    <x v="10"/>
    <d v="2023-10-02T00:00:00"/>
    <n v="15"/>
    <x v="2"/>
    <x v="5"/>
    <s v="Rio de Janeiro"/>
    <s v="Small Business"/>
    <x v="0"/>
    <x v="5"/>
    <x v="4"/>
    <x v="602"/>
    <n v="689.33"/>
    <n v="668.27"/>
    <s v="High"/>
    <n v="0.186"/>
    <n v="13"/>
    <n v="7071.6331400000008"/>
    <n v="8961.2900000000009"/>
    <n v="-1889.6568600000001"/>
    <n v="-0.26721647214861033"/>
    <x v="0"/>
    <x v="0"/>
    <n v="0.186"/>
    <n v="543.97177999999997"/>
    <n v="758.26300000000015"/>
    <n v="14"/>
    <n v="7615.6049199999998"/>
    <n v="-3000.0770800000028"/>
  </r>
  <r>
    <s v="ORD-2023-107265"/>
    <x v="460"/>
    <x v="8"/>
    <d v="2023-05-14T00:00:00"/>
    <n v="22"/>
    <x v="1"/>
    <x v="2"/>
    <s v="Nagoya"/>
    <s v="Enterprise"/>
    <x v="0"/>
    <x v="8"/>
    <x v="6"/>
    <x v="603"/>
    <n v="1209.22"/>
    <n v="1404.33"/>
    <s v="High"/>
    <n v="0.10299999999999999"/>
    <n v="11"/>
    <n v="13856.52411"/>
    <n v="13301.42"/>
    <n v="555.10411000000022"/>
    <n v="4.0060848275751328E-2"/>
    <x v="0"/>
    <x v="0"/>
    <n v="0.10299999999999999"/>
    <n v="1259.6840099999999"/>
    <n v="1330.1420000000001"/>
    <n v="12"/>
    <n v="15116.208119999999"/>
    <n v="-845.49588000000131"/>
  </r>
  <r>
    <s v="ORD-2025-262434"/>
    <x v="111"/>
    <x v="6"/>
    <d v="2025-06-21T00:00:00"/>
    <n v="2"/>
    <x v="0"/>
    <x v="11"/>
    <s v="Johannesburg"/>
    <s v="Small Business"/>
    <x v="5"/>
    <x v="10"/>
    <x v="3"/>
    <x v="604"/>
    <n v="1466.27"/>
    <n v="3589.89"/>
    <s v="High"/>
    <n v="9.7000000000000003E-2"/>
    <n v="9"/>
    <n v="29175.036029999999"/>
    <n v="13196.43"/>
    <n v="15978.606029999999"/>
    <n v="0.54768076425234147"/>
    <x v="1"/>
    <x v="0"/>
    <n v="9.7000000000000003E-2"/>
    <n v="3241.67067"/>
    <n v="1612.8970000000002"/>
    <n v="10"/>
    <n v="32416.706699999999"/>
    <n v="16287.736699999998"/>
  </r>
  <r>
    <s v="ORD-2024-266562"/>
    <x v="461"/>
    <x v="1"/>
    <d v="2024-12-24T00:00:00"/>
    <n v="27"/>
    <x v="0"/>
    <x v="0"/>
    <s v="Mombasa"/>
    <s v="Corporate"/>
    <x v="3"/>
    <x v="5"/>
    <x v="1"/>
    <x v="605"/>
    <n v="143.33000000000001"/>
    <n v="233.51"/>
    <s v="High"/>
    <n v="0.16300000000000001"/>
    <n v="14"/>
    <n v="2736.27018"/>
    <n v="2006.6200000000001"/>
    <n v="729.65017999999986"/>
    <n v="0.26665867476580835"/>
    <x v="0"/>
    <x v="0"/>
    <n v="0.16300000000000001"/>
    <n v="195.44786999999999"/>
    <n v="157.66300000000004"/>
    <n v="15"/>
    <n v="2931.7180499999999"/>
    <n v="566.77304999999933"/>
  </r>
  <r>
    <s v="ORD-2024-838925"/>
    <x v="10"/>
    <x v="0"/>
    <d v="2024-02-04T00:00:00"/>
    <n v="7"/>
    <x v="0"/>
    <x v="11"/>
    <s v="Cape Town"/>
    <s v="Enterprise"/>
    <x v="4"/>
    <x v="7"/>
    <x v="0"/>
    <x v="606"/>
    <n v="109.75"/>
    <n v="124.25"/>
    <s v="High"/>
    <n v="0.12"/>
    <n v="19"/>
    <n v="2077.46"/>
    <n v="2085.25"/>
    <n v="-7.7899999999999636"/>
    <n v="-3.7497713554051405E-3"/>
    <x v="1"/>
    <x v="0"/>
    <n v="0.12"/>
    <n v="109.34"/>
    <n v="120.72500000000001"/>
    <n v="20"/>
    <n v="2186.8000000000002"/>
    <n v="-227.7000000000001"/>
  </r>
  <r>
    <s v="ORD-2023-664790"/>
    <x v="386"/>
    <x v="8"/>
    <d v="2023-04-23T00:00:00"/>
    <n v="7"/>
    <x v="2"/>
    <x v="10"/>
    <s v="Austin"/>
    <s v="Corporate"/>
    <x v="3"/>
    <x v="7"/>
    <x v="1"/>
    <x v="607"/>
    <n v="1099.1500000000001"/>
    <n v="1431.37"/>
    <s v="High"/>
    <n v="0.104"/>
    <n v="8"/>
    <n v="10260.060159999999"/>
    <n v="8793.2000000000007"/>
    <n v="1466.8601599999984"/>
    <n v="0.14296798821109433"/>
    <x v="1"/>
    <x v="0"/>
    <n v="0.104"/>
    <n v="1282.5075199999999"/>
    <n v="1209.0650000000003"/>
    <n v="9"/>
    <n v="11542.567679999998"/>
    <n v="660.98267999999644"/>
  </r>
  <r>
    <s v="ORD-2024-331408"/>
    <x v="145"/>
    <x v="0"/>
    <d v="2024-02-01T00:00:00"/>
    <n v="0"/>
    <x v="2"/>
    <x v="10"/>
    <s v="Austin"/>
    <s v="Consumer"/>
    <x v="3"/>
    <x v="10"/>
    <x v="1"/>
    <x v="608"/>
    <n v="714.43"/>
    <n v="1595.52"/>
    <s v="High"/>
    <n v="0.19400000000000001"/>
    <n v="14"/>
    <n v="18003.847679999999"/>
    <n v="10002.019999999999"/>
    <n v="8001.8276800000003"/>
    <n v="0.44445097638151093"/>
    <x v="1"/>
    <x v="0"/>
    <n v="0.19400000000000001"/>
    <n v="1285.98912"/>
    <n v="785.87300000000005"/>
    <n v="15"/>
    <n v="19289.836800000001"/>
    <n v="7501.7417999999989"/>
  </r>
  <r>
    <s v="ORD-2024-741404"/>
    <x v="462"/>
    <x v="1"/>
    <d v="2024-11-06T00:00:00"/>
    <n v="18"/>
    <x v="2"/>
    <x v="10"/>
    <s v="Chicago"/>
    <s v="Education"/>
    <x v="5"/>
    <x v="0"/>
    <x v="5"/>
    <x v="609"/>
    <n v="942.02"/>
    <n v="1028.46"/>
    <s v="High"/>
    <n v="0"/>
    <n v="9"/>
    <n v="9256.14"/>
    <n v="8478.18"/>
    <n v="777.95999999999913"/>
    <n v="8.4047994088248354E-2"/>
    <x v="0"/>
    <x v="0"/>
    <n v="0"/>
    <n v="1028.46"/>
    <n v="1036.222"/>
    <n v="10"/>
    <n v="10284.6"/>
    <n v="-77.619999999999436"/>
  </r>
  <r>
    <s v="ORD-2024-341535"/>
    <x v="463"/>
    <x v="5"/>
    <d v="2024-06-30T00:00:00"/>
    <n v="5"/>
    <x v="0"/>
    <x v="0"/>
    <s v="Kisumu"/>
    <s v="Education"/>
    <x v="4"/>
    <x v="12"/>
    <x v="2"/>
    <x v="610"/>
    <n v="1323.55"/>
    <n v="3230.35"/>
    <s v="High"/>
    <n v="2.1999999999999999E-2"/>
    <n v="26"/>
    <n v="82141.339799999987"/>
    <n v="34412.299999999996"/>
    <n v="47729.039799999991"/>
    <n v="0.58105991351263542"/>
    <x v="1"/>
    <x v="0"/>
    <n v="2.1999999999999999E-2"/>
    <n v="3159.2822999999999"/>
    <n v="1455.905"/>
    <n v="28"/>
    <n v="88459.904399999999"/>
    <n v="47694.564399999996"/>
  </r>
  <r>
    <s v="ORD-2023-451931"/>
    <x v="202"/>
    <x v="10"/>
    <d v="2023-08-19T00:00:00"/>
    <n v="20"/>
    <x v="3"/>
    <x v="7"/>
    <s v="Paris"/>
    <s v="Enterprise"/>
    <x v="2"/>
    <x v="3"/>
    <x v="2"/>
    <x v="611"/>
    <n v="1418.51"/>
    <n v="2789.61"/>
    <s v="High"/>
    <n v="0.17100000000000001"/>
    <n v="8"/>
    <n v="18500.693520000001"/>
    <n v="11348.08"/>
    <n v="7152.6135200000008"/>
    <n v="0.38661326464695689"/>
    <x v="0"/>
    <x v="0"/>
    <n v="0.17100000000000001"/>
    <n v="2312.5866900000001"/>
    <n v="1560.3610000000001"/>
    <n v="9"/>
    <n v="20813.280210000001"/>
    <n v="6770.0312100000001"/>
  </r>
  <r>
    <s v="ORD-2025-532859"/>
    <x v="417"/>
    <x v="3"/>
    <d v="2025-03-27T00:00:00"/>
    <n v="16"/>
    <x v="1"/>
    <x v="2"/>
    <s v="Tokyo"/>
    <s v="Enterprise"/>
    <x v="3"/>
    <x v="5"/>
    <x v="1"/>
    <x v="612"/>
    <n v="1317.58"/>
    <n v="1897.74"/>
    <s v="High"/>
    <n v="8.1000000000000003E-2"/>
    <n v="6"/>
    <n v="10464.138360000001"/>
    <n v="7905.48"/>
    <n v="2558.6583600000013"/>
    <n v="0.24451687009230266"/>
    <x v="0"/>
    <x v="0"/>
    <n v="8.1000000000000003E-2"/>
    <n v="1744.02306"/>
    <n v="1449.338"/>
    <n v="7"/>
    <n v="12208.16142"/>
    <n v="2062.7954200000004"/>
  </r>
  <r>
    <s v="ORD-2023-502205"/>
    <x v="326"/>
    <x v="4"/>
    <d v="2023-10-11T00:00:00"/>
    <n v="2"/>
    <x v="0"/>
    <x v="1"/>
    <s v="Port Harcourt"/>
    <s v="Education"/>
    <x v="2"/>
    <x v="11"/>
    <x v="2"/>
    <x v="613"/>
    <n v="391.16"/>
    <n v="902.47"/>
    <s v="High"/>
    <n v="4.0000000000000001E-3"/>
    <n v="12"/>
    <n v="10786.32144"/>
    <n v="4693.92"/>
    <n v="6092.4014399999996"/>
    <n v="0.56482661618139207"/>
    <x v="1"/>
    <x v="0"/>
    <n v="4.0000000000000001E-3"/>
    <n v="898.86012000000005"/>
    <n v="430.27600000000007"/>
    <n v="13"/>
    <n v="11685.181560000001"/>
    <n v="6091.5935599999993"/>
  </r>
  <r>
    <s v="ORD-2024-930679"/>
    <x v="55"/>
    <x v="1"/>
    <d v="2025-01-16T00:00:00"/>
    <n v="30"/>
    <x v="3"/>
    <x v="8"/>
    <s v="Manchester"/>
    <s v="Corporate"/>
    <x v="0"/>
    <x v="14"/>
    <x v="5"/>
    <x v="614"/>
    <n v="722.87"/>
    <n v="33.659999999999997"/>
    <s v="High"/>
    <n v="0.10199999999999999"/>
    <n v="28"/>
    <n v="846.34703999999988"/>
    <n v="20240.36"/>
    <n v="-19394.01296"/>
    <n v="-22.914965189693348"/>
    <x v="0"/>
    <x v="0"/>
    <n v="0.10199999999999999"/>
    <n v="30.226679999999998"/>
    <n v="795.15700000000004"/>
    <n v="30"/>
    <n v="906.80039999999997"/>
    <n v="-22947.909600000003"/>
  </r>
  <r>
    <s v="ORD-2025-150713"/>
    <x v="444"/>
    <x v="7"/>
    <d v="2025-07-16T00:00:00"/>
    <n v="5"/>
    <x v="3"/>
    <x v="8"/>
    <s v="London"/>
    <s v="Enterprise"/>
    <x v="1"/>
    <x v="11"/>
    <x v="1"/>
    <x v="615"/>
    <n v="930.03"/>
    <n v="1086.68"/>
    <s v="High"/>
    <n v="0.109"/>
    <n v="26"/>
    <n v="25174.028880000002"/>
    <n v="24180.78"/>
    <n v="993.24888000000283"/>
    <n v="3.9455300728168656E-2"/>
    <x v="1"/>
    <x v="0"/>
    <n v="0.109"/>
    <n v="968.23188000000005"/>
    <n v="1023.033"/>
    <n v="28"/>
    <n v="27110.49264"/>
    <n v="-1534.4313599999991"/>
  </r>
  <r>
    <s v="ORD-2024-756884"/>
    <x v="464"/>
    <x v="1"/>
    <d v="2024-10-24T00:00:00"/>
    <n v="11"/>
    <x v="3"/>
    <x v="7"/>
    <s v="Paris"/>
    <s v="Education"/>
    <x v="3"/>
    <x v="9"/>
    <x v="0"/>
    <x v="616"/>
    <n v="816.7"/>
    <n v="1010.75"/>
    <s v="High"/>
    <n v="4.7E-2"/>
    <n v="43"/>
    <n v="41419.524249999995"/>
    <n v="35118.1"/>
    <n v="6301.4242499999964"/>
    <n v="0.15213656757537472"/>
    <x v="0"/>
    <x v="0"/>
    <n v="4.7E-2"/>
    <n v="963.24474999999995"/>
    <n v="898.37000000000012"/>
    <n v="46"/>
    <n v="44309.258499999996"/>
    <n v="2984.2384999999922"/>
  </r>
  <r>
    <s v="ORD-2023-755337"/>
    <x v="428"/>
    <x v="10"/>
    <d v="2023-09-14T00:00:00"/>
    <n v="6"/>
    <x v="0"/>
    <x v="0"/>
    <s v="Nakuru"/>
    <s v="Education"/>
    <x v="4"/>
    <x v="2"/>
    <x v="6"/>
    <x v="617"/>
    <n v="251.03"/>
    <n v="411.48"/>
    <s v="High"/>
    <n v="0.16500000000000001"/>
    <n v="3"/>
    <n v="1030.7574"/>
    <n v="753.09"/>
    <n v="277.66739999999993"/>
    <n v="0.26938191275658069"/>
    <x v="1"/>
    <x v="0"/>
    <n v="0.16500000000000001"/>
    <n v="343.58580000000001"/>
    <n v="276.13300000000004"/>
    <n v="4"/>
    <n v="1374.3432"/>
    <n v="269.81119999999987"/>
  </r>
  <r>
    <s v="ORD-2025-907040"/>
    <x v="448"/>
    <x v="6"/>
    <d v="2025-05-03T00:00:00"/>
    <n v="16"/>
    <x v="2"/>
    <x v="5"/>
    <s v="Rio de Janeiro"/>
    <s v="Consumer"/>
    <x v="2"/>
    <x v="1"/>
    <x v="2"/>
    <x v="618"/>
    <n v="168.68"/>
    <n v="413.34"/>
    <s v="High"/>
    <n v="0.186"/>
    <n v="7"/>
    <n v="2355.2113199999999"/>
    <n v="1180.76"/>
    <n v="1174.4513199999999"/>
    <n v="0.49866069767361682"/>
    <x v="0"/>
    <x v="0"/>
    <n v="0.186"/>
    <n v="336.45875999999998"/>
    <n v="185.54800000000003"/>
    <n v="8"/>
    <n v="2691.6700799999999"/>
    <n v="1207.2860799999996"/>
  </r>
  <r>
    <s v="ORD-2024-817997"/>
    <x v="465"/>
    <x v="9"/>
    <d v="2024-08-23T00:00:00"/>
    <n v="26"/>
    <x v="1"/>
    <x v="4"/>
    <s v="Hyderabad"/>
    <s v="Corporate"/>
    <x v="0"/>
    <x v="1"/>
    <x v="2"/>
    <x v="619"/>
    <n v="1339.24"/>
    <n v="1558.89"/>
    <s v="High"/>
    <n v="0.192"/>
    <n v="24"/>
    <n v="30229.994880000002"/>
    <n v="32141.760000000002"/>
    <n v="-1911.76512"/>
    <n v="-6.3240669659021781E-2"/>
    <x v="0"/>
    <x v="0"/>
    <n v="0.192"/>
    <n v="1259.5831200000002"/>
    <n v="1473.1640000000002"/>
    <n v="26"/>
    <n v="32749.161120000004"/>
    <n v="-5553.1028799999995"/>
  </r>
  <r>
    <s v="ORD-2025-649633"/>
    <x v="466"/>
    <x v="7"/>
    <d v="2025-07-31T00:00:00"/>
    <n v="12"/>
    <x v="0"/>
    <x v="0"/>
    <s v="Nairobi"/>
    <s v="Small Business"/>
    <x v="2"/>
    <x v="7"/>
    <x v="6"/>
    <x v="620"/>
    <n v="619.64"/>
    <n v="861.16"/>
    <s v="High"/>
    <n v="0.113"/>
    <n v="14"/>
    <n v="10693.88488"/>
    <n v="8674.9599999999991"/>
    <n v="2018.9248800000005"/>
    <n v="0.18879246435276761"/>
    <x v="0"/>
    <x v="0"/>
    <n v="0.113"/>
    <n v="763.84892000000002"/>
    <n v="681.60400000000004"/>
    <n v="15"/>
    <n v="11457.7338"/>
    <n v="1233.6737999999996"/>
  </r>
  <r>
    <s v="ORD-2023-885216"/>
    <x v="241"/>
    <x v="10"/>
    <d v="2023-08-10T00:00:00"/>
    <n v="7"/>
    <x v="1"/>
    <x v="9"/>
    <s v="Shanghai"/>
    <s v="Non-Profit"/>
    <x v="4"/>
    <x v="1"/>
    <x v="2"/>
    <x v="621"/>
    <n v="1021.97"/>
    <n v="2296.25"/>
    <s v="High"/>
    <n v="0.161"/>
    <n v="26"/>
    <n v="50090.397499999999"/>
    <n v="26571.22"/>
    <n v="23519.177499999998"/>
    <n v="0.46953465482081669"/>
    <x v="1"/>
    <x v="0"/>
    <n v="0.161"/>
    <n v="1926.55375"/>
    <n v="1124.1670000000001"/>
    <n v="28"/>
    <n v="53943.505000000005"/>
    <n v="22466.828999999998"/>
  </r>
  <r>
    <s v="ORD-2023-561823"/>
    <x v="112"/>
    <x v="4"/>
    <d v="2023-12-12T00:00:00"/>
    <n v="23"/>
    <x v="1"/>
    <x v="4"/>
    <s v="Delhi"/>
    <s v="Small Business"/>
    <x v="4"/>
    <x v="0"/>
    <x v="2"/>
    <x v="622"/>
    <n v="1349.04"/>
    <n v="2636.6"/>
    <s v="High"/>
    <n v="0.114"/>
    <n v="14"/>
    <n v="32704.386400000003"/>
    <n v="18886.559999999998"/>
    <n v="13817.826400000005"/>
    <n v="0.42250682312143928"/>
    <x v="0"/>
    <x v="0"/>
    <n v="0.114"/>
    <n v="2336.0275999999999"/>
    <n v="1483.9440000000002"/>
    <n v="15"/>
    <n v="35040.413999999997"/>
    <n v="12781.253999999995"/>
  </r>
  <r>
    <s v="ORD-2023-249805"/>
    <x v="81"/>
    <x v="4"/>
    <d v="2024-01-16T00:00:00"/>
    <n v="25"/>
    <x v="1"/>
    <x v="4"/>
    <s v="Hyderabad"/>
    <s v="Small Business"/>
    <x v="0"/>
    <x v="8"/>
    <x v="0"/>
    <x v="623"/>
    <n v="1346.81"/>
    <n v="978.09"/>
    <s v="High"/>
    <n v="0.159"/>
    <n v="17"/>
    <n v="13983.752729999998"/>
    <n v="22895.77"/>
    <n v="-8912.0172700000021"/>
    <n v="-0.6373122753293996"/>
    <x v="0"/>
    <x v="0"/>
    <n v="0.159"/>
    <n v="822.57368999999994"/>
    <n v="1481.491"/>
    <n v="18"/>
    <n v="14806.326419999999"/>
    <n v="-11860.51158"/>
  </r>
  <r>
    <s v="ORD-2023-548934"/>
    <x v="241"/>
    <x v="10"/>
    <d v="2023-08-30T00:00:00"/>
    <n v="27"/>
    <x v="1"/>
    <x v="9"/>
    <s v="Shanghai"/>
    <s v="Consumer"/>
    <x v="3"/>
    <x v="13"/>
    <x v="5"/>
    <x v="624"/>
    <n v="226.04"/>
    <n v="545.72"/>
    <s v="High"/>
    <n v="0.151"/>
    <n v="11"/>
    <n v="5096.4790800000001"/>
    <n v="2486.44"/>
    <n v="2610.03908"/>
    <n v="0.51212592831834014"/>
    <x v="0"/>
    <x v="0"/>
    <n v="0.151"/>
    <n v="463.31628000000001"/>
    <n v="248.64400000000001"/>
    <n v="12"/>
    <n v="5559.7953600000001"/>
    <n v="2576.06736"/>
  </r>
  <r>
    <s v="ORD-2023-921939"/>
    <x v="44"/>
    <x v="8"/>
    <d v="2023-07-18T00:00:00"/>
    <n v="25"/>
    <x v="2"/>
    <x v="3"/>
    <s v="Vancouver"/>
    <s v="Enterprise"/>
    <x v="1"/>
    <x v="13"/>
    <x v="3"/>
    <x v="625"/>
    <n v="807.02"/>
    <n v="1435.54"/>
    <s v="High"/>
    <n v="0"/>
    <n v="23"/>
    <n v="33017.42"/>
    <n v="18561.46"/>
    <n v="14455.96"/>
    <n v="0.43782827368098415"/>
    <x v="0"/>
    <x v="0"/>
    <n v="0"/>
    <n v="1435.54"/>
    <n v="887.72200000000009"/>
    <n v="25"/>
    <n v="35888.5"/>
    <n v="13695.449999999997"/>
  </r>
  <r>
    <s v="ORD-2023-961864"/>
    <x v="141"/>
    <x v="4"/>
    <d v="2024-01-02T00:00:00"/>
    <n v="26"/>
    <x v="3"/>
    <x v="6"/>
    <s v="Frankfurt"/>
    <s v="Enterprise"/>
    <x v="3"/>
    <x v="6"/>
    <x v="0"/>
    <x v="626"/>
    <n v="1071.99"/>
    <n v="2397.3000000000002"/>
    <s v="High"/>
    <n v="6.2E-2"/>
    <n v="18"/>
    <n v="40476.013200000001"/>
    <n v="19295.82"/>
    <n v="21180.193200000002"/>
    <n v="0.52327765324476183"/>
    <x v="0"/>
    <x v="0"/>
    <n v="6.2E-2"/>
    <n v="2248.6673999999998"/>
    <n v="1179.1890000000001"/>
    <n v="19"/>
    <n v="42724.6806"/>
    <n v="20320.089599999996"/>
  </r>
  <r>
    <s v="ORD-2023-455933"/>
    <x v="112"/>
    <x v="4"/>
    <d v="2023-12-19T00:00:00"/>
    <n v="30"/>
    <x v="1"/>
    <x v="2"/>
    <s v="Nagoya"/>
    <s v="Consumer"/>
    <x v="0"/>
    <x v="15"/>
    <x v="3"/>
    <x v="627"/>
    <n v="807.11"/>
    <n v="1853.86"/>
    <s v="High"/>
    <n v="0.13900000000000001"/>
    <n v="8"/>
    <n v="12769.38768"/>
    <n v="6456.88"/>
    <n v="6312.5076799999997"/>
    <n v="0.49434693645388639"/>
    <x v="0"/>
    <x v="0"/>
    <n v="0.13900000000000001"/>
    <n v="1596.17346"/>
    <n v="887.82100000000014"/>
    <n v="9"/>
    <n v="14365.56114"/>
    <n v="6375.1721399999988"/>
  </r>
  <r>
    <s v="ORD-2025-728935"/>
    <x v="467"/>
    <x v="3"/>
    <d v="2025-03-10T00:00:00"/>
    <n v="10"/>
    <x v="1"/>
    <x v="2"/>
    <s v="Osaka"/>
    <s v="Education"/>
    <x v="3"/>
    <x v="13"/>
    <x v="4"/>
    <x v="628"/>
    <n v="51.86"/>
    <n v="45.98"/>
    <s v="High"/>
    <n v="0.17299999999999999"/>
    <n v="7"/>
    <n v="266.17821999999995"/>
    <n v="363.02"/>
    <n v="-96.841780000000028"/>
    <n v="-0.3638230806412337"/>
    <x v="0"/>
    <x v="0"/>
    <n v="0.17299999999999999"/>
    <n v="38.025459999999995"/>
    <n v="57.046000000000006"/>
    <n v="8"/>
    <n v="304.20367999999996"/>
    <n v="-152.1643200000000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2:B99" firstHeaderRow="1" firstDataRow="1" firstDataCol="1"/>
  <pivotFields count="24">
    <pivotField showAll="0"/>
    <pivotField axis="axisRow" numFmtId="166" showAll="0">
      <items count="15">
        <item x="0"/>
        <item x="1"/>
        <item x="2"/>
        <item x="3"/>
        <item x="4"/>
        <item x="5"/>
        <item x="6"/>
        <item x="7"/>
        <item x="8"/>
        <item x="9"/>
        <item x="10"/>
        <item x="11"/>
        <item x="12"/>
        <item x="13"/>
        <item t="default"/>
      </items>
    </pivotField>
    <pivotField showAll="0"/>
    <pivotField numFmtId="14" showAll="0"/>
    <pivotField numFmtId="1" showAll="0"/>
    <pivotField showAll="0"/>
    <pivotField axis="axisRow" showAll="0">
      <items count="13">
        <item x="5"/>
        <item x="3"/>
        <item x="9"/>
        <item x="7"/>
        <item x="6"/>
        <item x="4"/>
        <item x="2"/>
        <item x="0"/>
        <item x="1"/>
        <item x="11"/>
        <item x="8"/>
        <item x="10"/>
        <item t="default"/>
      </items>
    </pivotField>
    <pivotField showAll="0"/>
    <pivotField showAll="0"/>
    <pivotField showAll="0"/>
    <pivotField showAll="0"/>
    <pivotField showAll="0"/>
    <pivotField showAll="0"/>
    <pivotField numFmtId="2" showAll="0"/>
    <pivotField numFmtId="2" showAll="0"/>
    <pivotField showAll="0"/>
    <pivotField numFmtId="165" showAll="0"/>
    <pivotField numFmtId="1" showAll="0"/>
    <pivotField dataField="1" numFmtId="2" showAll="0"/>
    <pivotField numFmtId="2" showAll="0"/>
    <pivotField numFmtId="2" showAll="0"/>
    <pivotField numFmtId="2" showAll="0"/>
    <pivotField axis="axisRow" showAll="0" defaultSubtotal="0">
      <items count="6">
        <item sd="0" x="0"/>
        <item sd="0" x="1"/>
        <item sd="0" x="2"/>
        <item sd="0" x="3"/>
        <item sd="0" x="4"/>
        <item sd="0" x="5"/>
      </items>
    </pivotField>
    <pivotField axis="axisRow" showAll="0" defaultSubtotal="0">
      <items count="5">
        <item sd="0" x="0"/>
        <item x="1"/>
        <item sd="0" x="2"/>
        <item sd="0" x="3"/>
        <item sd="0" x="4"/>
      </items>
    </pivotField>
  </pivotFields>
  <rowFields count="4">
    <field x="6"/>
    <field x="23"/>
    <field x="22"/>
    <field x="1"/>
  </rowFields>
  <rowItems count="97">
    <i>
      <x/>
    </i>
    <i r="1">
      <x v="1"/>
    </i>
    <i r="2">
      <x v="1"/>
    </i>
    <i r="2">
      <x v="2"/>
    </i>
    <i r="2">
      <x v="3"/>
    </i>
    <i r="2">
      <x v="4"/>
    </i>
    <i r="1">
      <x v="2"/>
    </i>
    <i r="1">
      <x v="3"/>
    </i>
    <i>
      <x v="1"/>
    </i>
    <i r="1">
      <x v="1"/>
    </i>
    <i r="2">
      <x v="1"/>
    </i>
    <i r="2">
      <x v="2"/>
    </i>
    <i r="2">
      <x v="3"/>
    </i>
    <i r="2">
      <x v="4"/>
    </i>
    <i r="1">
      <x v="2"/>
    </i>
    <i r="1">
      <x v="3"/>
    </i>
    <i>
      <x v="2"/>
    </i>
    <i r="1">
      <x v="1"/>
    </i>
    <i r="2">
      <x v="1"/>
    </i>
    <i r="2">
      <x v="2"/>
    </i>
    <i r="2">
      <x v="3"/>
    </i>
    <i r="2">
      <x v="4"/>
    </i>
    <i r="1">
      <x v="2"/>
    </i>
    <i r="1">
      <x v="3"/>
    </i>
    <i>
      <x v="3"/>
    </i>
    <i r="1">
      <x v="1"/>
    </i>
    <i r="2">
      <x v="1"/>
    </i>
    <i r="2">
      <x v="2"/>
    </i>
    <i r="2">
      <x v="3"/>
    </i>
    <i r="2">
      <x v="4"/>
    </i>
    <i r="1">
      <x v="2"/>
    </i>
    <i r="1">
      <x v="3"/>
    </i>
    <i>
      <x v="4"/>
    </i>
    <i r="1">
      <x v="1"/>
    </i>
    <i r="2">
      <x v="1"/>
    </i>
    <i r="2">
      <x v="2"/>
    </i>
    <i r="2">
      <x v="3"/>
    </i>
    <i r="2">
      <x v="4"/>
    </i>
    <i r="1">
      <x v="2"/>
    </i>
    <i r="1">
      <x v="3"/>
    </i>
    <i>
      <x v="5"/>
    </i>
    <i r="1">
      <x v="1"/>
    </i>
    <i r="2">
      <x v="1"/>
    </i>
    <i r="2">
      <x v="2"/>
    </i>
    <i r="2">
      <x v="3"/>
    </i>
    <i r="2">
      <x v="4"/>
    </i>
    <i r="1">
      <x v="2"/>
    </i>
    <i r="1">
      <x v="3"/>
    </i>
    <i>
      <x v="6"/>
    </i>
    <i r="1">
      <x v="1"/>
    </i>
    <i r="2">
      <x v="1"/>
    </i>
    <i r="2">
      <x v="2"/>
    </i>
    <i r="2">
      <x v="3"/>
    </i>
    <i r="2">
      <x v="4"/>
    </i>
    <i r="1">
      <x v="2"/>
    </i>
    <i r="1">
      <x v="3"/>
    </i>
    <i>
      <x v="7"/>
    </i>
    <i r="1">
      <x v="1"/>
    </i>
    <i r="2">
      <x v="1"/>
    </i>
    <i r="2">
      <x v="2"/>
    </i>
    <i r="2">
      <x v="3"/>
    </i>
    <i r="2">
      <x v="4"/>
    </i>
    <i r="1">
      <x v="2"/>
    </i>
    <i r="1">
      <x v="3"/>
    </i>
    <i>
      <x v="8"/>
    </i>
    <i r="1">
      <x v="1"/>
    </i>
    <i r="2">
      <x v="1"/>
    </i>
    <i r="2">
      <x v="2"/>
    </i>
    <i r="2">
      <x v="3"/>
    </i>
    <i r="2">
      <x v="4"/>
    </i>
    <i r="1">
      <x v="2"/>
    </i>
    <i r="1">
      <x v="3"/>
    </i>
    <i>
      <x v="9"/>
    </i>
    <i r="1">
      <x v="1"/>
    </i>
    <i r="2">
      <x v="1"/>
    </i>
    <i r="2">
      <x v="2"/>
    </i>
    <i r="2">
      <x v="3"/>
    </i>
    <i r="2">
      <x v="4"/>
    </i>
    <i r="1">
      <x v="2"/>
    </i>
    <i r="1">
      <x v="3"/>
    </i>
    <i>
      <x v="10"/>
    </i>
    <i r="1">
      <x v="1"/>
    </i>
    <i r="2">
      <x v="1"/>
    </i>
    <i r="2">
      <x v="2"/>
    </i>
    <i r="2">
      <x v="3"/>
    </i>
    <i r="2">
      <x v="4"/>
    </i>
    <i r="1">
      <x v="2"/>
    </i>
    <i r="1">
      <x v="3"/>
    </i>
    <i>
      <x v="11"/>
    </i>
    <i r="1">
      <x v="1"/>
    </i>
    <i r="2">
      <x v="1"/>
    </i>
    <i r="2">
      <x v="2"/>
    </i>
    <i r="2">
      <x v="3"/>
    </i>
    <i r="2">
      <x v="4"/>
    </i>
    <i r="1">
      <x v="2"/>
    </i>
    <i r="1">
      <x v="3"/>
    </i>
    <i t="grand">
      <x/>
    </i>
  </rowItems>
  <colItems count="1">
    <i/>
  </colItems>
  <dataFields count="1">
    <dataField name="Sum of Gross Revenue"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4:B12" firstHeaderRow="1" firstDataRow="1" firstDataCol="1"/>
  <pivotFields count="24">
    <pivotField showAll="0"/>
    <pivotField numFmtId="166" showAll="0"/>
    <pivotField showAll="0"/>
    <pivotField numFmtId="14" showAll="0"/>
    <pivotField numFmtId="1" showAll="0"/>
    <pivotField showAll="0"/>
    <pivotField showAll="0"/>
    <pivotField showAll="0"/>
    <pivotField showAll="0"/>
    <pivotField showAll="0"/>
    <pivotField showAll="0"/>
    <pivotField axis="axisRow" showAll="0" sortType="descending">
      <items count="8">
        <item sd="0" x="6"/>
        <item sd="0" x="0"/>
        <item sd="0" x="4"/>
        <item sd="0" x="5"/>
        <item sd="0" x="2"/>
        <item sd="0" x="3"/>
        <item sd="0" x="1"/>
        <item t="default"/>
      </items>
      <autoSortScope>
        <pivotArea dataOnly="0" outline="0" fieldPosition="0">
          <references count="1">
            <reference field="4294967294" count="1" selected="0">
              <x v="0"/>
            </reference>
          </references>
        </pivotArea>
      </autoSortScope>
    </pivotField>
    <pivotField axis="axisRow" showAll="0" sortType="descending">
      <items count="630">
        <item x="139"/>
        <item x="620"/>
        <item x="332"/>
        <item x="414"/>
        <item x="339"/>
        <item x="393"/>
        <item x="440"/>
        <item x="292"/>
        <item x="490"/>
        <item x="586"/>
        <item x="206"/>
        <item x="14"/>
        <item x="477"/>
        <item x="58"/>
        <item x="260"/>
        <item x="59"/>
        <item x="324"/>
        <item x="103"/>
        <item x="170"/>
        <item x="70"/>
        <item x="496"/>
        <item x="415"/>
        <item x="311"/>
        <item x="318"/>
        <item x="488"/>
        <item x="331"/>
        <item x="354"/>
        <item x="515"/>
        <item x="185"/>
        <item x="544"/>
        <item x="220"/>
        <item x="258"/>
        <item x="449"/>
        <item x="520"/>
        <item x="575"/>
        <item x="269"/>
        <item x="22"/>
        <item x="158"/>
        <item x="131"/>
        <item x="154"/>
        <item x="289"/>
        <item x="76"/>
        <item x="113"/>
        <item x="568"/>
        <item x="617"/>
        <item x="587"/>
        <item x="226"/>
        <item x="551"/>
        <item x="550"/>
        <item x="97"/>
        <item x="459"/>
        <item x="213"/>
        <item x="351"/>
        <item x="298"/>
        <item x="57"/>
        <item x="287"/>
        <item x="50"/>
        <item x="147"/>
        <item x="436"/>
        <item x="345"/>
        <item x="180"/>
        <item x="357"/>
        <item x="142"/>
        <item x="492"/>
        <item x="556"/>
        <item x="464"/>
        <item x="603"/>
        <item x="359"/>
        <item x="591"/>
        <item x="10"/>
        <item x="276"/>
        <item x="18"/>
        <item x="337"/>
        <item x="540"/>
        <item x="291"/>
        <item x="453"/>
        <item x="25"/>
        <item x="208"/>
        <item x="93"/>
        <item x="66"/>
        <item x="77"/>
        <item x="553"/>
        <item x="535"/>
        <item x="305"/>
        <item x="182"/>
        <item x="407"/>
        <item x="109"/>
        <item x="75"/>
        <item x="169"/>
        <item x="512"/>
        <item x="470"/>
        <item x="578"/>
        <item x="606"/>
        <item x="623"/>
        <item x="34"/>
        <item x="172"/>
        <item x="626"/>
        <item x="400"/>
        <item x="126"/>
        <item x="390"/>
        <item x="124"/>
        <item x="483"/>
        <item x="522"/>
        <item x="376"/>
        <item x="24"/>
        <item x="87"/>
        <item x="82"/>
        <item x="323"/>
        <item x="509"/>
        <item x="366"/>
        <item x="457"/>
        <item x="12"/>
        <item x="136"/>
        <item x="9"/>
        <item x="293"/>
        <item x="157"/>
        <item x="463"/>
        <item x="209"/>
        <item x="314"/>
        <item x="466"/>
        <item x="85"/>
        <item x="161"/>
        <item x="259"/>
        <item x="347"/>
        <item x="255"/>
        <item x="572"/>
        <item x="219"/>
        <item x="616"/>
        <item x="593"/>
        <item x="325"/>
        <item x="74"/>
        <item x="171"/>
        <item x="588"/>
        <item x="489"/>
        <item x="517"/>
        <item x="462"/>
        <item x="78"/>
        <item x="518"/>
        <item x="563"/>
        <item x="44"/>
        <item x="127"/>
        <item x="125"/>
        <item x="110"/>
        <item x="567"/>
        <item x="503"/>
        <item x="458"/>
        <item x="450"/>
        <item x="396"/>
        <item x="30"/>
        <item x="229"/>
        <item x="61"/>
        <item x="364"/>
        <item x="221"/>
        <item x="205"/>
        <item x="69"/>
        <item x="249"/>
        <item x="36"/>
        <item x="60"/>
        <item x="105"/>
        <item x="510"/>
        <item x="101"/>
        <item x="86"/>
        <item x="233"/>
        <item x="0"/>
        <item x="37"/>
        <item x="392"/>
        <item x="435"/>
        <item x="402"/>
        <item x="288"/>
        <item x="475"/>
        <item x="236"/>
        <item x="584"/>
        <item x="177"/>
        <item x="299"/>
        <item x="266"/>
        <item x="558"/>
        <item x="322"/>
        <item x="474"/>
        <item x="476"/>
        <item x="532"/>
        <item x="166"/>
        <item x="145"/>
        <item x="294"/>
        <item x="15"/>
        <item x="526"/>
        <item x="444"/>
        <item x="581"/>
        <item x="538"/>
        <item x="348"/>
        <item x="119"/>
        <item x="278"/>
        <item x="245"/>
        <item x="383"/>
        <item x="238"/>
        <item x="369"/>
        <item x="628"/>
        <item x="480"/>
        <item x="146"/>
        <item x="19"/>
        <item x="64"/>
        <item x="263"/>
        <item x="506"/>
        <item x="570"/>
        <item x="344"/>
        <item x="99"/>
        <item x="53"/>
        <item x="361"/>
        <item x="513"/>
        <item x="580"/>
        <item x="71"/>
        <item x="308"/>
        <item x="303"/>
        <item x="541"/>
        <item x="241"/>
        <item x="456"/>
        <item x="602"/>
        <item x="23"/>
        <item x="254"/>
        <item x="507"/>
        <item x="104"/>
        <item x="189"/>
        <item x="562"/>
        <item x="386"/>
        <item x="250"/>
        <item x="151"/>
        <item x="519"/>
        <item x="592"/>
        <item x="367"/>
        <item x="56"/>
        <item x="408"/>
        <item x="274"/>
        <item x="173"/>
        <item x="102"/>
        <item x="387"/>
        <item x="533"/>
        <item x="564"/>
        <item x="424"/>
        <item x="52"/>
        <item x="191"/>
        <item x="406"/>
        <item x="117"/>
        <item x="395"/>
        <item x="423"/>
        <item x="72"/>
        <item x="5"/>
        <item x="597"/>
        <item x="429"/>
        <item x="420"/>
        <item x="282"/>
        <item x="328"/>
        <item x="385"/>
        <item x="111"/>
        <item x="223"/>
        <item x="132"/>
        <item x="20"/>
        <item x="401"/>
        <item x="283"/>
        <item x="33"/>
        <item x="338"/>
        <item x="565"/>
        <item x="313"/>
        <item x="270"/>
        <item x="590"/>
        <item x="215"/>
        <item x="186"/>
        <item x="204"/>
        <item x="96"/>
        <item x="403"/>
        <item x="167"/>
        <item x="140"/>
        <item x="68"/>
        <item x="471"/>
        <item x="508"/>
        <item x="216"/>
        <item x="115"/>
        <item x="246"/>
        <item x="596"/>
        <item x="89"/>
        <item x="327"/>
        <item x="248"/>
        <item x="135"/>
        <item x="272"/>
        <item x="426"/>
        <item x="83"/>
        <item x="397"/>
        <item x="121"/>
        <item x="624"/>
        <item x="417"/>
        <item x="614"/>
        <item x="188"/>
        <item x="350"/>
        <item x="548"/>
        <item x="296"/>
        <item x="51"/>
        <item x="251"/>
        <item x="371"/>
        <item x="431"/>
        <item x="498"/>
        <item x="55"/>
        <item x="203"/>
        <item x="455"/>
        <item x="130"/>
        <item x="63"/>
        <item x="232"/>
        <item x="178"/>
        <item x="304"/>
        <item x="446"/>
        <item x="279"/>
        <item x="297"/>
        <item x="183"/>
        <item x="362"/>
        <item x="388"/>
        <item x="560"/>
        <item x="571"/>
        <item x="521"/>
        <item x="546"/>
        <item x="309"/>
        <item x="194"/>
        <item x="165"/>
        <item x="67"/>
        <item x="452"/>
        <item x="8"/>
        <item x="175"/>
        <item x="555"/>
        <item x="445"/>
        <item x="579"/>
        <item x="190"/>
        <item x="168"/>
        <item x="382"/>
        <item x="257"/>
        <item x="210"/>
        <item x="187"/>
        <item x="79"/>
        <item x="609"/>
        <item x="543"/>
        <item x="6"/>
        <item x="271"/>
        <item x="539"/>
        <item x="430"/>
        <item x="184"/>
        <item x="493"/>
        <item x="253"/>
        <item x="88"/>
        <item x="118"/>
        <item x="530"/>
        <item x="163"/>
        <item x="497"/>
        <item x="317"/>
        <item x="394"/>
        <item x="265"/>
        <item x="160"/>
        <item x="40"/>
        <item x="495"/>
        <item x="310"/>
        <item x="494"/>
        <item x="589"/>
        <item x="379"/>
        <item x="41"/>
        <item x="222"/>
        <item x="225"/>
        <item x="301"/>
        <item x="98"/>
        <item x="340"/>
        <item x="73"/>
        <item x="478"/>
        <item x="90"/>
        <item x="45"/>
        <item x="47"/>
        <item x="144"/>
        <item x="256"/>
        <item x="622"/>
        <item x="437"/>
        <item x="561"/>
        <item x="247"/>
        <item x="482"/>
        <item x="576"/>
        <item x="114"/>
        <item x="21"/>
        <item x="398"/>
        <item x="197"/>
        <item x="375"/>
        <item x="574"/>
        <item x="505"/>
        <item x="306"/>
        <item x="573"/>
        <item x="381"/>
        <item x="356"/>
        <item x="316"/>
        <item x="129"/>
        <item x="516"/>
        <item x="112"/>
        <item x="547"/>
        <item x="320"/>
        <item x="619"/>
        <item x="621"/>
        <item x="80"/>
        <item x="321"/>
        <item x="542"/>
        <item x="48"/>
        <item x="461"/>
        <item x="611"/>
        <item x="378"/>
        <item x="275"/>
        <item x="193"/>
        <item x="610"/>
        <item x="465"/>
        <item x="202"/>
        <item x="599"/>
        <item x="502"/>
        <item x="120"/>
        <item x="108"/>
        <item x="534"/>
        <item x="412"/>
        <item x="84"/>
        <item x="549"/>
        <item x="214"/>
        <item x="377"/>
        <item x="155"/>
        <item x="32"/>
        <item x="432"/>
        <item x="501"/>
        <item x="280"/>
        <item x="123"/>
        <item x="618"/>
        <item x="156"/>
        <item x="537"/>
        <item x="613"/>
        <item x="352"/>
        <item x="330"/>
        <item x="261"/>
        <item x="566"/>
        <item x="528"/>
        <item x="343"/>
        <item x="2"/>
        <item x="29"/>
        <item x="434"/>
        <item x="286"/>
        <item x="54"/>
        <item x="419"/>
        <item x="17"/>
        <item x="281"/>
        <item x="346"/>
        <item x="212"/>
        <item x="342"/>
        <item x="28"/>
        <item x="559"/>
        <item x="511"/>
        <item x="201"/>
        <item x="370"/>
        <item x="326"/>
        <item x="107"/>
        <item x="447"/>
        <item x="237"/>
        <item x="481"/>
        <item x="230"/>
        <item x="421"/>
        <item x="133"/>
        <item x="529"/>
        <item x="267"/>
        <item x="425"/>
        <item x="199"/>
        <item x="391"/>
        <item x="91"/>
        <item x="240"/>
        <item x="285"/>
        <item x="262"/>
        <item x="333"/>
        <item x="411"/>
        <item x="439"/>
        <item x="128"/>
        <item x="569"/>
        <item x="3"/>
        <item x="582"/>
        <item x="149"/>
        <item x="65"/>
        <item x="625"/>
        <item x="244"/>
        <item x="31"/>
        <item x="374"/>
        <item x="196"/>
        <item x="302"/>
        <item x="583"/>
        <item x="360"/>
        <item x="162"/>
        <item x="451"/>
        <item x="427"/>
        <item x="405"/>
        <item x="484"/>
        <item x="552"/>
        <item x="315"/>
        <item x="329"/>
        <item x="487"/>
        <item x="454"/>
        <item x="284"/>
        <item x="277"/>
        <item x="27"/>
        <item x="365"/>
        <item x="94"/>
        <item x="11"/>
        <item x="243"/>
        <item x="224"/>
        <item x="604"/>
        <item x="181"/>
        <item x="577"/>
        <item x="335"/>
        <item x="491"/>
        <item x="122"/>
        <item x="373"/>
        <item x="137"/>
        <item x="141"/>
        <item x="531"/>
        <item x="62"/>
        <item x="100"/>
        <item x="418"/>
        <item x="410"/>
        <item x="504"/>
        <item x="235"/>
        <item x="433"/>
        <item x="106"/>
        <item x="499"/>
        <item x="627"/>
        <item x="159"/>
        <item x="319"/>
        <item x="472"/>
        <item x="585"/>
        <item x="195"/>
        <item x="500"/>
        <item x="334"/>
        <item x="231"/>
        <item x="389"/>
        <item x="473"/>
        <item x="264"/>
        <item x="485"/>
        <item x="49"/>
        <item x="525"/>
        <item x="536"/>
        <item x="409"/>
        <item x="514"/>
        <item x="524"/>
        <item x="438"/>
        <item x="227"/>
        <item x="312"/>
        <item x="448"/>
        <item x="554"/>
        <item x="428"/>
        <item x="46"/>
        <item x="523"/>
        <item x="218"/>
        <item x="252"/>
        <item x="307"/>
        <item x="211"/>
        <item x="42"/>
        <item x="467"/>
        <item x="363"/>
        <item x="368"/>
        <item x="174"/>
        <item x="479"/>
        <item x="164"/>
        <item x="26"/>
        <item x="148"/>
        <item x="143"/>
        <item x="35"/>
        <item x="527"/>
        <item x="594"/>
        <item x="134"/>
        <item x="441"/>
        <item x="341"/>
        <item x="608"/>
        <item x="138"/>
        <item x="192"/>
        <item x="239"/>
        <item x="601"/>
        <item x="176"/>
        <item x="612"/>
        <item x="336"/>
        <item x="242"/>
        <item x="605"/>
        <item x="399"/>
        <item x="217"/>
        <item x="615"/>
        <item x="486"/>
        <item x="416"/>
        <item x="380"/>
        <item x="207"/>
        <item x="600"/>
        <item x="150"/>
        <item x="7"/>
        <item x="422"/>
        <item x="116"/>
        <item x="92"/>
        <item x="300"/>
        <item x="39"/>
        <item x="557"/>
        <item x="358"/>
        <item x="268"/>
        <item x="16"/>
        <item x="460"/>
        <item x="198"/>
        <item x="228"/>
        <item x="469"/>
        <item x="153"/>
        <item x="38"/>
        <item x="349"/>
        <item x="234"/>
        <item x="295"/>
        <item x="443"/>
        <item x="4"/>
        <item x="179"/>
        <item x="152"/>
        <item x="13"/>
        <item x="200"/>
        <item x="372"/>
        <item x="273"/>
        <item x="290"/>
        <item x="384"/>
        <item x="95"/>
        <item x="607"/>
        <item x="1"/>
        <item x="404"/>
        <item x="468"/>
        <item x="355"/>
        <item x="442"/>
        <item x="545"/>
        <item x="81"/>
        <item x="43"/>
        <item x="598"/>
        <item x="595"/>
        <item x="353"/>
        <item x="413"/>
        <item t="default"/>
      </items>
      <autoSortScope>
        <pivotArea dataOnly="0" outline="0" fieldPosition="0">
          <references count="1">
            <reference field="4294967294" count="1" selected="0">
              <x v="0"/>
            </reference>
          </references>
        </pivotArea>
      </autoSortScope>
    </pivotField>
    <pivotField numFmtId="2" showAll="0"/>
    <pivotField numFmtId="2" showAll="0"/>
    <pivotField showAll="0"/>
    <pivotField numFmtId="165" showAll="0"/>
    <pivotField numFmtId="1" showAll="0"/>
    <pivotField dataField="1" numFmtId="2" showAll="0"/>
    <pivotField numFmtId="2" showAll="0"/>
    <pivotField numFmtId="2" showAll="0"/>
    <pivotField numFmtId="2" showAll="0"/>
    <pivotField showAll="0" defaultSubtotal="0"/>
    <pivotField showAll="0" defaultSubtotal="0"/>
  </pivotFields>
  <rowFields count="2">
    <field x="11"/>
    <field x="12"/>
  </rowFields>
  <rowItems count="8">
    <i>
      <x v="4"/>
    </i>
    <i>
      <x v="2"/>
    </i>
    <i>
      <x v="6"/>
    </i>
    <i>
      <x v="3"/>
    </i>
    <i>
      <x v="1"/>
    </i>
    <i>
      <x v="5"/>
    </i>
    <i>
      <x/>
    </i>
    <i t="grand">
      <x/>
    </i>
  </rowItems>
  <colItems count="1">
    <i/>
  </colItems>
  <dataFields count="1">
    <dataField name="Sum of Gross Revenue" fld="18" baseField="0" baseItem="0"/>
  </dataFields>
  <formats count="58">
    <format dxfId="79">
      <pivotArea collapsedLevelsAreSubtotals="1" fieldPosition="0">
        <references count="2">
          <reference field="11" count="1" selected="0">
            <x v="4"/>
          </reference>
          <reference field="12" count="69">
            <x v="352"/>
            <x v="354"/>
            <x v="355"/>
            <x v="356"/>
            <x v="357"/>
            <x v="358"/>
            <x v="359"/>
            <x v="360"/>
            <x v="361"/>
            <x v="363"/>
            <x v="364"/>
            <x v="365"/>
            <x v="366"/>
            <x v="367"/>
            <x v="368"/>
            <x v="370"/>
            <x v="372"/>
            <x v="374"/>
            <x v="375"/>
            <x v="377"/>
            <x v="378"/>
            <x v="379"/>
            <x v="380"/>
            <x v="381"/>
            <x v="382"/>
            <x v="384"/>
            <x v="385"/>
            <x v="386"/>
            <x v="387"/>
            <x v="388"/>
            <x v="389"/>
            <x v="391"/>
            <x v="392"/>
            <x v="393"/>
            <x v="394"/>
            <x v="395"/>
            <x v="396"/>
            <x v="397"/>
            <x v="398"/>
            <x v="400"/>
            <x v="401"/>
            <x v="402"/>
            <x v="403"/>
            <x v="404"/>
            <x v="405"/>
            <x v="406"/>
            <x v="408"/>
            <x v="409"/>
            <x v="411"/>
            <x v="412"/>
            <x v="413"/>
            <x v="414"/>
            <x v="415"/>
            <x v="416"/>
            <x v="417"/>
            <x v="418"/>
            <x v="420"/>
            <x v="421"/>
            <x v="422"/>
            <x v="424"/>
            <x v="426"/>
            <x v="427"/>
            <x v="428"/>
            <x v="429"/>
            <x v="430"/>
            <x v="431"/>
            <x v="434"/>
            <x v="435"/>
            <x v="436"/>
          </reference>
        </references>
      </pivotArea>
    </format>
    <format dxfId="78">
      <pivotArea collapsedLevelsAreSubtotals="1" fieldPosition="0">
        <references count="2">
          <reference field="11" count="1" selected="0">
            <x v="4"/>
          </reference>
          <reference field="12" count="13">
            <x v="362"/>
            <x v="369"/>
            <x v="371"/>
            <x v="373"/>
            <x v="376"/>
            <x v="383"/>
            <x v="399"/>
            <x v="407"/>
            <x v="410"/>
            <x v="419"/>
            <x v="423"/>
            <x v="425"/>
            <x v="432"/>
          </reference>
        </references>
      </pivotArea>
    </format>
    <format dxfId="77">
      <pivotArea collapsedLevelsAreSubtotals="1" fieldPosition="0">
        <references count="2">
          <reference field="11" count="1" selected="0">
            <x v="4"/>
          </reference>
          <reference field="12" count="4">
            <x v="353"/>
            <x v="390"/>
            <x v="433"/>
            <x v="437"/>
          </reference>
        </references>
      </pivotArea>
    </format>
    <format dxfId="76">
      <pivotArea collapsedLevelsAreSubtotals="1" fieldPosition="0">
        <references count="2">
          <reference field="11" count="1" selected="0">
            <x v="4"/>
          </reference>
          <reference field="12" count="69">
            <x v="352"/>
            <x v="354"/>
            <x v="355"/>
            <x v="356"/>
            <x v="357"/>
            <x v="358"/>
            <x v="359"/>
            <x v="360"/>
            <x v="361"/>
            <x v="363"/>
            <x v="364"/>
            <x v="365"/>
            <x v="366"/>
            <x v="367"/>
            <x v="368"/>
            <x v="370"/>
            <x v="372"/>
            <x v="374"/>
            <x v="375"/>
            <x v="377"/>
            <x v="378"/>
            <x v="379"/>
            <x v="380"/>
            <x v="381"/>
            <x v="382"/>
            <x v="384"/>
            <x v="385"/>
            <x v="386"/>
            <x v="387"/>
            <x v="388"/>
            <x v="389"/>
            <x v="391"/>
            <x v="392"/>
            <x v="393"/>
            <x v="394"/>
            <x v="395"/>
            <x v="396"/>
            <x v="397"/>
            <x v="398"/>
            <x v="400"/>
            <x v="401"/>
            <x v="402"/>
            <x v="403"/>
            <x v="404"/>
            <x v="405"/>
            <x v="406"/>
            <x v="408"/>
            <x v="409"/>
            <x v="411"/>
            <x v="412"/>
            <x v="413"/>
            <x v="414"/>
            <x v="415"/>
            <x v="416"/>
            <x v="417"/>
            <x v="418"/>
            <x v="420"/>
            <x v="421"/>
            <x v="422"/>
            <x v="424"/>
            <x v="426"/>
            <x v="427"/>
            <x v="428"/>
            <x v="429"/>
            <x v="430"/>
            <x v="431"/>
            <x v="434"/>
            <x v="435"/>
            <x v="436"/>
          </reference>
        </references>
      </pivotArea>
    </format>
    <format dxfId="75">
      <pivotArea dataOnly="0" labelOnly="1" fieldPosition="0">
        <references count="2">
          <reference field="11" count="1" selected="0">
            <x v="4"/>
          </reference>
          <reference field="12" count="50">
            <x v="352"/>
            <x v="354"/>
            <x v="355"/>
            <x v="356"/>
            <x v="357"/>
            <x v="358"/>
            <x v="359"/>
            <x v="360"/>
            <x v="364"/>
            <x v="366"/>
            <x v="367"/>
            <x v="368"/>
            <x v="370"/>
            <x v="374"/>
            <x v="377"/>
            <x v="378"/>
            <x v="380"/>
            <x v="381"/>
            <x v="382"/>
            <x v="384"/>
            <x v="385"/>
            <x v="386"/>
            <x v="387"/>
            <x v="388"/>
            <x v="391"/>
            <x v="393"/>
            <x v="394"/>
            <x v="395"/>
            <x v="396"/>
            <x v="397"/>
            <x v="398"/>
            <x v="400"/>
            <x v="401"/>
            <x v="402"/>
            <x v="404"/>
            <x v="405"/>
            <x v="406"/>
            <x v="408"/>
            <x v="409"/>
            <x v="412"/>
            <x v="413"/>
            <x v="414"/>
            <x v="415"/>
            <x v="421"/>
            <x v="422"/>
            <x v="426"/>
            <x v="427"/>
            <x v="430"/>
            <x v="434"/>
            <x v="436"/>
          </reference>
        </references>
      </pivotArea>
    </format>
    <format dxfId="74">
      <pivotArea dataOnly="0" labelOnly="1" fieldPosition="0">
        <references count="2">
          <reference field="11" count="1" selected="0">
            <x v="4"/>
          </reference>
          <reference field="12" count="19">
            <x v="361"/>
            <x v="363"/>
            <x v="365"/>
            <x v="372"/>
            <x v="375"/>
            <x v="379"/>
            <x v="389"/>
            <x v="392"/>
            <x v="403"/>
            <x v="411"/>
            <x v="416"/>
            <x v="417"/>
            <x v="418"/>
            <x v="420"/>
            <x v="424"/>
            <x v="428"/>
            <x v="429"/>
            <x v="431"/>
            <x v="435"/>
          </reference>
        </references>
      </pivotArea>
    </format>
    <format dxfId="73">
      <pivotArea collapsedLevelsAreSubtotals="1" fieldPosition="0">
        <references count="2">
          <reference field="11" count="1" selected="0">
            <x v="4"/>
          </reference>
          <reference field="12" count="13">
            <x v="362"/>
            <x v="369"/>
            <x v="371"/>
            <x v="373"/>
            <x v="376"/>
            <x v="383"/>
            <x v="399"/>
            <x v="407"/>
            <x v="410"/>
            <x v="419"/>
            <x v="423"/>
            <x v="425"/>
            <x v="432"/>
          </reference>
        </references>
      </pivotArea>
    </format>
    <format dxfId="72">
      <pivotArea dataOnly="0" labelOnly="1" fieldPosition="0">
        <references count="2">
          <reference field="11" count="1" selected="0">
            <x v="4"/>
          </reference>
          <reference field="12" count="13">
            <x v="362"/>
            <x v="369"/>
            <x v="371"/>
            <x v="373"/>
            <x v="376"/>
            <x v="383"/>
            <x v="399"/>
            <x v="407"/>
            <x v="410"/>
            <x v="419"/>
            <x v="423"/>
            <x v="425"/>
            <x v="432"/>
          </reference>
        </references>
      </pivotArea>
    </format>
    <format dxfId="71">
      <pivotArea dataOnly="0" labelOnly="1" fieldPosition="0">
        <references count="2">
          <reference field="11" count="1" selected="0">
            <x v="4"/>
          </reference>
          <reference field="12" count="4">
            <x v="353"/>
            <x v="390"/>
            <x v="433"/>
            <x v="437"/>
          </reference>
        </references>
      </pivotArea>
    </format>
    <format dxfId="70">
      <pivotArea collapsedLevelsAreSubtotals="1" fieldPosition="0">
        <references count="2">
          <reference field="11" count="1" selected="0">
            <x v="2"/>
          </reference>
          <reference field="12" count="65">
            <x v="178"/>
            <x v="179"/>
            <x v="180"/>
            <x v="181"/>
            <x v="182"/>
            <x v="183"/>
            <x v="184"/>
            <x v="185"/>
            <x v="187"/>
            <x v="188"/>
            <x v="190"/>
            <x v="191"/>
            <x v="192"/>
            <x v="196"/>
            <x v="198"/>
            <x v="199"/>
            <x v="200"/>
            <x v="202"/>
            <x v="203"/>
            <x v="204"/>
            <x v="206"/>
            <x v="207"/>
            <x v="208"/>
            <x v="209"/>
            <x v="210"/>
            <x v="211"/>
            <x v="212"/>
            <x v="213"/>
            <x v="214"/>
            <x v="215"/>
            <x v="216"/>
            <x v="217"/>
            <x v="218"/>
            <x v="219"/>
            <x v="220"/>
            <x v="222"/>
            <x v="223"/>
            <x v="224"/>
            <x v="225"/>
            <x v="226"/>
            <x v="227"/>
            <x v="228"/>
            <x v="230"/>
            <x v="231"/>
            <x v="232"/>
            <x v="234"/>
            <x v="235"/>
            <x v="236"/>
            <x v="238"/>
            <x v="240"/>
            <x v="241"/>
            <x v="242"/>
            <x v="243"/>
            <x v="245"/>
            <x v="246"/>
            <x v="247"/>
            <x v="248"/>
            <x v="249"/>
            <x v="250"/>
            <x v="251"/>
            <x v="252"/>
            <x v="253"/>
            <x v="254"/>
            <x v="256"/>
            <x v="257"/>
          </reference>
        </references>
      </pivotArea>
    </format>
    <format dxfId="69">
      <pivotArea dataOnly="0" labelOnly="1" fieldPosition="0">
        <references count="2">
          <reference field="11" count="1" selected="0">
            <x v="2"/>
          </reference>
          <reference field="12" count="50">
            <x v="178"/>
            <x v="179"/>
            <x v="180"/>
            <x v="181"/>
            <x v="182"/>
            <x v="184"/>
            <x v="187"/>
            <x v="192"/>
            <x v="196"/>
            <x v="198"/>
            <x v="199"/>
            <x v="200"/>
            <x v="202"/>
            <x v="203"/>
            <x v="204"/>
            <x v="206"/>
            <x v="208"/>
            <x v="212"/>
            <x v="213"/>
            <x v="216"/>
            <x v="217"/>
            <x v="219"/>
            <x v="220"/>
            <x v="222"/>
            <x v="223"/>
            <x v="224"/>
            <x v="225"/>
            <x v="226"/>
            <x v="227"/>
            <x v="228"/>
            <x v="231"/>
            <x v="232"/>
            <x v="234"/>
            <x v="235"/>
            <x v="236"/>
            <x v="238"/>
            <x v="240"/>
            <x v="241"/>
            <x v="242"/>
            <x v="243"/>
            <x v="245"/>
            <x v="246"/>
            <x v="247"/>
            <x v="249"/>
            <x v="250"/>
            <x v="251"/>
            <x v="252"/>
            <x v="254"/>
            <x v="256"/>
            <x v="257"/>
          </reference>
        </references>
      </pivotArea>
    </format>
    <format dxfId="68">
      <pivotArea dataOnly="0" labelOnly="1" fieldPosition="0">
        <references count="2">
          <reference field="11" count="1" selected="0">
            <x v="2"/>
          </reference>
          <reference field="12" count="15">
            <x v="183"/>
            <x v="185"/>
            <x v="188"/>
            <x v="190"/>
            <x v="191"/>
            <x v="207"/>
            <x v="209"/>
            <x v="210"/>
            <x v="211"/>
            <x v="214"/>
            <x v="215"/>
            <x v="218"/>
            <x v="230"/>
            <x v="248"/>
            <x v="253"/>
          </reference>
        </references>
      </pivotArea>
    </format>
    <format dxfId="67">
      <pivotArea collapsedLevelsAreSubtotals="1" fieldPosition="0">
        <references count="2">
          <reference field="11" count="1" selected="0">
            <x v="2"/>
          </reference>
          <reference field="12" count="12">
            <x v="186"/>
            <x v="193"/>
            <x v="194"/>
            <x v="197"/>
            <x v="201"/>
            <x v="205"/>
            <x v="221"/>
            <x v="229"/>
            <x v="237"/>
            <x v="239"/>
            <x v="244"/>
            <x v="255"/>
          </reference>
        </references>
      </pivotArea>
    </format>
    <format dxfId="66">
      <pivotArea dataOnly="0" labelOnly="1" fieldPosition="0">
        <references count="2">
          <reference field="11" count="1" selected="0">
            <x v="2"/>
          </reference>
          <reference field="12" count="12">
            <x v="186"/>
            <x v="193"/>
            <x v="194"/>
            <x v="197"/>
            <x v="201"/>
            <x v="205"/>
            <x v="221"/>
            <x v="229"/>
            <x v="237"/>
            <x v="239"/>
            <x v="244"/>
            <x v="255"/>
          </reference>
        </references>
      </pivotArea>
    </format>
    <format dxfId="65">
      <pivotArea collapsedLevelsAreSubtotals="1" fieldPosition="0">
        <references count="2">
          <reference field="11" count="1" selected="0">
            <x v="2"/>
          </reference>
          <reference field="12" count="4">
            <x v="177"/>
            <x v="189"/>
            <x v="195"/>
            <x v="233"/>
          </reference>
        </references>
      </pivotArea>
    </format>
    <format dxfId="64">
      <pivotArea dataOnly="0" labelOnly="1" fieldPosition="0">
        <references count="2">
          <reference field="11" count="1" selected="0">
            <x v="2"/>
          </reference>
          <reference field="12" count="4">
            <x v="177"/>
            <x v="189"/>
            <x v="195"/>
            <x v="233"/>
          </reference>
        </references>
      </pivotArea>
    </format>
    <format dxfId="63">
      <pivotArea collapsedLevelsAreSubtotals="1" fieldPosition="0">
        <references count="2">
          <reference field="11" count="1" selected="0">
            <x v="6"/>
          </reference>
          <reference field="12" count="82">
            <x v="526"/>
            <x v="527"/>
            <x v="530"/>
            <x v="531"/>
            <x v="532"/>
            <x v="533"/>
            <x v="534"/>
            <x v="535"/>
            <x v="536"/>
            <x v="537"/>
            <x v="539"/>
            <x v="540"/>
            <x v="541"/>
            <x v="542"/>
            <x v="543"/>
            <x v="544"/>
            <x v="545"/>
            <x v="546"/>
            <x v="547"/>
            <x v="548"/>
            <x v="549"/>
            <x v="550"/>
            <x v="551"/>
            <x v="552"/>
            <x v="553"/>
            <x v="554"/>
            <x v="556"/>
            <x v="557"/>
            <x v="559"/>
            <x v="560"/>
            <x v="561"/>
            <x v="562"/>
            <x v="564"/>
            <x v="565"/>
            <x v="566"/>
            <x v="567"/>
            <x v="568"/>
            <x v="569"/>
            <x v="570"/>
            <x v="571"/>
            <x v="572"/>
            <x v="573"/>
            <x v="574"/>
            <x v="577"/>
            <x v="578"/>
            <x v="579"/>
            <x v="582"/>
            <x v="583"/>
            <x v="584"/>
            <x v="585"/>
            <x v="587"/>
            <x v="589"/>
            <x v="590"/>
            <x v="592"/>
            <x v="593"/>
            <x v="594"/>
            <x v="595"/>
            <x v="597"/>
            <x v="598"/>
            <x v="599"/>
            <x v="600"/>
            <x v="601"/>
            <x v="603"/>
            <x v="606"/>
            <x v="607"/>
            <x v="609"/>
            <x v="610"/>
            <x v="612"/>
            <x v="614"/>
            <x v="615"/>
            <x v="616"/>
            <x v="617"/>
            <x v="618"/>
            <x v="619"/>
            <x v="620"/>
            <x v="621"/>
            <x v="622"/>
            <x v="623"/>
            <x v="624"/>
            <x v="625"/>
            <x v="626"/>
            <x v="628"/>
          </reference>
        </references>
      </pivotArea>
    </format>
    <format dxfId="62">
      <pivotArea dataOnly="0" labelOnly="1" fieldPosition="0">
        <references count="2">
          <reference field="11" count="1" selected="0">
            <x v="6"/>
          </reference>
          <reference field="12" count="50">
            <x v="527"/>
            <x v="530"/>
            <x v="531"/>
            <x v="532"/>
            <x v="533"/>
            <x v="535"/>
            <x v="537"/>
            <x v="539"/>
            <x v="540"/>
            <x v="541"/>
            <x v="542"/>
            <x v="543"/>
            <x v="544"/>
            <x v="547"/>
            <x v="548"/>
            <x v="551"/>
            <x v="552"/>
            <x v="553"/>
            <x v="557"/>
            <x v="559"/>
            <x v="562"/>
            <x v="564"/>
            <x v="566"/>
            <x v="567"/>
            <x v="568"/>
            <x v="572"/>
            <x v="574"/>
            <x v="577"/>
            <x v="579"/>
            <x v="582"/>
            <x v="583"/>
            <x v="584"/>
            <x v="587"/>
            <x v="592"/>
            <x v="593"/>
            <x v="595"/>
            <x v="597"/>
            <x v="599"/>
            <x v="600"/>
            <x v="601"/>
            <x v="603"/>
            <x v="609"/>
            <x v="615"/>
            <x v="617"/>
            <x v="618"/>
            <x v="620"/>
            <x v="621"/>
            <x v="622"/>
            <x v="623"/>
            <x v="628"/>
          </reference>
        </references>
      </pivotArea>
    </format>
    <format dxfId="61">
      <pivotArea dataOnly="0" labelOnly="1" fieldPosition="0">
        <references count="2">
          <reference field="11" count="1" selected="0">
            <x v="6"/>
          </reference>
          <reference field="12" count="32">
            <x v="526"/>
            <x v="534"/>
            <x v="536"/>
            <x v="545"/>
            <x v="546"/>
            <x v="549"/>
            <x v="550"/>
            <x v="554"/>
            <x v="556"/>
            <x v="560"/>
            <x v="561"/>
            <x v="565"/>
            <x v="569"/>
            <x v="570"/>
            <x v="571"/>
            <x v="573"/>
            <x v="578"/>
            <x v="585"/>
            <x v="589"/>
            <x v="590"/>
            <x v="594"/>
            <x v="598"/>
            <x v="606"/>
            <x v="607"/>
            <x v="610"/>
            <x v="612"/>
            <x v="614"/>
            <x v="616"/>
            <x v="619"/>
            <x v="624"/>
            <x v="625"/>
            <x v="626"/>
          </reference>
        </references>
      </pivotArea>
    </format>
    <format dxfId="60">
      <pivotArea collapsedLevelsAreSubtotals="1" fieldPosition="0">
        <references count="2">
          <reference field="11" count="1" selected="0">
            <x v="6"/>
          </reference>
          <reference field="12" count="15">
            <x v="528"/>
            <x v="529"/>
            <x v="538"/>
            <x v="555"/>
            <x v="558"/>
            <x v="563"/>
            <x v="576"/>
            <x v="580"/>
            <x v="591"/>
            <x v="596"/>
            <x v="602"/>
            <x v="604"/>
            <x v="605"/>
            <x v="608"/>
            <x v="611"/>
          </reference>
        </references>
      </pivotArea>
    </format>
    <format dxfId="59">
      <pivotArea dataOnly="0" labelOnly="1" fieldPosition="0">
        <references count="2">
          <reference field="11" count="1" selected="0">
            <x v="6"/>
          </reference>
          <reference field="12" count="15">
            <x v="528"/>
            <x v="529"/>
            <x v="538"/>
            <x v="555"/>
            <x v="558"/>
            <x v="563"/>
            <x v="576"/>
            <x v="580"/>
            <x v="591"/>
            <x v="596"/>
            <x v="602"/>
            <x v="604"/>
            <x v="605"/>
            <x v="608"/>
            <x v="611"/>
          </reference>
        </references>
      </pivotArea>
    </format>
    <format dxfId="58">
      <pivotArea collapsedLevelsAreSubtotals="1" fieldPosition="0">
        <references count="2">
          <reference field="11" count="1" selected="0">
            <x v="6"/>
          </reference>
          <reference field="12" count="5">
            <x v="575"/>
            <x v="581"/>
            <x v="586"/>
            <x v="588"/>
            <x v="613"/>
          </reference>
        </references>
      </pivotArea>
    </format>
    <format dxfId="57">
      <pivotArea dataOnly="0" labelOnly="1" fieldPosition="0">
        <references count="2">
          <reference field="11" count="1" selected="0">
            <x v="6"/>
          </reference>
          <reference field="12" count="5">
            <x v="575"/>
            <x v="581"/>
            <x v="586"/>
            <x v="588"/>
            <x v="613"/>
          </reference>
        </references>
      </pivotArea>
    </format>
    <format dxfId="56">
      <pivotArea collapsedLevelsAreSubtotals="1" fieldPosition="0">
        <references count="2">
          <reference field="11" count="1" selected="0">
            <x v="6"/>
          </reference>
          <reference field="12" count="1">
            <x v="627"/>
          </reference>
        </references>
      </pivotArea>
    </format>
    <format dxfId="55">
      <pivotArea dataOnly="0" labelOnly="1" fieldPosition="0">
        <references count="2">
          <reference field="11" count="1" selected="0">
            <x v="6"/>
          </reference>
          <reference field="12" count="1">
            <x v="627"/>
          </reference>
        </references>
      </pivotArea>
    </format>
    <format dxfId="54">
      <pivotArea collapsedLevelsAreSubtotals="1" fieldPosition="0">
        <references count="2">
          <reference field="11" count="1" selected="0">
            <x v="3"/>
          </reference>
          <reference field="12" count="75">
            <x v="258"/>
            <x v="259"/>
            <x v="260"/>
            <x v="261"/>
            <x v="262"/>
            <x v="263"/>
            <x v="264"/>
            <x v="265"/>
            <x v="267"/>
            <x v="268"/>
            <x v="269"/>
            <x v="270"/>
            <x v="271"/>
            <x v="272"/>
            <x v="274"/>
            <x v="276"/>
            <x v="278"/>
            <x v="279"/>
            <x v="280"/>
            <x v="281"/>
            <x v="282"/>
            <x v="284"/>
            <x v="285"/>
            <x v="286"/>
            <x v="287"/>
            <x v="289"/>
            <x v="290"/>
            <x v="294"/>
            <x v="295"/>
            <x v="296"/>
            <x v="297"/>
            <x v="298"/>
            <x v="299"/>
            <x v="300"/>
            <x v="301"/>
            <x v="302"/>
            <x v="303"/>
            <x v="304"/>
            <x v="306"/>
            <x v="307"/>
            <x v="309"/>
            <x v="310"/>
            <x v="311"/>
            <x v="312"/>
            <x v="313"/>
            <x v="314"/>
            <x v="315"/>
            <x v="316"/>
            <x v="317"/>
            <x v="318"/>
            <x v="319"/>
            <x v="320"/>
            <x v="321"/>
            <x v="322"/>
            <x v="323"/>
            <x v="324"/>
            <x v="326"/>
            <x v="327"/>
            <x v="328"/>
            <x v="331"/>
            <x v="332"/>
            <x v="333"/>
            <x v="334"/>
            <x v="336"/>
            <x v="337"/>
            <x v="339"/>
            <x v="341"/>
            <x v="342"/>
            <x v="343"/>
            <x v="345"/>
            <x v="346"/>
            <x v="348"/>
            <x v="349"/>
            <x v="350"/>
            <x v="351"/>
          </reference>
        </references>
      </pivotArea>
    </format>
    <format dxfId="53">
      <pivotArea dataOnly="0" labelOnly="1" fieldPosition="0">
        <references count="2">
          <reference field="11" count="1" selected="0">
            <x v="3"/>
          </reference>
          <reference field="12" count="50">
            <x v="258"/>
            <x v="259"/>
            <x v="265"/>
            <x v="267"/>
            <x v="268"/>
            <x v="269"/>
            <x v="272"/>
            <x v="274"/>
            <x v="279"/>
            <x v="280"/>
            <x v="281"/>
            <x v="282"/>
            <x v="284"/>
            <x v="285"/>
            <x v="287"/>
            <x v="290"/>
            <x v="294"/>
            <x v="295"/>
            <x v="296"/>
            <x v="297"/>
            <x v="298"/>
            <x v="299"/>
            <x v="302"/>
            <x v="306"/>
            <x v="307"/>
            <x v="311"/>
            <x v="313"/>
            <x v="314"/>
            <x v="315"/>
            <x v="316"/>
            <x v="317"/>
            <x v="318"/>
            <x v="319"/>
            <x v="320"/>
            <x v="321"/>
            <x v="322"/>
            <x v="323"/>
            <x v="328"/>
            <x v="331"/>
            <x v="333"/>
            <x v="336"/>
            <x v="337"/>
            <x v="339"/>
            <x v="342"/>
            <x v="345"/>
            <x v="346"/>
            <x v="348"/>
            <x v="349"/>
            <x v="350"/>
            <x v="351"/>
          </reference>
        </references>
      </pivotArea>
    </format>
    <format dxfId="52">
      <pivotArea dataOnly="0" labelOnly="1" fieldPosition="0">
        <references count="2">
          <reference field="11" count="1" selected="0">
            <x v="3"/>
          </reference>
          <reference field="12" count="25">
            <x v="260"/>
            <x v="261"/>
            <x v="262"/>
            <x v="263"/>
            <x v="264"/>
            <x v="270"/>
            <x v="271"/>
            <x v="276"/>
            <x v="278"/>
            <x v="286"/>
            <x v="289"/>
            <x v="300"/>
            <x v="301"/>
            <x v="303"/>
            <x v="304"/>
            <x v="309"/>
            <x v="310"/>
            <x v="312"/>
            <x v="324"/>
            <x v="326"/>
            <x v="327"/>
            <x v="332"/>
            <x v="334"/>
            <x v="341"/>
            <x v="343"/>
          </reference>
        </references>
      </pivotArea>
    </format>
    <format dxfId="51">
      <pivotArea collapsedLevelsAreSubtotals="1" fieldPosition="0">
        <references count="2">
          <reference field="11" count="1" selected="0">
            <x v="3"/>
          </reference>
          <reference field="12" count="14">
            <x v="273"/>
            <x v="275"/>
            <x v="277"/>
            <x v="288"/>
            <x v="291"/>
            <x v="292"/>
            <x v="305"/>
            <x v="325"/>
            <x v="329"/>
            <x v="330"/>
            <x v="335"/>
            <x v="338"/>
            <x v="340"/>
            <x v="347"/>
          </reference>
        </references>
      </pivotArea>
    </format>
    <format dxfId="50">
      <pivotArea dataOnly="0" labelOnly="1" fieldPosition="0">
        <references count="2">
          <reference field="11" count="1" selected="0">
            <x v="3"/>
          </reference>
          <reference field="12" count="14">
            <x v="273"/>
            <x v="275"/>
            <x v="277"/>
            <x v="288"/>
            <x v="291"/>
            <x v="292"/>
            <x v="305"/>
            <x v="325"/>
            <x v="329"/>
            <x v="330"/>
            <x v="335"/>
            <x v="338"/>
            <x v="340"/>
            <x v="347"/>
          </reference>
        </references>
      </pivotArea>
    </format>
    <format dxfId="49">
      <pivotArea collapsedLevelsAreSubtotals="1" fieldPosition="0">
        <references count="2">
          <reference field="11" count="1" selected="0">
            <x v="3"/>
          </reference>
          <reference field="12" count="5">
            <x v="266"/>
            <x v="283"/>
            <x v="293"/>
            <x v="308"/>
            <x v="344"/>
          </reference>
        </references>
      </pivotArea>
    </format>
    <format dxfId="48">
      <pivotArea dataOnly="0" labelOnly="1" fieldPosition="0">
        <references count="2">
          <reference field="11" count="1" selected="0">
            <x v="3"/>
          </reference>
          <reference field="12" count="5">
            <x v="266"/>
            <x v="283"/>
            <x v="293"/>
            <x v="308"/>
            <x v="344"/>
          </reference>
        </references>
      </pivotArea>
    </format>
    <format dxfId="47">
      <pivotArea collapsedLevelsAreSubtotals="1" fieldPosition="0">
        <references count="2">
          <reference field="11" count="1" selected="0">
            <x v="1"/>
          </reference>
          <reference field="12" count="72">
            <x v="87"/>
            <x v="89"/>
            <x v="90"/>
            <x v="91"/>
            <x v="93"/>
            <x v="94"/>
            <x v="96"/>
            <x v="97"/>
            <x v="98"/>
            <x v="99"/>
            <x v="101"/>
            <x v="102"/>
            <x v="103"/>
            <x v="104"/>
            <x v="106"/>
            <x v="107"/>
            <x v="109"/>
            <x v="110"/>
            <x v="111"/>
            <x v="112"/>
            <x v="113"/>
            <x v="114"/>
            <x v="115"/>
            <x v="116"/>
            <x v="117"/>
            <x v="118"/>
            <x v="119"/>
            <x v="120"/>
            <x v="121"/>
            <x v="122"/>
            <x v="123"/>
            <x v="124"/>
            <x v="126"/>
            <x v="127"/>
            <x v="128"/>
            <x v="130"/>
            <x v="131"/>
            <x v="132"/>
            <x v="133"/>
            <x v="136"/>
            <x v="137"/>
            <x v="138"/>
            <x v="139"/>
            <x v="141"/>
            <x v="142"/>
            <x v="144"/>
            <x v="146"/>
            <x v="147"/>
            <x v="148"/>
            <x v="150"/>
            <x v="151"/>
            <x v="153"/>
            <x v="154"/>
            <x v="155"/>
            <x v="156"/>
            <x v="157"/>
            <x v="158"/>
            <x v="159"/>
            <x v="160"/>
            <x v="161"/>
            <x v="162"/>
            <x v="163"/>
            <x v="164"/>
            <x v="165"/>
            <x v="166"/>
            <x v="167"/>
            <x v="168"/>
            <x v="170"/>
            <x v="171"/>
            <x v="173"/>
            <x v="174"/>
            <x v="175"/>
          </reference>
        </references>
      </pivotArea>
    </format>
    <format dxfId="46">
      <pivotArea dataOnly="0" labelOnly="1" fieldPosition="0">
        <references count="2">
          <reference field="11" count="1" selected="0">
            <x v="1"/>
          </reference>
          <reference field="12" count="50">
            <x v="89"/>
            <x v="90"/>
            <x v="93"/>
            <x v="94"/>
            <x v="96"/>
            <x v="97"/>
            <x v="98"/>
            <x v="99"/>
            <x v="103"/>
            <x v="104"/>
            <x v="107"/>
            <x v="109"/>
            <x v="110"/>
            <x v="112"/>
            <x v="113"/>
            <x v="115"/>
            <x v="116"/>
            <x v="117"/>
            <x v="119"/>
            <x v="120"/>
            <x v="122"/>
            <x v="123"/>
            <x v="124"/>
            <x v="126"/>
            <x v="127"/>
            <x v="132"/>
            <x v="136"/>
            <x v="138"/>
            <x v="139"/>
            <x v="142"/>
            <x v="144"/>
            <x v="146"/>
            <x v="147"/>
            <x v="148"/>
            <x v="150"/>
            <x v="151"/>
            <x v="155"/>
            <x v="156"/>
            <x v="157"/>
            <x v="158"/>
            <x v="159"/>
            <x v="161"/>
            <x v="162"/>
            <x v="164"/>
            <x v="165"/>
            <x v="168"/>
            <x v="170"/>
            <x v="171"/>
            <x v="173"/>
            <x v="174"/>
          </reference>
        </references>
      </pivotArea>
    </format>
    <format dxfId="45">
      <pivotArea dataOnly="0" labelOnly="1" fieldPosition="0">
        <references count="2">
          <reference field="11" count="1" selected="0">
            <x v="1"/>
          </reference>
          <reference field="12" count="22">
            <x v="87"/>
            <x v="91"/>
            <x v="101"/>
            <x v="102"/>
            <x v="106"/>
            <x v="111"/>
            <x v="114"/>
            <x v="118"/>
            <x v="121"/>
            <x v="128"/>
            <x v="130"/>
            <x v="131"/>
            <x v="133"/>
            <x v="137"/>
            <x v="141"/>
            <x v="153"/>
            <x v="154"/>
            <x v="160"/>
            <x v="163"/>
            <x v="166"/>
            <x v="167"/>
            <x v="175"/>
          </reference>
        </references>
      </pivotArea>
    </format>
    <format dxfId="44">
      <pivotArea collapsedLevelsAreSubtotals="1" fieldPosition="0">
        <references count="2">
          <reference field="11" count="1" selected="0">
            <x v="1"/>
          </reference>
          <reference field="12" count="14">
            <x v="88"/>
            <x v="92"/>
            <x v="100"/>
            <x v="105"/>
            <x v="108"/>
            <x v="129"/>
            <x v="134"/>
            <x v="135"/>
            <x v="140"/>
            <x v="143"/>
            <x v="145"/>
            <x v="152"/>
            <x v="169"/>
            <x v="176"/>
          </reference>
        </references>
      </pivotArea>
    </format>
    <format dxfId="43">
      <pivotArea dataOnly="0" labelOnly="1" fieldPosition="0">
        <references count="2">
          <reference field="11" count="1" selected="0">
            <x v="1"/>
          </reference>
          <reference field="12" count="14">
            <x v="88"/>
            <x v="92"/>
            <x v="100"/>
            <x v="105"/>
            <x v="108"/>
            <x v="129"/>
            <x v="134"/>
            <x v="135"/>
            <x v="140"/>
            <x v="143"/>
            <x v="145"/>
            <x v="152"/>
            <x v="169"/>
            <x v="176"/>
          </reference>
        </references>
      </pivotArea>
    </format>
    <format dxfId="42">
      <pivotArea collapsedLevelsAreSubtotals="1" fieldPosition="0">
        <references count="2">
          <reference field="11" count="1" selected="0">
            <x v="1"/>
          </reference>
          <reference field="12" count="14">
            <x v="88"/>
            <x v="92"/>
            <x v="100"/>
            <x v="105"/>
            <x v="108"/>
            <x v="129"/>
            <x v="134"/>
            <x v="135"/>
            <x v="140"/>
            <x v="143"/>
            <x v="145"/>
            <x v="152"/>
            <x v="169"/>
            <x v="176"/>
          </reference>
        </references>
      </pivotArea>
    </format>
    <format dxfId="41">
      <pivotArea dataOnly="0" labelOnly="1" fieldPosition="0">
        <references count="2">
          <reference field="11" count="1" selected="0">
            <x v="1"/>
          </reference>
          <reference field="12" count="14">
            <x v="88"/>
            <x v="92"/>
            <x v="100"/>
            <x v="105"/>
            <x v="108"/>
            <x v="129"/>
            <x v="134"/>
            <x v="135"/>
            <x v="140"/>
            <x v="143"/>
            <x v="145"/>
            <x v="152"/>
            <x v="169"/>
            <x v="176"/>
          </reference>
        </references>
      </pivotArea>
    </format>
    <format dxfId="40">
      <pivotArea collapsedLevelsAreSubtotals="1" fieldPosition="0">
        <references count="2">
          <reference field="11" count="1" selected="0">
            <x v="1"/>
          </reference>
          <reference field="12" count="4">
            <x v="95"/>
            <x v="125"/>
            <x v="149"/>
            <x v="172"/>
          </reference>
        </references>
      </pivotArea>
    </format>
    <format dxfId="39">
      <pivotArea dataOnly="0" labelOnly="1" fieldPosition="0">
        <references count="2">
          <reference field="11" count="1" selected="0">
            <x v="1"/>
          </reference>
          <reference field="12" count="4">
            <x v="95"/>
            <x v="125"/>
            <x v="149"/>
            <x v="172"/>
          </reference>
        </references>
      </pivotArea>
    </format>
    <format dxfId="38">
      <pivotArea collapsedLevelsAreSubtotals="1" fieldPosition="0">
        <references count="2">
          <reference field="11" count="1" selected="0">
            <x v="5"/>
          </reference>
          <reference field="12" count="70">
            <x v="438"/>
            <x v="439"/>
            <x v="442"/>
            <x v="443"/>
            <x v="445"/>
            <x v="446"/>
            <x v="447"/>
            <x v="448"/>
            <x v="450"/>
            <x v="451"/>
            <x v="452"/>
            <x v="453"/>
            <x v="454"/>
            <x v="455"/>
            <x v="458"/>
            <x v="459"/>
            <x v="460"/>
            <x v="461"/>
            <x v="462"/>
            <x v="463"/>
            <x v="466"/>
            <x v="467"/>
            <x v="468"/>
            <x v="471"/>
            <x v="472"/>
            <x v="473"/>
            <x v="474"/>
            <x v="475"/>
            <x v="477"/>
            <x v="478"/>
            <x v="479"/>
            <x v="480"/>
            <x v="482"/>
            <x v="483"/>
            <x v="484"/>
            <x v="485"/>
            <x v="486"/>
            <x v="487"/>
            <x v="488"/>
            <x v="489"/>
            <x v="491"/>
            <x v="492"/>
            <x v="494"/>
            <x v="496"/>
            <x v="497"/>
            <x v="498"/>
            <x v="499"/>
            <x v="500"/>
            <x v="501"/>
            <x v="502"/>
            <x v="503"/>
            <x v="504"/>
            <x v="506"/>
            <x v="507"/>
            <x v="508"/>
            <x v="509"/>
            <x v="510"/>
            <x v="511"/>
            <x v="512"/>
            <x v="513"/>
            <x v="515"/>
            <x v="516"/>
            <x v="517"/>
            <x v="519"/>
            <x v="520"/>
            <x v="521"/>
            <x v="522"/>
            <x v="523"/>
            <x v="524"/>
            <x v="525"/>
          </reference>
        </references>
      </pivotArea>
    </format>
    <format dxfId="37">
      <pivotArea dataOnly="0" labelOnly="1" fieldPosition="0">
        <references count="2">
          <reference field="11" count="1" selected="0">
            <x v="5"/>
          </reference>
          <reference field="12" count="50">
            <x v="438"/>
            <x v="439"/>
            <x v="442"/>
            <x v="445"/>
            <x v="447"/>
            <x v="448"/>
            <x v="450"/>
            <x v="451"/>
            <x v="455"/>
            <x v="459"/>
            <x v="460"/>
            <x v="461"/>
            <x v="462"/>
            <x v="467"/>
            <x v="468"/>
            <x v="472"/>
            <x v="473"/>
            <x v="474"/>
            <x v="475"/>
            <x v="477"/>
            <x v="478"/>
            <x v="479"/>
            <x v="484"/>
            <x v="485"/>
            <x v="486"/>
            <x v="488"/>
            <x v="492"/>
            <x v="494"/>
            <x v="496"/>
            <x v="498"/>
            <x v="499"/>
            <x v="500"/>
            <x v="501"/>
            <x v="502"/>
            <x v="504"/>
            <x v="506"/>
            <x v="507"/>
            <x v="510"/>
            <x v="511"/>
            <x v="512"/>
            <x v="513"/>
            <x v="515"/>
            <x v="516"/>
            <x v="517"/>
            <x v="520"/>
            <x v="521"/>
            <x v="522"/>
            <x v="523"/>
            <x v="524"/>
            <x v="525"/>
          </reference>
        </references>
      </pivotArea>
    </format>
    <format dxfId="36">
      <pivotArea dataOnly="0" labelOnly="1" fieldPosition="0">
        <references count="2">
          <reference field="11" count="1" selected="0">
            <x v="5"/>
          </reference>
          <reference field="12" count="20">
            <x v="443"/>
            <x v="446"/>
            <x v="452"/>
            <x v="453"/>
            <x v="454"/>
            <x v="458"/>
            <x v="463"/>
            <x v="466"/>
            <x v="471"/>
            <x v="480"/>
            <x v="482"/>
            <x v="483"/>
            <x v="487"/>
            <x v="489"/>
            <x v="491"/>
            <x v="497"/>
            <x v="503"/>
            <x v="508"/>
            <x v="509"/>
            <x v="519"/>
          </reference>
        </references>
      </pivotArea>
    </format>
    <format dxfId="35">
      <pivotArea collapsedLevelsAreSubtotals="1" fieldPosition="0">
        <references count="2">
          <reference field="11" count="1" selected="0">
            <x v="5"/>
          </reference>
          <reference field="12" count="70">
            <x v="438"/>
            <x v="439"/>
            <x v="442"/>
            <x v="443"/>
            <x v="445"/>
            <x v="446"/>
            <x v="447"/>
            <x v="448"/>
            <x v="450"/>
            <x v="451"/>
            <x v="452"/>
            <x v="453"/>
            <x v="454"/>
            <x v="455"/>
            <x v="458"/>
            <x v="459"/>
            <x v="460"/>
            <x v="461"/>
            <x v="462"/>
            <x v="463"/>
            <x v="466"/>
            <x v="467"/>
            <x v="468"/>
            <x v="471"/>
            <x v="472"/>
            <x v="473"/>
            <x v="474"/>
            <x v="475"/>
            <x v="477"/>
            <x v="478"/>
            <x v="479"/>
            <x v="480"/>
            <x v="482"/>
            <x v="483"/>
            <x v="484"/>
            <x v="485"/>
            <x v="486"/>
            <x v="487"/>
            <x v="488"/>
            <x v="489"/>
            <x v="491"/>
            <x v="492"/>
            <x v="494"/>
            <x v="496"/>
            <x v="497"/>
            <x v="498"/>
            <x v="499"/>
            <x v="500"/>
            <x v="501"/>
            <x v="502"/>
            <x v="503"/>
            <x v="504"/>
            <x v="506"/>
            <x v="507"/>
            <x v="508"/>
            <x v="509"/>
            <x v="510"/>
            <x v="511"/>
            <x v="512"/>
            <x v="513"/>
            <x v="515"/>
            <x v="516"/>
            <x v="517"/>
            <x v="519"/>
            <x v="520"/>
            <x v="521"/>
            <x v="522"/>
            <x v="523"/>
            <x v="524"/>
            <x v="525"/>
          </reference>
        </references>
      </pivotArea>
    </format>
    <format dxfId="34">
      <pivotArea dataOnly="0" labelOnly="1" fieldPosition="0">
        <references count="2">
          <reference field="11" count="1" selected="0">
            <x v="5"/>
          </reference>
          <reference field="12" count="50">
            <x v="438"/>
            <x v="439"/>
            <x v="442"/>
            <x v="445"/>
            <x v="447"/>
            <x v="448"/>
            <x v="450"/>
            <x v="451"/>
            <x v="455"/>
            <x v="459"/>
            <x v="460"/>
            <x v="461"/>
            <x v="462"/>
            <x v="467"/>
            <x v="468"/>
            <x v="472"/>
            <x v="473"/>
            <x v="474"/>
            <x v="475"/>
            <x v="477"/>
            <x v="478"/>
            <x v="479"/>
            <x v="484"/>
            <x v="485"/>
            <x v="486"/>
            <x v="488"/>
            <x v="492"/>
            <x v="494"/>
            <x v="496"/>
            <x v="498"/>
            <x v="499"/>
            <x v="500"/>
            <x v="501"/>
            <x v="502"/>
            <x v="504"/>
            <x v="506"/>
            <x v="507"/>
            <x v="510"/>
            <x v="511"/>
            <x v="512"/>
            <x v="513"/>
            <x v="515"/>
            <x v="516"/>
            <x v="517"/>
            <x v="520"/>
            <x v="521"/>
            <x v="522"/>
            <x v="523"/>
            <x v="524"/>
            <x v="525"/>
          </reference>
        </references>
      </pivotArea>
    </format>
    <format dxfId="33">
      <pivotArea dataOnly="0" labelOnly="1" fieldPosition="0">
        <references count="2">
          <reference field="11" count="1" selected="0">
            <x v="5"/>
          </reference>
          <reference field="12" count="20">
            <x v="443"/>
            <x v="446"/>
            <x v="452"/>
            <x v="453"/>
            <x v="454"/>
            <x v="458"/>
            <x v="463"/>
            <x v="466"/>
            <x v="471"/>
            <x v="480"/>
            <x v="482"/>
            <x v="483"/>
            <x v="487"/>
            <x v="489"/>
            <x v="491"/>
            <x v="497"/>
            <x v="503"/>
            <x v="508"/>
            <x v="509"/>
            <x v="519"/>
          </reference>
        </references>
      </pivotArea>
    </format>
    <format dxfId="32">
      <pivotArea collapsedLevelsAreSubtotals="1" fieldPosition="0">
        <references count="2">
          <reference field="11" count="1" selected="0">
            <x v="5"/>
          </reference>
          <reference field="12" count="13">
            <x v="440"/>
            <x v="441"/>
            <x v="444"/>
            <x v="449"/>
            <x v="456"/>
            <x v="457"/>
            <x v="469"/>
            <x v="470"/>
            <x v="476"/>
            <x v="490"/>
            <x v="493"/>
            <x v="495"/>
            <x v="514"/>
          </reference>
        </references>
      </pivotArea>
    </format>
    <format dxfId="31">
      <pivotArea dataOnly="0" labelOnly="1" fieldPosition="0">
        <references count="2">
          <reference field="11" count="1" selected="0">
            <x v="5"/>
          </reference>
          <reference field="12" count="13">
            <x v="440"/>
            <x v="441"/>
            <x v="444"/>
            <x v="449"/>
            <x v="456"/>
            <x v="457"/>
            <x v="469"/>
            <x v="470"/>
            <x v="476"/>
            <x v="490"/>
            <x v="493"/>
            <x v="495"/>
            <x v="514"/>
          </reference>
        </references>
      </pivotArea>
    </format>
    <format dxfId="30">
      <pivotArea collapsedLevelsAreSubtotals="1" fieldPosition="0">
        <references count="2">
          <reference field="11" count="1" selected="0">
            <x v="5"/>
          </reference>
          <reference field="12" count="5">
            <x v="464"/>
            <x v="465"/>
            <x v="481"/>
            <x v="505"/>
            <x v="518"/>
          </reference>
        </references>
      </pivotArea>
    </format>
    <format dxfId="29">
      <pivotArea dataOnly="0" labelOnly="1" fieldPosition="0">
        <references count="2">
          <reference field="11" count="1" selected="0">
            <x v="5"/>
          </reference>
          <reference field="12" count="5">
            <x v="464"/>
            <x v="465"/>
            <x v="481"/>
            <x v="505"/>
            <x v="518"/>
          </reference>
        </references>
      </pivotArea>
    </format>
    <format dxfId="28">
      <pivotArea collapsedLevelsAreSubtotals="1" fieldPosition="0">
        <references count="2">
          <reference field="11" count="1" selected="0">
            <x v="0"/>
          </reference>
          <reference field="12" count="70">
            <x v="1"/>
            <x v="2"/>
            <x v="3"/>
            <x v="4"/>
            <x v="5"/>
            <x v="6"/>
            <x v="7"/>
            <x v="8"/>
            <x v="9"/>
            <x v="10"/>
            <x v="11"/>
            <x v="12"/>
            <x v="14"/>
            <x v="16"/>
            <x v="17"/>
            <x v="18"/>
            <x v="19"/>
            <x v="20"/>
            <x v="21"/>
            <x v="22"/>
            <x v="23"/>
            <x v="25"/>
            <x v="26"/>
            <x v="28"/>
            <x v="29"/>
            <x v="31"/>
            <x v="32"/>
            <x v="33"/>
            <x v="34"/>
            <x v="35"/>
            <x v="36"/>
            <x v="37"/>
            <x v="39"/>
            <x v="40"/>
            <x v="41"/>
            <x v="45"/>
            <x v="46"/>
            <x v="47"/>
            <x v="48"/>
            <x v="49"/>
            <x v="51"/>
            <x v="52"/>
            <x v="53"/>
            <x v="54"/>
            <x v="55"/>
            <x v="56"/>
            <x v="57"/>
            <x v="58"/>
            <x v="59"/>
            <x v="62"/>
            <x v="63"/>
            <x v="64"/>
            <x v="66"/>
            <x v="67"/>
            <x v="68"/>
            <x v="69"/>
            <x v="70"/>
            <x v="71"/>
            <x v="74"/>
            <x v="75"/>
            <x v="76"/>
            <x v="77"/>
            <x v="78"/>
            <x v="79"/>
            <x v="80"/>
            <x v="81"/>
            <x v="82"/>
            <x v="83"/>
            <x v="84"/>
            <x v="85"/>
          </reference>
        </references>
      </pivotArea>
    </format>
    <format dxfId="27">
      <pivotArea dataOnly="0" labelOnly="1" fieldPosition="0">
        <references count="2">
          <reference field="11" count="1" selected="0">
            <x v="0"/>
          </reference>
          <reference field="12" count="50">
            <x v="1"/>
            <x v="3"/>
            <x v="4"/>
            <x v="5"/>
            <x v="6"/>
            <x v="9"/>
            <x v="10"/>
            <x v="12"/>
            <x v="14"/>
            <x v="18"/>
            <x v="19"/>
            <x v="22"/>
            <x v="23"/>
            <x v="26"/>
            <x v="28"/>
            <x v="29"/>
            <x v="32"/>
            <x v="33"/>
            <x v="36"/>
            <x v="37"/>
            <x v="39"/>
            <x v="40"/>
            <x v="41"/>
            <x v="47"/>
            <x v="48"/>
            <x v="49"/>
            <x v="52"/>
            <x v="53"/>
            <x v="55"/>
            <x v="56"/>
            <x v="57"/>
            <x v="58"/>
            <x v="59"/>
            <x v="62"/>
            <x v="63"/>
            <x v="64"/>
            <x v="66"/>
            <x v="67"/>
            <x v="69"/>
            <x v="71"/>
            <x v="74"/>
            <x v="75"/>
            <x v="77"/>
            <x v="78"/>
            <x v="79"/>
            <x v="80"/>
            <x v="81"/>
            <x v="82"/>
            <x v="83"/>
            <x v="85"/>
          </reference>
        </references>
      </pivotArea>
    </format>
    <format dxfId="26">
      <pivotArea dataOnly="0" labelOnly="1" fieldPosition="0">
        <references count="2">
          <reference field="11" count="1" selected="0">
            <x v="0"/>
          </reference>
          <reference field="12" count="20">
            <x v="2"/>
            <x v="7"/>
            <x v="8"/>
            <x v="11"/>
            <x v="16"/>
            <x v="17"/>
            <x v="20"/>
            <x v="21"/>
            <x v="25"/>
            <x v="31"/>
            <x v="34"/>
            <x v="35"/>
            <x v="45"/>
            <x v="46"/>
            <x v="51"/>
            <x v="54"/>
            <x v="68"/>
            <x v="70"/>
            <x v="76"/>
            <x v="84"/>
          </reference>
        </references>
      </pivotArea>
    </format>
    <format dxfId="25">
      <pivotArea collapsedLevelsAreSubtotals="1" fieldPosition="0">
        <references count="2">
          <reference field="11" count="1" selected="0">
            <x v="0"/>
          </reference>
          <reference field="12" count="13">
            <x v="0"/>
            <x v="15"/>
            <x v="24"/>
            <x v="27"/>
            <x v="38"/>
            <x v="42"/>
            <x v="43"/>
            <x v="44"/>
            <x v="50"/>
            <x v="61"/>
            <x v="65"/>
            <x v="72"/>
            <x v="73"/>
          </reference>
        </references>
      </pivotArea>
    </format>
    <format dxfId="24">
      <pivotArea dataOnly="0" labelOnly="1" fieldPosition="0">
        <references count="2">
          <reference field="11" count="1" selected="0">
            <x v="0"/>
          </reference>
          <reference field="12" count="13">
            <x v="0"/>
            <x v="15"/>
            <x v="24"/>
            <x v="27"/>
            <x v="38"/>
            <x v="42"/>
            <x v="43"/>
            <x v="44"/>
            <x v="50"/>
            <x v="61"/>
            <x v="65"/>
            <x v="72"/>
            <x v="73"/>
          </reference>
        </references>
      </pivotArea>
    </format>
    <format dxfId="23">
      <pivotArea collapsedLevelsAreSubtotals="1" fieldPosition="0">
        <references count="2">
          <reference field="11" count="1" selected="0">
            <x v="0"/>
          </reference>
          <reference field="12" count="4">
            <x v="13"/>
            <x v="30"/>
            <x v="60"/>
            <x v="86"/>
          </reference>
        </references>
      </pivotArea>
    </format>
    <format dxfId="22">
      <pivotArea dataOnly="0" labelOnly="1" fieldPosition="0">
        <references count="2">
          <reference field="11" count="1" selected="0">
            <x v="0"/>
          </reference>
          <reference field="12" count="4">
            <x v="13"/>
            <x v="30"/>
            <x v="60"/>
            <x v="8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5:D22" firstHeaderRow="0" firstDataRow="1" firstDataCol="1"/>
  <pivotFields count="24">
    <pivotField dataField="1" showAll="0"/>
    <pivotField numFmtId="166" showAll="0"/>
    <pivotField showAll="0"/>
    <pivotField numFmtId="14" showAll="0"/>
    <pivotField numFmtId="1" showAll="0"/>
    <pivotField showAll="0"/>
    <pivotField showAll="0"/>
    <pivotField showAll="0"/>
    <pivotField showAll="0"/>
    <pivotField showAll="0"/>
    <pivotField axis="axisRow" showAll="0">
      <items count="17">
        <item x="8"/>
        <item x="5"/>
        <item x="0"/>
        <item x="14"/>
        <item x="6"/>
        <item x="9"/>
        <item x="3"/>
        <item x="10"/>
        <item x="2"/>
        <item x="1"/>
        <item x="11"/>
        <item x="4"/>
        <item x="12"/>
        <item x="13"/>
        <item x="7"/>
        <item x="15"/>
        <item t="default"/>
      </items>
    </pivotField>
    <pivotField showAll="0"/>
    <pivotField showAll="0"/>
    <pivotField numFmtId="2" showAll="0"/>
    <pivotField numFmtId="2" showAll="0"/>
    <pivotField showAll="0"/>
    <pivotField numFmtId="165" showAll="0"/>
    <pivotField numFmtId="1" showAll="0"/>
    <pivotField dataField="1" numFmtId="2" showAll="0"/>
    <pivotField numFmtId="2" showAll="0"/>
    <pivotField dataField="1" numFmtId="2" showAll="0"/>
    <pivotField numFmtId="2" showAll="0"/>
    <pivotField showAll="0" defaultSubtotal="0"/>
    <pivotField showAll="0" defaultSubtotal="0"/>
  </pivotFields>
  <rowFields count="1">
    <field x="10"/>
  </rowFields>
  <rowItems count="17">
    <i>
      <x/>
    </i>
    <i>
      <x v="1"/>
    </i>
    <i>
      <x v="2"/>
    </i>
    <i>
      <x v="3"/>
    </i>
    <i>
      <x v="4"/>
    </i>
    <i>
      <x v="5"/>
    </i>
    <i>
      <x v="6"/>
    </i>
    <i>
      <x v="7"/>
    </i>
    <i>
      <x v="8"/>
    </i>
    <i>
      <x v="9"/>
    </i>
    <i>
      <x v="10"/>
    </i>
    <i>
      <x v="11"/>
    </i>
    <i>
      <x v="12"/>
    </i>
    <i>
      <x v="13"/>
    </i>
    <i>
      <x v="14"/>
    </i>
    <i>
      <x v="15"/>
    </i>
    <i t="grand">
      <x/>
    </i>
  </rowItems>
  <colFields count="1">
    <field x="-2"/>
  </colFields>
  <colItems count="3">
    <i>
      <x/>
    </i>
    <i i="1">
      <x v="1"/>
    </i>
    <i i="2">
      <x v="2"/>
    </i>
  </colItems>
  <dataFields count="3">
    <dataField name="Sum of Gross Revenue" fld="18" baseField="0" baseItem="0" numFmtId="43"/>
    <dataField name="Count of OrderID" fld="0" subtotal="count" baseField="0" baseItem="0"/>
    <dataField name="Sum of Gross Profit" fld="20" baseField="0" baseItem="0" numFmtId="43"/>
  </dataFields>
  <formats count="2">
    <format dxfId="21">
      <pivotArea outline="0" collapsedLevelsAreSubtotals="1" fieldPosition="0">
        <references count="1">
          <reference field="4294967294" count="1" selected="0">
            <x v="2"/>
          </reference>
        </references>
      </pivotArea>
    </format>
    <format dxfId="20">
      <pivotArea outline="0" collapsedLevelsAreSubtotals="1" fieldPosition="0">
        <references count="1">
          <reference field="4294967294" count="1" selected="0">
            <x v="0"/>
          </reference>
        </references>
      </pivotArea>
    </format>
  </formats>
  <conditionalFormats count="2">
    <conditionalFormat type="all" priority="2">
      <pivotAreas count="1">
        <pivotArea type="data" collapsedLevelsAreSubtotals="1" fieldPosition="0">
          <references count="2">
            <reference field="4294967294" count="1" selected="0">
              <x v="2"/>
            </reference>
            <reference field="10" count="16">
              <x v="0"/>
              <x v="1"/>
              <x v="2"/>
              <x v="3"/>
              <x v="4"/>
              <x v="5"/>
              <x v="6"/>
              <x v="7"/>
              <x v="8"/>
              <x v="9"/>
              <x v="10"/>
              <x v="11"/>
              <x v="12"/>
              <x v="13"/>
              <x v="14"/>
              <x v="15"/>
            </reference>
          </references>
        </pivotArea>
      </pivotAreas>
    </conditionalFormat>
    <conditionalFormat type="all" priority="1">
      <pivotAreas count="1">
        <pivotArea type="data" collapsedLevelsAreSubtotals="1" fieldPosition="0">
          <references count="2">
            <reference field="4294967294" count="1" selected="0">
              <x v="2"/>
            </reference>
            <reference field="10" count="16">
              <x v="0"/>
              <x v="1"/>
              <x v="2"/>
              <x v="3"/>
              <x v="4"/>
              <x v="5"/>
              <x v="6"/>
              <x v="7"/>
              <x v="8"/>
              <x v="9"/>
              <x v="10"/>
              <x v="11"/>
              <x v="12"/>
              <x v="13"/>
              <x v="14"/>
              <x v="15"/>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5:G11" firstHeaderRow="1" firstDataRow="2" firstDataCol="1"/>
  <pivotFields count="24">
    <pivotField showAll="0"/>
    <pivotField numFmtId="166" showAll="0"/>
    <pivotField showAll="0"/>
    <pivotField numFmtId="14" showAll="0"/>
    <pivotField numFmtId="1" showAll="0"/>
    <pivotField axis="axisRow" showAll="0">
      <items count="5">
        <item x="0"/>
        <item x="2"/>
        <item x="1"/>
        <item x="3"/>
        <item t="default"/>
      </items>
    </pivotField>
    <pivotField showAll="0"/>
    <pivotField showAll="0"/>
    <pivotField showAll="0"/>
    <pivotField axis="axisCol" showAll="0">
      <items count="7">
        <item x="4"/>
        <item x="3"/>
        <item x="2"/>
        <item x="1"/>
        <item x="0"/>
        <item h="1" x="5"/>
        <item t="default"/>
      </items>
    </pivotField>
    <pivotField showAll="0"/>
    <pivotField showAll="0"/>
    <pivotField showAll="0"/>
    <pivotField numFmtId="2" showAll="0"/>
    <pivotField numFmtId="2" showAll="0"/>
    <pivotField showAll="0"/>
    <pivotField numFmtId="165" showAll="0"/>
    <pivotField numFmtId="1" showAll="0"/>
    <pivotField dataField="1" numFmtId="2" showAll="0"/>
    <pivotField numFmtId="2" showAll="0"/>
    <pivotField numFmtId="2" showAll="0"/>
    <pivotField numFmtId="2" showAll="0"/>
    <pivotField showAll="0" defaultSubtotal="0"/>
    <pivotField showAll="0" defaultSubtotal="0"/>
  </pivotFields>
  <rowFields count="1">
    <field x="5"/>
  </rowFields>
  <rowItems count="5">
    <i>
      <x/>
    </i>
    <i>
      <x v="1"/>
    </i>
    <i>
      <x v="2"/>
    </i>
    <i>
      <x v="3"/>
    </i>
    <i t="grand">
      <x/>
    </i>
  </rowItems>
  <colFields count="1">
    <field x="9"/>
  </colFields>
  <colItems count="6">
    <i>
      <x/>
    </i>
    <i>
      <x v="1"/>
    </i>
    <i>
      <x v="2"/>
    </i>
    <i>
      <x v="3"/>
    </i>
    <i>
      <x v="4"/>
    </i>
    <i t="grand">
      <x/>
    </i>
  </colItems>
  <dataFields count="1">
    <dataField name="Sum of Gross Revenue" fld="18" showDataAs="percentOfTotal" baseField="5"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7"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5:D103" firstHeaderRow="1" firstDataRow="2" firstDataCol="1"/>
  <pivotFields count="23">
    <pivotField showAll="0"/>
    <pivotField numFmtId="166" showAll="0"/>
    <pivotField showAll="0"/>
    <pivotField numFmtId="14" showAll="0"/>
    <pivotField numFmtId="1" showAll="0"/>
    <pivotField showAll="0"/>
    <pivotField axis="axisRow" showAll="0">
      <items count="13">
        <item x="5"/>
        <item x="3"/>
        <item x="9"/>
        <item x="7"/>
        <item x="6"/>
        <item x="4"/>
        <item x="2"/>
        <item x="0"/>
        <item x="1"/>
        <item x="11"/>
        <item x="8"/>
        <item x="10"/>
        <item t="default"/>
      </items>
    </pivotField>
    <pivotField showAll="0"/>
    <pivotField showAll="0"/>
    <pivotField showAll="0"/>
    <pivotField showAll="0"/>
    <pivotField axis="axisRow" showAll="0">
      <items count="8">
        <item x="6"/>
        <item x="0"/>
        <item x="4"/>
        <item x="5"/>
        <item x="2"/>
        <item x="3"/>
        <item x="1"/>
        <item t="default"/>
      </items>
    </pivotField>
    <pivotField showAll="0"/>
    <pivotField numFmtId="2" showAll="0"/>
    <pivotField numFmtId="2" showAll="0"/>
    <pivotField showAll="0"/>
    <pivotField numFmtId="165" showAll="0"/>
    <pivotField numFmtId="1" showAll="0"/>
    <pivotField numFmtId="2" showAll="0"/>
    <pivotField numFmtId="2" showAll="0"/>
    <pivotField numFmtId="2" showAll="0"/>
    <pivotField numFmtId="2" showAll="0"/>
    <pivotField axis="axisCol" dataField="1" showAll="0">
      <items count="3">
        <item x="0"/>
        <item x="1"/>
        <item t="default"/>
      </items>
    </pivotField>
  </pivotFields>
  <rowFields count="2">
    <field x="6"/>
    <field x="11"/>
  </rowFields>
  <rowItems count="97">
    <i>
      <x/>
    </i>
    <i r="1">
      <x/>
    </i>
    <i r="1">
      <x v="1"/>
    </i>
    <i r="1">
      <x v="2"/>
    </i>
    <i r="1">
      <x v="3"/>
    </i>
    <i r="1">
      <x v="4"/>
    </i>
    <i r="1">
      <x v="5"/>
    </i>
    <i r="1">
      <x v="6"/>
    </i>
    <i>
      <x v="1"/>
    </i>
    <i r="1">
      <x/>
    </i>
    <i r="1">
      <x v="1"/>
    </i>
    <i r="1">
      <x v="2"/>
    </i>
    <i r="1">
      <x v="3"/>
    </i>
    <i r="1">
      <x v="4"/>
    </i>
    <i r="1">
      <x v="5"/>
    </i>
    <i r="1">
      <x v="6"/>
    </i>
    <i>
      <x v="2"/>
    </i>
    <i r="1">
      <x/>
    </i>
    <i r="1">
      <x v="1"/>
    </i>
    <i r="1">
      <x v="2"/>
    </i>
    <i r="1">
      <x v="3"/>
    </i>
    <i r="1">
      <x v="4"/>
    </i>
    <i r="1">
      <x v="5"/>
    </i>
    <i r="1">
      <x v="6"/>
    </i>
    <i>
      <x v="3"/>
    </i>
    <i r="1">
      <x/>
    </i>
    <i r="1">
      <x v="1"/>
    </i>
    <i r="1">
      <x v="2"/>
    </i>
    <i r="1">
      <x v="3"/>
    </i>
    <i r="1">
      <x v="4"/>
    </i>
    <i r="1">
      <x v="5"/>
    </i>
    <i r="1">
      <x v="6"/>
    </i>
    <i>
      <x v="4"/>
    </i>
    <i r="1">
      <x/>
    </i>
    <i r="1">
      <x v="1"/>
    </i>
    <i r="1">
      <x v="2"/>
    </i>
    <i r="1">
      <x v="3"/>
    </i>
    <i r="1">
      <x v="4"/>
    </i>
    <i r="1">
      <x v="5"/>
    </i>
    <i r="1">
      <x v="6"/>
    </i>
    <i>
      <x v="5"/>
    </i>
    <i r="1">
      <x/>
    </i>
    <i r="1">
      <x v="1"/>
    </i>
    <i r="1">
      <x v="2"/>
    </i>
    <i r="1">
      <x v="3"/>
    </i>
    <i r="1">
      <x v="4"/>
    </i>
    <i r="1">
      <x v="5"/>
    </i>
    <i r="1">
      <x v="6"/>
    </i>
    <i>
      <x v="6"/>
    </i>
    <i r="1">
      <x/>
    </i>
    <i r="1">
      <x v="1"/>
    </i>
    <i r="1">
      <x v="2"/>
    </i>
    <i r="1">
      <x v="3"/>
    </i>
    <i r="1">
      <x v="4"/>
    </i>
    <i r="1">
      <x v="5"/>
    </i>
    <i r="1">
      <x v="6"/>
    </i>
    <i>
      <x v="7"/>
    </i>
    <i r="1">
      <x/>
    </i>
    <i r="1">
      <x v="1"/>
    </i>
    <i r="1">
      <x v="2"/>
    </i>
    <i r="1">
      <x v="3"/>
    </i>
    <i r="1">
      <x v="4"/>
    </i>
    <i r="1">
      <x v="5"/>
    </i>
    <i r="1">
      <x v="6"/>
    </i>
    <i>
      <x v="8"/>
    </i>
    <i r="1">
      <x/>
    </i>
    <i r="1">
      <x v="1"/>
    </i>
    <i r="1">
      <x v="2"/>
    </i>
    <i r="1">
      <x v="3"/>
    </i>
    <i r="1">
      <x v="4"/>
    </i>
    <i r="1">
      <x v="5"/>
    </i>
    <i r="1">
      <x v="6"/>
    </i>
    <i>
      <x v="9"/>
    </i>
    <i r="1">
      <x/>
    </i>
    <i r="1">
      <x v="1"/>
    </i>
    <i r="1">
      <x v="2"/>
    </i>
    <i r="1">
      <x v="3"/>
    </i>
    <i r="1">
      <x v="4"/>
    </i>
    <i r="1">
      <x v="5"/>
    </i>
    <i r="1">
      <x v="6"/>
    </i>
    <i>
      <x v="10"/>
    </i>
    <i r="1">
      <x/>
    </i>
    <i r="1">
      <x v="1"/>
    </i>
    <i r="1">
      <x v="2"/>
    </i>
    <i r="1">
      <x v="3"/>
    </i>
    <i r="1">
      <x v="4"/>
    </i>
    <i r="1">
      <x v="5"/>
    </i>
    <i r="1">
      <x v="6"/>
    </i>
    <i>
      <x v="11"/>
    </i>
    <i r="1">
      <x/>
    </i>
    <i r="1">
      <x v="1"/>
    </i>
    <i r="1">
      <x v="2"/>
    </i>
    <i r="1">
      <x v="3"/>
    </i>
    <i r="1">
      <x v="4"/>
    </i>
    <i r="1">
      <x v="5"/>
    </i>
    <i r="1">
      <x v="6"/>
    </i>
    <i t="grand">
      <x/>
    </i>
  </rowItems>
  <colFields count="1">
    <field x="22"/>
  </colFields>
  <colItems count="3">
    <i>
      <x/>
    </i>
    <i>
      <x v="1"/>
    </i>
    <i t="grand">
      <x/>
    </i>
  </colItems>
  <dataFields count="1">
    <dataField name="Count of Service Level" fld="22" subtotal="count" showDataAs="percentOfTotal" baseField="11"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8"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4:D74" firstHeaderRow="1" firstDataRow="2" firstDataCol="1"/>
  <pivotFields count="24">
    <pivotField showAll="0"/>
    <pivotField numFmtId="166" showAll="0"/>
    <pivotField showAll="0"/>
    <pivotField numFmtId="14" showAll="0"/>
    <pivotField numFmtId="1" showAll="0"/>
    <pivotField axis="axisRow" showAll="0">
      <items count="5">
        <item x="0"/>
        <item x="2"/>
        <item x="1"/>
        <item x="3"/>
        <item t="default"/>
      </items>
    </pivotField>
    <pivotField showAll="0">
      <items count="13">
        <item x="5"/>
        <item x="3"/>
        <item x="9"/>
        <item x="7"/>
        <item x="6"/>
        <item x="4"/>
        <item x="2"/>
        <item x="0"/>
        <item x="1"/>
        <item x="11"/>
        <item x="8"/>
        <item x="10"/>
        <item t="default"/>
      </items>
    </pivotField>
    <pivotField showAll="0"/>
    <pivotField showAll="0"/>
    <pivotField showAll="0"/>
    <pivotField axis="axisRow" showAll="0">
      <items count="17">
        <item x="8"/>
        <item x="5"/>
        <item x="0"/>
        <item x="14"/>
        <item x="6"/>
        <item x="9"/>
        <item x="3"/>
        <item x="10"/>
        <item x="2"/>
        <item x="1"/>
        <item x="11"/>
        <item x="4"/>
        <item x="12"/>
        <item x="13"/>
        <item x="7"/>
        <item x="15"/>
        <item t="default"/>
      </items>
    </pivotField>
    <pivotField showAll="0"/>
    <pivotField showAll="0"/>
    <pivotField numFmtId="2" showAll="0"/>
    <pivotField numFmtId="2" showAll="0"/>
    <pivotField showAll="0"/>
    <pivotField numFmtId="165" showAll="0"/>
    <pivotField numFmtId="1" showAll="0"/>
    <pivotField numFmtId="2" showAll="0"/>
    <pivotField numFmtId="2" showAll="0"/>
    <pivotField numFmtId="2" showAll="0"/>
    <pivotField numFmtId="2" showAll="0"/>
    <pivotField showAll="0"/>
    <pivotField axis="axisCol" dataField="1" showAll="0">
      <items count="3">
        <item x="0"/>
        <item x="1"/>
        <item t="default"/>
      </items>
    </pivotField>
  </pivotFields>
  <rowFields count="2">
    <field x="5"/>
    <field x="10"/>
  </rowFields>
  <rowItems count="69">
    <i>
      <x/>
    </i>
    <i r="1">
      <x/>
    </i>
    <i r="1">
      <x v="1"/>
    </i>
    <i r="1">
      <x v="2"/>
    </i>
    <i r="1">
      <x v="3"/>
    </i>
    <i r="1">
      <x v="4"/>
    </i>
    <i r="1">
      <x v="5"/>
    </i>
    <i r="1">
      <x v="6"/>
    </i>
    <i r="1">
      <x v="7"/>
    </i>
    <i r="1">
      <x v="8"/>
    </i>
    <i r="1">
      <x v="9"/>
    </i>
    <i r="1">
      <x v="10"/>
    </i>
    <i r="1">
      <x v="11"/>
    </i>
    <i r="1">
      <x v="12"/>
    </i>
    <i r="1">
      <x v="13"/>
    </i>
    <i r="1">
      <x v="14"/>
    </i>
    <i r="1">
      <x v="15"/>
    </i>
    <i>
      <x v="1"/>
    </i>
    <i r="1">
      <x/>
    </i>
    <i r="1">
      <x v="1"/>
    </i>
    <i r="1">
      <x v="2"/>
    </i>
    <i r="1">
      <x v="3"/>
    </i>
    <i r="1">
      <x v="4"/>
    </i>
    <i r="1">
      <x v="5"/>
    </i>
    <i r="1">
      <x v="6"/>
    </i>
    <i r="1">
      <x v="7"/>
    </i>
    <i r="1">
      <x v="8"/>
    </i>
    <i r="1">
      <x v="9"/>
    </i>
    <i r="1">
      <x v="10"/>
    </i>
    <i r="1">
      <x v="11"/>
    </i>
    <i r="1">
      <x v="12"/>
    </i>
    <i r="1">
      <x v="13"/>
    </i>
    <i r="1">
      <x v="14"/>
    </i>
    <i r="1">
      <x v="15"/>
    </i>
    <i>
      <x v="2"/>
    </i>
    <i r="1">
      <x/>
    </i>
    <i r="1">
      <x v="1"/>
    </i>
    <i r="1">
      <x v="2"/>
    </i>
    <i r="1">
      <x v="3"/>
    </i>
    <i r="1">
      <x v="4"/>
    </i>
    <i r="1">
      <x v="5"/>
    </i>
    <i r="1">
      <x v="6"/>
    </i>
    <i r="1">
      <x v="7"/>
    </i>
    <i r="1">
      <x v="8"/>
    </i>
    <i r="1">
      <x v="9"/>
    </i>
    <i r="1">
      <x v="10"/>
    </i>
    <i r="1">
      <x v="11"/>
    </i>
    <i r="1">
      <x v="12"/>
    </i>
    <i r="1">
      <x v="13"/>
    </i>
    <i r="1">
      <x v="14"/>
    </i>
    <i r="1">
      <x v="15"/>
    </i>
    <i>
      <x v="3"/>
    </i>
    <i r="1">
      <x/>
    </i>
    <i r="1">
      <x v="1"/>
    </i>
    <i r="1">
      <x v="2"/>
    </i>
    <i r="1">
      <x v="3"/>
    </i>
    <i r="1">
      <x v="4"/>
    </i>
    <i r="1">
      <x v="5"/>
    </i>
    <i r="1">
      <x v="6"/>
    </i>
    <i r="1">
      <x v="7"/>
    </i>
    <i r="1">
      <x v="8"/>
    </i>
    <i r="1">
      <x v="9"/>
    </i>
    <i r="1">
      <x v="10"/>
    </i>
    <i r="1">
      <x v="11"/>
    </i>
    <i r="1">
      <x v="12"/>
    </i>
    <i r="1">
      <x v="13"/>
    </i>
    <i r="1">
      <x v="14"/>
    </i>
    <i r="1">
      <x v="15"/>
    </i>
    <i t="grand">
      <x/>
    </i>
  </rowItems>
  <colFields count="1">
    <field x="23"/>
  </colFields>
  <colItems count="3">
    <i>
      <x/>
    </i>
    <i>
      <x v="1"/>
    </i>
    <i t="grand">
      <x/>
    </i>
  </colItems>
  <dataFields count="1">
    <dataField name="Count of Price Compliance" fld="23" subtotal="count" showDataAs="percentOfTotal" baseField="1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5"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12:F29" firstHeaderRow="0" firstDataRow="1" firstDataCol="1"/>
  <pivotFields count="32">
    <pivotField showAll="0"/>
    <pivotField numFmtId="166" showAll="0"/>
    <pivotField showAll="0"/>
    <pivotField numFmtId="14" showAll="0"/>
    <pivotField numFmtId="1" showAll="0"/>
    <pivotField axis="axisRow" showAll="0">
      <items count="5">
        <item x="0"/>
        <item x="2"/>
        <item x="1"/>
        <item x="3"/>
        <item t="default"/>
      </items>
    </pivotField>
    <pivotField axis="axisRow" showAll="0">
      <items count="13">
        <item x="5"/>
        <item x="3"/>
        <item x="9"/>
        <item x="7"/>
        <item x="6"/>
        <item x="4"/>
        <item x="2"/>
        <item x="0"/>
        <item x="1"/>
        <item x="11"/>
        <item x="8"/>
        <item x="10"/>
        <item t="default"/>
      </items>
    </pivotField>
    <pivotField showAll="0"/>
    <pivotField showAll="0"/>
    <pivotField showAll="0"/>
    <pivotField showAll="0"/>
    <pivotField showAll="0"/>
    <pivotField showAll="0"/>
    <pivotField numFmtId="2" showAll="0"/>
    <pivotField numFmtId="2" showAll="0"/>
    <pivotField showAll="0"/>
    <pivotField numFmtId="165" showAll="0"/>
    <pivotField numFmtId="1" showAll="0"/>
    <pivotField dataField="1" numFmtId="2" showAll="0"/>
    <pivotField numFmtId="2" showAll="0"/>
    <pivotField dataField="1" numFmtId="2" showAll="0"/>
    <pivotField numFmtId="2" showAll="0"/>
    <pivotField showAll="0"/>
    <pivotField showAll="0"/>
    <pivotField numFmtId="165" showAll="0"/>
    <pivotField showAll="0"/>
    <pivotField showAll="0"/>
    <pivotField showAll="0"/>
    <pivotField dataField="1" showAll="0"/>
    <pivotField dataField="1" showAll="0"/>
    <pivotField showAll="0" defaultSubtotal="0"/>
    <pivotField showAll="0" defaultSubtotal="0"/>
  </pivotFields>
  <rowFields count="2">
    <field x="5"/>
    <field x="6"/>
  </rowFields>
  <rowItems count="17">
    <i>
      <x/>
    </i>
    <i r="1">
      <x v="7"/>
    </i>
    <i r="1">
      <x v="8"/>
    </i>
    <i r="1">
      <x v="9"/>
    </i>
    <i>
      <x v="1"/>
    </i>
    <i r="1">
      <x/>
    </i>
    <i r="1">
      <x v="1"/>
    </i>
    <i r="1">
      <x v="11"/>
    </i>
    <i>
      <x v="2"/>
    </i>
    <i r="1">
      <x v="2"/>
    </i>
    <i r="1">
      <x v="5"/>
    </i>
    <i r="1">
      <x v="6"/>
    </i>
    <i>
      <x v="3"/>
    </i>
    <i r="1">
      <x v="3"/>
    </i>
    <i r="1">
      <x v="4"/>
    </i>
    <i r="1">
      <x v="10"/>
    </i>
    <i t="grand">
      <x/>
    </i>
  </rowItems>
  <colFields count="1">
    <field x="-2"/>
  </colFields>
  <colItems count="4">
    <i>
      <x/>
    </i>
    <i i="1">
      <x v="1"/>
    </i>
    <i i="2">
      <x v="2"/>
    </i>
    <i i="3">
      <x v="3"/>
    </i>
  </colItems>
  <dataFields count="4">
    <dataField name="Sum of Gross Revenue" fld="18" baseField="0" baseItem="0"/>
    <dataField name="Sum of New Gross Revenue" fld="28" baseField="0" baseItem="0"/>
    <dataField name="Sum of  Profit" fld="20" baseField="0" baseItem="0"/>
    <dataField name="Sum of New Profit" fld="29" baseField="0" baseItem="0"/>
  </dataFields>
  <formats count="1">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3"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44:B55" firstHeaderRow="1" firstDataRow="1" firstDataCol="1"/>
  <pivotFields count="32">
    <pivotField showAll="0"/>
    <pivotField numFmtId="166" showAll="0">
      <items count="15">
        <item x="0"/>
        <item x="1"/>
        <item x="2"/>
        <item x="3"/>
        <item x="4"/>
        <item x="5"/>
        <item x="6"/>
        <item x="7"/>
        <item x="8"/>
        <item x="9"/>
        <item x="10"/>
        <item x="11"/>
        <item x="12"/>
        <item x="13"/>
        <item t="default"/>
      </items>
    </pivotField>
    <pivotField showAll="0"/>
    <pivotField numFmtId="14" showAll="0"/>
    <pivotField numFmtId="1" showAll="0"/>
    <pivotField showAll="0">
      <items count="5">
        <item x="0"/>
        <item x="2"/>
        <item x="1"/>
        <item x="3"/>
        <item t="default"/>
      </items>
    </pivotField>
    <pivotField showAll="0">
      <items count="13">
        <item x="5"/>
        <item x="3"/>
        <item x="9"/>
        <item x="7"/>
        <item x="6"/>
        <item x="4"/>
        <item x="2"/>
        <item x="0"/>
        <item h="1" x="1"/>
        <item h="1" x="11"/>
        <item h="1" x="8"/>
        <item h="1" x="10"/>
        <item t="default"/>
      </items>
    </pivotField>
    <pivotField showAll="0"/>
    <pivotField showAll="0"/>
    <pivotField showAll="0">
      <items count="7">
        <item x="4"/>
        <item x="3"/>
        <item x="2"/>
        <item x="1"/>
        <item x="0"/>
        <item x="5"/>
        <item t="default"/>
      </items>
    </pivotField>
    <pivotField showAll="0">
      <items count="17">
        <item x="8"/>
        <item x="5"/>
        <item x="0"/>
        <item x="14"/>
        <item x="6"/>
        <item x="9"/>
        <item x="3"/>
        <item x="10"/>
        <item x="2"/>
        <item x="1"/>
        <item x="11"/>
        <item x="4"/>
        <item x="12"/>
        <item x="13"/>
        <item x="7"/>
        <item x="15"/>
        <item t="default"/>
      </items>
    </pivotField>
    <pivotField showAll="0">
      <items count="8">
        <item x="6"/>
        <item x="0"/>
        <item x="4"/>
        <item x="5"/>
        <item x="2"/>
        <item x="3"/>
        <item x="1"/>
        <item t="default"/>
      </items>
    </pivotField>
    <pivotField axis="axisRow" showAll="0" measureFilter="1" sortType="ascending">
      <items count="630">
        <item x="139"/>
        <item x="620"/>
        <item x="332"/>
        <item x="414"/>
        <item x="339"/>
        <item x="393"/>
        <item x="440"/>
        <item x="292"/>
        <item x="490"/>
        <item x="586"/>
        <item x="206"/>
        <item x="14"/>
        <item x="477"/>
        <item x="58"/>
        <item x="260"/>
        <item x="59"/>
        <item x="324"/>
        <item x="103"/>
        <item x="170"/>
        <item x="70"/>
        <item x="496"/>
        <item x="415"/>
        <item x="311"/>
        <item x="318"/>
        <item x="488"/>
        <item x="331"/>
        <item x="354"/>
        <item x="515"/>
        <item x="185"/>
        <item x="544"/>
        <item x="220"/>
        <item x="258"/>
        <item x="449"/>
        <item x="520"/>
        <item x="575"/>
        <item x="269"/>
        <item x="22"/>
        <item x="158"/>
        <item x="131"/>
        <item x="154"/>
        <item x="289"/>
        <item x="76"/>
        <item x="113"/>
        <item x="568"/>
        <item x="617"/>
        <item x="587"/>
        <item x="226"/>
        <item x="551"/>
        <item x="550"/>
        <item x="97"/>
        <item x="459"/>
        <item x="213"/>
        <item x="351"/>
        <item x="298"/>
        <item x="57"/>
        <item x="287"/>
        <item x="50"/>
        <item x="147"/>
        <item x="436"/>
        <item x="345"/>
        <item x="180"/>
        <item x="357"/>
        <item x="142"/>
        <item x="492"/>
        <item x="556"/>
        <item x="464"/>
        <item x="603"/>
        <item x="359"/>
        <item x="591"/>
        <item x="10"/>
        <item x="276"/>
        <item x="18"/>
        <item x="337"/>
        <item x="540"/>
        <item x="291"/>
        <item x="453"/>
        <item x="25"/>
        <item x="208"/>
        <item x="93"/>
        <item x="66"/>
        <item x="77"/>
        <item x="553"/>
        <item x="535"/>
        <item x="305"/>
        <item x="182"/>
        <item x="407"/>
        <item x="109"/>
        <item x="75"/>
        <item x="169"/>
        <item x="512"/>
        <item x="470"/>
        <item x="578"/>
        <item x="606"/>
        <item x="623"/>
        <item x="34"/>
        <item x="172"/>
        <item x="626"/>
        <item x="400"/>
        <item x="126"/>
        <item x="390"/>
        <item x="124"/>
        <item x="483"/>
        <item x="522"/>
        <item x="376"/>
        <item x="24"/>
        <item x="87"/>
        <item x="82"/>
        <item x="323"/>
        <item x="509"/>
        <item x="366"/>
        <item x="457"/>
        <item x="12"/>
        <item x="136"/>
        <item x="9"/>
        <item x="293"/>
        <item x="157"/>
        <item x="463"/>
        <item x="209"/>
        <item x="314"/>
        <item x="466"/>
        <item x="85"/>
        <item x="161"/>
        <item x="259"/>
        <item x="347"/>
        <item x="255"/>
        <item x="572"/>
        <item x="219"/>
        <item x="616"/>
        <item x="593"/>
        <item x="325"/>
        <item x="74"/>
        <item x="171"/>
        <item x="588"/>
        <item x="489"/>
        <item x="517"/>
        <item x="462"/>
        <item x="78"/>
        <item x="518"/>
        <item x="563"/>
        <item x="44"/>
        <item x="127"/>
        <item x="125"/>
        <item x="110"/>
        <item x="567"/>
        <item x="503"/>
        <item x="458"/>
        <item x="450"/>
        <item x="396"/>
        <item x="30"/>
        <item x="229"/>
        <item x="61"/>
        <item x="364"/>
        <item x="221"/>
        <item x="205"/>
        <item x="69"/>
        <item x="249"/>
        <item x="36"/>
        <item x="60"/>
        <item x="105"/>
        <item x="510"/>
        <item x="101"/>
        <item x="86"/>
        <item x="233"/>
        <item x="0"/>
        <item x="37"/>
        <item x="392"/>
        <item x="435"/>
        <item x="402"/>
        <item x="288"/>
        <item x="475"/>
        <item x="236"/>
        <item x="584"/>
        <item x="177"/>
        <item x="299"/>
        <item x="266"/>
        <item x="558"/>
        <item x="322"/>
        <item x="474"/>
        <item x="476"/>
        <item x="532"/>
        <item x="166"/>
        <item x="145"/>
        <item x="294"/>
        <item x="15"/>
        <item x="526"/>
        <item x="444"/>
        <item x="581"/>
        <item x="538"/>
        <item x="348"/>
        <item x="119"/>
        <item x="278"/>
        <item x="245"/>
        <item x="383"/>
        <item x="238"/>
        <item x="369"/>
        <item x="628"/>
        <item x="480"/>
        <item x="146"/>
        <item x="19"/>
        <item x="64"/>
        <item x="263"/>
        <item x="506"/>
        <item x="570"/>
        <item x="344"/>
        <item x="99"/>
        <item x="53"/>
        <item x="361"/>
        <item x="513"/>
        <item x="580"/>
        <item x="71"/>
        <item x="308"/>
        <item x="303"/>
        <item x="541"/>
        <item x="241"/>
        <item x="456"/>
        <item x="602"/>
        <item x="23"/>
        <item x="254"/>
        <item x="507"/>
        <item x="104"/>
        <item x="189"/>
        <item x="562"/>
        <item x="386"/>
        <item x="250"/>
        <item x="151"/>
        <item x="519"/>
        <item x="592"/>
        <item x="367"/>
        <item x="56"/>
        <item x="408"/>
        <item x="274"/>
        <item x="173"/>
        <item x="102"/>
        <item x="387"/>
        <item x="533"/>
        <item x="564"/>
        <item x="424"/>
        <item x="52"/>
        <item x="191"/>
        <item x="406"/>
        <item x="117"/>
        <item x="395"/>
        <item x="423"/>
        <item x="72"/>
        <item x="5"/>
        <item x="597"/>
        <item x="429"/>
        <item x="420"/>
        <item x="282"/>
        <item x="328"/>
        <item x="385"/>
        <item x="111"/>
        <item x="223"/>
        <item x="132"/>
        <item x="20"/>
        <item x="401"/>
        <item x="283"/>
        <item x="33"/>
        <item x="338"/>
        <item x="565"/>
        <item x="313"/>
        <item x="270"/>
        <item x="590"/>
        <item x="215"/>
        <item x="186"/>
        <item x="204"/>
        <item x="96"/>
        <item x="403"/>
        <item x="167"/>
        <item x="140"/>
        <item x="68"/>
        <item x="471"/>
        <item x="508"/>
        <item x="216"/>
        <item x="115"/>
        <item x="246"/>
        <item x="596"/>
        <item x="89"/>
        <item x="327"/>
        <item x="248"/>
        <item x="135"/>
        <item x="272"/>
        <item x="426"/>
        <item x="83"/>
        <item x="397"/>
        <item x="121"/>
        <item x="624"/>
        <item x="417"/>
        <item x="614"/>
        <item x="188"/>
        <item x="350"/>
        <item x="548"/>
        <item x="296"/>
        <item x="51"/>
        <item x="251"/>
        <item x="371"/>
        <item x="431"/>
        <item x="498"/>
        <item x="55"/>
        <item x="203"/>
        <item x="455"/>
        <item x="130"/>
        <item x="63"/>
        <item x="232"/>
        <item x="178"/>
        <item x="304"/>
        <item x="446"/>
        <item x="279"/>
        <item x="297"/>
        <item x="183"/>
        <item x="362"/>
        <item x="388"/>
        <item x="560"/>
        <item x="571"/>
        <item x="521"/>
        <item x="546"/>
        <item x="309"/>
        <item x="194"/>
        <item x="165"/>
        <item x="67"/>
        <item x="452"/>
        <item x="8"/>
        <item x="175"/>
        <item x="555"/>
        <item x="445"/>
        <item x="579"/>
        <item x="190"/>
        <item x="168"/>
        <item x="382"/>
        <item x="257"/>
        <item x="210"/>
        <item x="187"/>
        <item x="79"/>
        <item x="609"/>
        <item x="543"/>
        <item x="6"/>
        <item x="271"/>
        <item x="539"/>
        <item x="430"/>
        <item x="184"/>
        <item x="493"/>
        <item x="253"/>
        <item x="88"/>
        <item x="118"/>
        <item x="530"/>
        <item x="163"/>
        <item x="497"/>
        <item x="317"/>
        <item x="394"/>
        <item x="265"/>
        <item x="160"/>
        <item x="40"/>
        <item x="495"/>
        <item x="310"/>
        <item x="494"/>
        <item x="589"/>
        <item x="379"/>
        <item x="41"/>
        <item x="222"/>
        <item x="225"/>
        <item x="301"/>
        <item x="98"/>
        <item x="340"/>
        <item x="73"/>
        <item x="478"/>
        <item x="90"/>
        <item x="45"/>
        <item x="47"/>
        <item x="144"/>
        <item x="256"/>
        <item x="622"/>
        <item x="437"/>
        <item x="561"/>
        <item x="247"/>
        <item x="482"/>
        <item x="576"/>
        <item x="114"/>
        <item x="21"/>
        <item x="398"/>
        <item x="197"/>
        <item x="375"/>
        <item x="574"/>
        <item x="505"/>
        <item x="306"/>
        <item x="573"/>
        <item x="381"/>
        <item x="356"/>
        <item x="316"/>
        <item x="129"/>
        <item x="516"/>
        <item x="112"/>
        <item x="547"/>
        <item x="320"/>
        <item x="619"/>
        <item x="621"/>
        <item x="80"/>
        <item x="321"/>
        <item x="542"/>
        <item x="48"/>
        <item x="461"/>
        <item x="611"/>
        <item x="378"/>
        <item x="275"/>
        <item x="193"/>
        <item x="610"/>
        <item x="465"/>
        <item x="202"/>
        <item x="599"/>
        <item x="502"/>
        <item x="120"/>
        <item x="108"/>
        <item x="534"/>
        <item x="412"/>
        <item x="84"/>
        <item x="549"/>
        <item x="214"/>
        <item x="377"/>
        <item x="155"/>
        <item x="32"/>
        <item x="432"/>
        <item x="501"/>
        <item x="280"/>
        <item x="123"/>
        <item x="618"/>
        <item x="156"/>
        <item x="537"/>
        <item x="613"/>
        <item x="352"/>
        <item x="330"/>
        <item x="261"/>
        <item x="566"/>
        <item x="528"/>
        <item x="343"/>
        <item x="2"/>
        <item x="29"/>
        <item x="434"/>
        <item x="286"/>
        <item x="54"/>
        <item x="419"/>
        <item x="17"/>
        <item x="281"/>
        <item x="346"/>
        <item x="212"/>
        <item x="342"/>
        <item x="28"/>
        <item x="559"/>
        <item x="511"/>
        <item x="201"/>
        <item x="370"/>
        <item x="326"/>
        <item x="107"/>
        <item x="447"/>
        <item x="237"/>
        <item x="481"/>
        <item x="230"/>
        <item x="421"/>
        <item x="133"/>
        <item x="529"/>
        <item x="267"/>
        <item x="425"/>
        <item x="199"/>
        <item x="391"/>
        <item x="91"/>
        <item x="240"/>
        <item x="285"/>
        <item x="262"/>
        <item x="333"/>
        <item x="411"/>
        <item x="439"/>
        <item x="128"/>
        <item x="569"/>
        <item x="3"/>
        <item x="582"/>
        <item x="149"/>
        <item x="65"/>
        <item x="625"/>
        <item x="244"/>
        <item x="31"/>
        <item x="374"/>
        <item x="196"/>
        <item x="302"/>
        <item x="583"/>
        <item x="360"/>
        <item x="162"/>
        <item x="451"/>
        <item x="427"/>
        <item x="405"/>
        <item x="484"/>
        <item x="552"/>
        <item x="315"/>
        <item x="329"/>
        <item x="487"/>
        <item x="454"/>
        <item x="284"/>
        <item x="277"/>
        <item x="27"/>
        <item x="365"/>
        <item x="94"/>
        <item x="11"/>
        <item x="243"/>
        <item x="224"/>
        <item x="604"/>
        <item x="181"/>
        <item x="577"/>
        <item x="335"/>
        <item x="491"/>
        <item x="122"/>
        <item x="373"/>
        <item x="137"/>
        <item x="141"/>
        <item x="531"/>
        <item x="62"/>
        <item x="100"/>
        <item x="418"/>
        <item x="410"/>
        <item x="504"/>
        <item x="235"/>
        <item x="433"/>
        <item x="106"/>
        <item x="499"/>
        <item x="627"/>
        <item x="159"/>
        <item x="319"/>
        <item x="472"/>
        <item x="585"/>
        <item x="195"/>
        <item x="500"/>
        <item x="334"/>
        <item x="231"/>
        <item x="389"/>
        <item x="473"/>
        <item x="264"/>
        <item x="485"/>
        <item x="49"/>
        <item x="525"/>
        <item x="536"/>
        <item x="409"/>
        <item x="514"/>
        <item x="524"/>
        <item x="438"/>
        <item x="227"/>
        <item x="312"/>
        <item x="448"/>
        <item x="554"/>
        <item x="428"/>
        <item x="46"/>
        <item x="523"/>
        <item x="218"/>
        <item x="252"/>
        <item x="307"/>
        <item x="211"/>
        <item x="42"/>
        <item x="467"/>
        <item x="363"/>
        <item x="368"/>
        <item x="174"/>
        <item x="479"/>
        <item x="164"/>
        <item x="26"/>
        <item x="148"/>
        <item x="143"/>
        <item x="35"/>
        <item x="527"/>
        <item x="594"/>
        <item x="134"/>
        <item x="441"/>
        <item x="341"/>
        <item x="608"/>
        <item x="138"/>
        <item x="192"/>
        <item x="239"/>
        <item x="601"/>
        <item x="176"/>
        <item x="612"/>
        <item x="336"/>
        <item x="242"/>
        <item x="605"/>
        <item x="399"/>
        <item x="217"/>
        <item x="615"/>
        <item x="486"/>
        <item x="416"/>
        <item x="380"/>
        <item x="207"/>
        <item x="600"/>
        <item x="150"/>
        <item x="7"/>
        <item x="422"/>
        <item x="116"/>
        <item x="92"/>
        <item x="300"/>
        <item x="39"/>
        <item x="557"/>
        <item x="358"/>
        <item x="268"/>
        <item x="16"/>
        <item x="460"/>
        <item x="198"/>
        <item x="228"/>
        <item x="469"/>
        <item x="153"/>
        <item x="38"/>
        <item x="349"/>
        <item x="234"/>
        <item x="295"/>
        <item x="443"/>
        <item x="4"/>
        <item x="179"/>
        <item x="152"/>
        <item x="13"/>
        <item x="200"/>
        <item x="372"/>
        <item x="273"/>
        <item x="290"/>
        <item x="384"/>
        <item x="95"/>
        <item x="607"/>
        <item x="1"/>
        <item x="404"/>
        <item x="468"/>
        <item x="355"/>
        <item x="442"/>
        <item x="545"/>
        <item x="81"/>
        <item x="43"/>
        <item x="598"/>
        <item x="595"/>
        <item x="353"/>
        <item x="413"/>
        <item t="default"/>
      </items>
      <autoSortScope>
        <pivotArea dataOnly="0" outline="0" fieldPosition="0">
          <references count="1">
            <reference field="4294967294" count="1" selected="0">
              <x v="0"/>
            </reference>
          </references>
        </pivotArea>
      </autoSortScope>
    </pivotField>
    <pivotField numFmtId="2" showAll="0"/>
    <pivotField numFmtId="2" showAll="0"/>
    <pivotField showAll="0"/>
    <pivotField numFmtId="165" showAll="0"/>
    <pivotField numFmtId="1" showAll="0"/>
    <pivotField dataField="1" numFmtId="2" showAll="0"/>
    <pivotField numFmtId="2" showAll="0"/>
    <pivotField numFmtId="2" showAll="0"/>
    <pivotField numFmtId="2" showAll="0"/>
    <pivotField showAll="0">
      <items count="3">
        <item x="0"/>
        <item x="1"/>
        <item t="default"/>
      </items>
    </pivotField>
    <pivotField showAll="0"/>
    <pivotField numFmtId="165" showAll="0"/>
    <pivotField showAll="0"/>
    <pivotField showAll="0"/>
    <pivotField showAll="0"/>
    <pivotField showAll="0"/>
    <pivotField showAll="0"/>
    <pivotField showAll="0" defaultSubtotal="0"/>
    <pivotField showAll="0" defaultSubtotal="0"/>
  </pivotFields>
  <rowFields count="1">
    <field x="12"/>
  </rowFields>
  <rowItems count="11">
    <i>
      <x v="98"/>
    </i>
    <i>
      <x v="240"/>
    </i>
    <i>
      <x v="524"/>
    </i>
    <i>
      <x v="302"/>
    </i>
    <i>
      <x v="59"/>
    </i>
    <i>
      <x v="404"/>
    </i>
    <i>
      <x v="116"/>
    </i>
    <i>
      <x v="318"/>
    </i>
    <i>
      <x v="269"/>
    </i>
    <i>
      <x v="170"/>
    </i>
    <i t="grand">
      <x/>
    </i>
  </rowItems>
  <colItems count="1">
    <i/>
  </colItems>
  <dataFields count="1">
    <dataField name="Sum of Gross Revenue" fld="18" baseField="0" baseItem="0" numFmtId="43"/>
  </dataFields>
  <formats count="1">
    <format dxfId="17">
      <pivotArea outline="0" collapsedLevelsAreSubtotals="1" fieldPosition="0"/>
    </format>
  </format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2"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Region" colHeaderCaption="Channel">
  <location ref="A18:H24" firstHeaderRow="1" firstDataRow="2" firstDataCol="1"/>
  <pivotFields count="32">
    <pivotField showAll="0"/>
    <pivotField numFmtId="166" showAll="0">
      <items count="15">
        <item x="0"/>
        <item x="1"/>
        <item x="2"/>
        <item x="3"/>
        <item x="4"/>
        <item x="5"/>
        <item x="6"/>
        <item x="7"/>
        <item x="8"/>
        <item x="9"/>
        <item x="10"/>
        <item x="11"/>
        <item x="12"/>
        <item x="13"/>
        <item t="default"/>
      </items>
    </pivotField>
    <pivotField showAll="0"/>
    <pivotField numFmtId="14" showAll="0"/>
    <pivotField numFmtId="1" showAll="0"/>
    <pivotField axis="axisRow" showAll="0">
      <items count="5">
        <item x="0"/>
        <item x="2"/>
        <item x="1"/>
        <item x="3"/>
        <item t="default"/>
      </items>
    </pivotField>
    <pivotField showAll="0">
      <items count="13">
        <item x="5"/>
        <item x="3"/>
        <item x="9"/>
        <item x="7"/>
        <item x="6"/>
        <item x="4"/>
        <item x="2"/>
        <item x="0"/>
        <item h="1" x="1"/>
        <item h="1" x="11"/>
        <item h="1" x="8"/>
        <item h="1" x="10"/>
        <item t="default"/>
      </items>
    </pivotField>
    <pivotField showAll="0"/>
    <pivotField showAll="0"/>
    <pivotField axis="axisCol" showAll="0">
      <items count="7">
        <item x="4"/>
        <item x="3"/>
        <item x="2"/>
        <item x="1"/>
        <item x="0"/>
        <item x="5"/>
        <item t="default"/>
      </items>
    </pivotField>
    <pivotField showAll="0"/>
    <pivotField showAll="0">
      <items count="8">
        <item x="6"/>
        <item x="0"/>
        <item x="4"/>
        <item x="5"/>
        <item x="2"/>
        <item x="3"/>
        <item x="1"/>
        <item t="default"/>
      </items>
    </pivotField>
    <pivotField showAll="0"/>
    <pivotField numFmtId="2" showAll="0"/>
    <pivotField numFmtId="2" showAll="0"/>
    <pivotField showAll="0"/>
    <pivotField numFmtId="165" showAll="0"/>
    <pivotField numFmtId="1" showAll="0"/>
    <pivotField numFmtId="2" showAll="0"/>
    <pivotField numFmtId="2" showAll="0"/>
    <pivotField dataField="1" numFmtId="2" showAll="0"/>
    <pivotField numFmtId="2" showAll="0"/>
    <pivotField showAll="0"/>
    <pivotField showAll="0"/>
    <pivotField numFmtId="165" showAll="0"/>
    <pivotField showAll="0"/>
    <pivotField showAll="0"/>
    <pivotField showAll="0"/>
    <pivotField showAll="0"/>
    <pivotField showAll="0"/>
    <pivotField showAll="0" defaultSubtotal="0"/>
    <pivotField showAll="0" defaultSubtotal="0"/>
  </pivotFields>
  <rowFields count="1">
    <field x="5"/>
  </rowFields>
  <rowItems count="5">
    <i>
      <x/>
    </i>
    <i>
      <x v="1"/>
    </i>
    <i>
      <x v="2"/>
    </i>
    <i>
      <x v="3"/>
    </i>
    <i t="grand">
      <x/>
    </i>
  </rowItems>
  <colFields count="1">
    <field x="9"/>
  </colFields>
  <colItems count="7">
    <i>
      <x/>
    </i>
    <i>
      <x v="1"/>
    </i>
    <i>
      <x v="2"/>
    </i>
    <i>
      <x v="3"/>
    </i>
    <i>
      <x v="4"/>
    </i>
    <i>
      <x v="5"/>
    </i>
    <i t="grand">
      <x/>
    </i>
  </colItems>
  <dataFields count="1">
    <dataField name="Sum of  Profit" fld="20" baseField="0" baseItem="0" numFmtId="43"/>
  </dataFields>
  <formats count="1">
    <format dxfId="18">
      <pivotArea outline="0" collapsedLevelsAreSubtotals="1" fieldPosition="0"/>
    </format>
  </formats>
  <chartFormats count="14">
    <chartFormat chart="0" format="6" series="1">
      <pivotArea type="data" outline="0" fieldPosition="0">
        <references count="2">
          <reference field="4294967294" count="1" selected="0">
            <x v="0"/>
          </reference>
          <reference field="9" count="1" selected="0">
            <x v="0"/>
          </reference>
        </references>
      </pivotArea>
    </chartFormat>
    <chartFormat chart="0" format="7" series="1">
      <pivotArea type="data" outline="0" fieldPosition="0">
        <references count="2">
          <reference field="4294967294" count="1" selected="0">
            <x v="0"/>
          </reference>
          <reference field="9" count="1" selected="0">
            <x v="1"/>
          </reference>
        </references>
      </pivotArea>
    </chartFormat>
    <chartFormat chart="0" format="8" series="1">
      <pivotArea type="data" outline="0" fieldPosition="0">
        <references count="2">
          <reference field="4294967294" count="1" selected="0">
            <x v="0"/>
          </reference>
          <reference field="9" count="1" selected="0">
            <x v="2"/>
          </reference>
        </references>
      </pivotArea>
    </chartFormat>
    <chartFormat chart="0" format="9" series="1">
      <pivotArea type="data" outline="0" fieldPosition="0">
        <references count="2">
          <reference field="4294967294" count="1" selected="0">
            <x v="0"/>
          </reference>
          <reference field="9" count="1" selected="0">
            <x v="3"/>
          </reference>
        </references>
      </pivotArea>
    </chartFormat>
    <chartFormat chart="0" format="10" series="1">
      <pivotArea type="data" outline="0" fieldPosition="0">
        <references count="2">
          <reference field="4294967294" count="1" selected="0">
            <x v="0"/>
          </reference>
          <reference field="9" count="1" selected="0">
            <x v="4"/>
          </reference>
        </references>
      </pivotArea>
    </chartFormat>
    <chartFormat chart="0" format="11" series="1">
      <pivotArea type="data" outline="0" fieldPosition="0">
        <references count="2">
          <reference field="4294967294" count="1" selected="0">
            <x v="0"/>
          </reference>
          <reference field="9" count="1" selected="0">
            <x v="5"/>
          </reference>
        </references>
      </pivotArea>
    </chartFormat>
    <chartFormat chart="2" format="18" series="1">
      <pivotArea type="data" outline="0" fieldPosition="0">
        <references count="2">
          <reference field="4294967294" count="1" selected="0">
            <x v="0"/>
          </reference>
          <reference field="9" count="1" selected="0">
            <x v="0"/>
          </reference>
        </references>
      </pivotArea>
    </chartFormat>
    <chartFormat chart="2" format="19" series="1">
      <pivotArea type="data" outline="0" fieldPosition="0">
        <references count="2">
          <reference field="4294967294" count="1" selected="0">
            <x v="0"/>
          </reference>
          <reference field="9" count="1" selected="0">
            <x v="1"/>
          </reference>
        </references>
      </pivotArea>
    </chartFormat>
    <chartFormat chart="2" format="20" series="1">
      <pivotArea type="data" outline="0" fieldPosition="0">
        <references count="2">
          <reference field="4294967294" count="1" selected="0">
            <x v="0"/>
          </reference>
          <reference field="9" count="1" selected="0">
            <x v="2"/>
          </reference>
        </references>
      </pivotArea>
    </chartFormat>
    <chartFormat chart="2" format="21" series="1">
      <pivotArea type="data" outline="0" fieldPosition="0">
        <references count="2">
          <reference field="4294967294" count="1" selected="0">
            <x v="0"/>
          </reference>
          <reference field="9" count="1" selected="0">
            <x v="3"/>
          </reference>
        </references>
      </pivotArea>
    </chartFormat>
    <chartFormat chart="2" format="22" series="1">
      <pivotArea type="data" outline="0" fieldPosition="0">
        <references count="2">
          <reference field="4294967294" count="1" selected="0">
            <x v="0"/>
          </reference>
          <reference field="9" count="1" selected="0">
            <x v="4"/>
          </reference>
        </references>
      </pivotArea>
    </chartFormat>
    <chartFormat chart="2" format="23" series="1">
      <pivotArea type="data" outline="0" fieldPosition="0">
        <references count="2">
          <reference field="4294967294" count="1" selected="0">
            <x v="0"/>
          </reference>
          <reference field="9" count="1" selected="0">
            <x v="5"/>
          </reference>
        </references>
      </pivotArea>
    </chartFormat>
    <chartFormat chart="0" format="12" series="1">
      <pivotArea type="data" outline="0" fieldPosition="0">
        <references count="1">
          <reference field="4294967294" count="1" selected="0">
            <x v="0"/>
          </reference>
        </references>
      </pivotArea>
    </chartFormat>
    <chartFormat chart="2" format="2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Month">
  <location ref="A1:B14" firstHeaderRow="1" firstDataRow="1" firstDataCol="1"/>
  <pivotFields count="32">
    <pivotField showAll="0"/>
    <pivotField axis="axisRow" numFmtId="166" showAll="0">
      <items count="15">
        <item x="0"/>
        <item x="1"/>
        <item x="2"/>
        <item x="3"/>
        <item x="4"/>
        <item x="5"/>
        <item x="6"/>
        <item x="7"/>
        <item x="8"/>
        <item x="9"/>
        <item x="10"/>
        <item x="11"/>
        <item x="12"/>
        <item x="13"/>
        <item t="default"/>
      </items>
    </pivotField>
    <pivotField showAll="0"/>
    <pivotField numFmtId="14" showAll="0"/>
    <pivotField numFmtId="1" showAll="0"/>
    <pivotField showAll="0">
      <items count="5">
        <item x="0"/>
        <item x="2"/>
        <item x="1"/>
        <item x="3"/>
        <item t="default"/>
      </items>
    </pivotField>
    <pivotField showAll="0">
      <items count="13">
        <item x="5"/>
        <item x="3"/>
        <item x="9"/>
        <item x="7"/>
        <item x="6"/>
        <item x="4"/>
        <item x="2"/>
        <item x="0"/>
        <item h="1" x="1"/>
        <item h="1" x="11"/>
        <item h="1" x="8"/>
        <item h="1" x="10"/>
        <item t="default"/>
      </items>
    </pivotField>
    <pivotField showAll="0"/>
    <pivotField showAll="0"/>
    <pivotField showAll="0">
      <items count="7">
        <item x="4"/>
        <item x="3"/>
        <item x="2"/>
        <item x="1"/>
        <item x="0"/>
        <item x="5"/>
        <item t="default"/>
      </items>
    </pivotField>
    <pivotField showAll="0"/>
    <pivotField showAll="0">
      <items count="8">
        <item x="6"/>
        <item x="0"/>
        <item x="4"/>
        <item x="5"/>
        <item x="2"/>
        <item x="3"/>
        <item x="1"/>
        <item t="default"/>
      </items>
    </pivotField>
    <pivotField showAll="0"/>
    <pivotField numFmtId="2" showAll="0"/>
    <pivotField numFmtId="2" showAll="0"/>
    <pivotField showAll="0"/>
    <pivotField numFmtId="165" showAll="0"/>
    <pivotField numFmtId="1" showAll="0"/>
    <pivotField dataField="1" numFmtId="2" showAll="0"/>
    <pivotField numFmtId="2" showAll="0"/>
    <pivotField numFmtId="2" showAll="0"/>
    <pivotField numFmtId="2" showAll="0"/>
    <pivotField showAll="0"/>
    <pivotField showAll="0"/>
    <pivotField numFmtId="165" showAll="0"/>
    <pivotField showAll="0"/>
    <pivotField showAll="0"/>
    <pivotField showAll="0"/>
    <pivotField showAll="0"/>
    <pivotField showAll="0"/>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1"/>
  </rowFields>
  <rowItems count="13">
    <i>
      <x v="1"/>
    </i>
    <i>
      <x v="2"/>
    </i>
    <i>
      <x v="3"/>
    </i>
    <i>
      <x v="4"/>
    </i>
    <i>
      <x v="5"/>
    </i>
    <i>
      <x v="6"/>
    </i>
    <i>
      <x v="7"/>
    </i>
    <i>
      <x v="8"/>
    </i>
    <i>
      <x v="9"/>
    </i>
    <i>
      <x v="10"/>
    </i>
    <i>
      <x v="11"/>
    </i>
    <i>
      <x v="12"/>
    </i>
    <i t="grand">
      <x/>
    </i>
  </rowItems>
  <colItems count="1">
    <i/>
  </colItems>
  <dataFields count="1">
    <dataField name="Sum of Gross Revenue" fld="18" baseField="0" baseItem="0" numFmtId="43"/>
  </dataFields>
  <formats count="1">
    <format dxfId="19">
      <pivotArea outline="0" collapsedLevelsAreSubtotals="1" fieldPosition="0"/>
    </format>
  </format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4"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64:D74" firstHeaderRow="1" firstDataRow="2" firstDataCol="1"/>
  <pivotFields count="32">
    <pivotField showAll="0"/>
    <pivotField numFmtId="166" showAll="0">
      <items count="15">
        <item x="0"/>
        <item x="1"/>
        <item x="2"/>
        <item x="3"/>
        <item x="4"/>
        <item x="5"/>
        <item x="6"/>
        <item x="7"/>
        <item x="8"/>
        <item x="9"/>
        <item x="10"/>
        <item x="11"/>
        <item x="12"/>
        <item x="13"/>
        <item t="default"/>
      </items>
    </pivotField>
    <pivotField showAll="0"/>
    <pivotField numFmtId="14" showAll="0"/>
    <pivotField numFmtId="1" showAll="0"/>
    <pivotField showAll="0">
      <items count="5">
        <item x="0"/>
        <item x="2"/>
        <item x="1"/>
        <item x="3"/>
        <item t="default"/>
      </items>
    </pivotField>
    <pivotField axis="axisRow" showAll="0" sortType="ascending">
      <items count="13">
        <item x="5"/>
        <item x="3"/>
        <item x="9"/>
        <item x="7"/>
        <item x="6"/>
        <item x="4"/>
        <item x="2"/>
        <item x="0"/>
        <item h="1" x="1"/>
        <item h="1" x="11"/>
        <item h="1" x="8"/>
        <item h="1" x="10"/>
        <item t="default"/>
      </items>
      <autoSortScope>
        <pivotArea dataOnly="0" outline="0" fieldPosition="0">
          <references count="1">
            <reference field="4294967294" count="1" selected="0">
              <x v="0"/>
            </reference>
          </references>
        </pivotArea>
      </autoSortScope>
    </pivotField>
    <pivotField showAll="0"/>
    <pivotField showAll="0"/>
    <pivotField showAll="0">
      <items count="7">
        <item x="4"/>
        <item x="3"/>
        <item x="2"/>
        <item x="1"/>
        <item x="0"/>
        <item x="5"/>
        <item t="default"/>
      </items>
    </pivotField>
    <pivotField showAll="0"/>
    <pivotField showAll="0">
      <items count="8">
        <item x="6"/>
        <item x="0"/>
        <item x="4"/>
        <item x="5"/>
        <item x="2"/>
        <item x="3"/>
        <item x="1"/>
        <item t="default"/>
      </items>
    </pivotField>
    <pivotField showAll="0"/>
    <pivotField numFmtId="2" showAll="0"/>
    <pivotField numFmtId="2" showAll="0"/>
    <pivotField showAll="0"/>
    <pivotField numFmtId="165" showAll="0"/>
    <pivotField numFmtId="1" showAll="0"/>
    <pivotField numFmtId="2" showAll="0"/>
    <pivotField numFmtId="2" showAll="0"/>
    <pivotField numFmtId="2" showAll="0"/>
    <pivotField numFmtId="2" showAll="0"/>
    <pivotField showAll="0"/>
    <pivotField axis="axisCol" dataField="1" showAll="0">
      <items count="3">
        <item x="0"/>
        <item x="1"/>
        <item t="default"/>
      </items>
    </pivotField>
    <pivotField numFmtId="165" showAll="0"/>
    <pivotField showAll="0"/>
    <pivotField showAll="0"/>
    <pivotField showAll="0"/>
    <pivotField showAll="0"/>
    <pivotField showAll="0"/>
    <pivotField showAll="0" defaultSubtotal="0"/>
    <pivotField showAll="0" defaultSubtotal="0">
      <items count="5">
        <item x="0"/>
        <item x="1"/>
        <item x="2"/>
        <item x="3"/>
        <item x="4"/>
      </items>
    </pivotField>
  </pivotFields>
  <rowFields count="1">
    <field x="6"/>
  </rowFields>
  <rowItems count="9">
    <i>
      <x v="1"/>
    </i>
    <i>
      <x v="4"/>
    </i>
    <i>
      <x v="2"/>
    </i>
    <i>
      <x v="3"/>
    </i>
    <i>
      <x v="7"/>
    </i>
    <i>
      <x v="6"/>
    </i>
    <i>
      <x v="5"/>
    </i>
    <i>
      <x/>
    </i>
    <i t="grand">
      <x/>
    </i>
  </rowItems>
  <colFields count="1">
    <field x="23"/>
  </colFields>
  <colItems count="3">
    <i>
      <x/>
    </i>
    <i>
      <x v="1"/>
    </i>
    <i t="grand">
      <x/>
    </i>
  </colItems>
  <dataFields count="1">
    <dataField name="Count of Price Compliance" fld="23" subtotal="count" showDataAs="percentOfTotal" baseField="6" baseItem="0" numFmtId="10"/>
  </dataFields>
  <chartFormats count="6">
    <chartFormat chart="0" format="2" series="1">
      <pivotArea type="data" outline="0" fieldPosition="0">
        <references count="2">
          <reference field="4294967294" count="1" selected="0">
            <x v="0"/>
          </reference>
          <reference field="23" count="1" selected="0">
            <x v="0"/>
          </reference>
        </references>
      </pivotArea>
    </chartFormat>
    <chartFormat chart="0" format="3" series="1">
      <pivotArea type="data" outline="0" fieldPosition="0">
        <references count="2">
          <reference field="4294967294" count="1" selected="0">
            <x v="0"/>
          </reference>
          <reference field="23" count="1" selected="0">
            <x v="1"/>
          </reference>
        </references>
      </pivotArea>
    </chartFormat>
    <chartFormat chart="2" format="6" series="1">
      <pivotArea type="data" outline="0" fieldPosition="0">
        <references count="2">
          <reference field="4294967294" count="1" selected="0">
            <x v="0"/>
          </reference>
          <reference field="23" count="1" selected="0">
            <x v="0"/>
          </reference>
        </references>
      </pivotArea>
    </chartFormat>
    <chartFormat chart="2" format="7" series="1">
      <pivotArea type="data" outline="0" fieldPosition="0">
        <references count="2">
          <reference field="4294967294" count="1" selected="0">
            <x v="0"/>
          </reference>
          <reference field="23" count="1" selected="0">
            <x v="1"/>
          </reference>
        </references>
      </pivotArea>
    </chartFormat>
    <chartFormat chart="2" format="8"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4"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30:C47" firstHeaderRow="1" firstDataRow="1" firstDataCol="1"/>
  <pivotFields count="32">
    <pivotField showAll="0"/>
    <pivotField numFmtId="166" showAll="0"/>
    <pivotField showAll="0"/>
    <pivotField numFmtId="14" showAll="0"/>
    <pivotField numFmtId="1" showAll="0"/>
    <pivotField axis="axisRow" showAll="0" sortType="ascending">
      <items count="5">
        <item x="0"/>
        <item x="2"/>
        <item x="1"/>
        <item x="3"/>
        <item t="default"/>
      </items>
      <autoSortScope>
        <pivotArea dataOnly="0" outline="0" fieldPosition="0">
          <references count="1">
            <reference field="4294967294" count="1" selected="0">
              <x v="0"/>
            </reference>
          </references>
        </pivotArea>
      </autoSortScope>
    </pivotField>
    <pivotField axis="axisRow" showAll="0" sortType="ascending">
      <items count="13">
        <item x="5"/>
        <item x="3"/>
        <item x="9"/>
        <item x="7"/>
        <item x="6"/>
        <item x="4"/>
        <item x="2"/>
        <item x="0"/>
        <item x="1"/>
        <item x="11"/>
        <item x="8"/>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2" showAll="0"/>
    <pivotField numFmtId="2" showAll="0"/>
    <pivotField showAll="0"/>
    <pivotField numFmtId="165" showAll="0"/>
    <pivotField numFmtId="1" showAll="0"/>
    <pivotField numFmtId="2" showAll="0"/>
    <pivotField dataField="1" numFmtId="2" showAll="0"/>
    <pivotField numFmtId="2" showAll="0"/>
    <pivotField numFmtId="2" showAll="0"/>
    <pivotField showAll="0"/>
    <pivotField showAll="0"/>
    <pivotField numFmtId="165" showAll="0"/>
    <pivotField showAll="0"/>
    <pivotField showAll="0"/>
    <pivotField showAll="0"/>
    <pivotField showAll="0"/>
    <pivotField showAll="0"/>
    <pivotField showAll="0" defaultSubtotal="0"/>
    <pivotField showAll="0" defaultSubtotal="0"/>
  </pivotFields>
  <rowFields count="2">
    <field x="5"/>
    <field x="6"/>
  </rowFields>
  <rowItems count="17">
    <i>
      <x v="1"/>
    </i>
    <i r="1">
      <x v="11"/>
    </i>
    <i r="1">
      <x/>
    </i>
    <i r="1">
      <x v="1"/>
    </i>
    <i>
      <x v="2"/>
    </i>
    <i r="1">
      <x v="6"/>
    </i>
    <i r="1">
      <x v="2"/>
    </i>
    <i r="1">
      <x v="5"/>
    </i>
    <i>
      <x/>
    </i>
    <i r="1">
      <x v="9"/>
    </i>
    <i r="1">
      <x v="7"/>
    </i>
    <i r="1">
      <x v="8"/>
    </i>
    <i>
      <x v="3"/>
    </i>
    <i r="1">
      <x v="3"/>
    </i>
    <i r="1">
      <x v="4"/>
    </i>
    <i r="1">
      <x v="10"/>
    </i>
    <i t="grand">
      <x/>
    </i>
  </rowItems>
  <colItems count="1">
    <i/>
  </colItems>
  <dataFields count="1">
    <dataField name="Average of Cost of Goods" fld="19" subtotal="average" baseField="5" baseItem="0" numFmtId="43"/>
  </dataFields>
  <formats count="1">
    <format dxfId="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2"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Year">
  <location ref="B15:C19" firstHeaderRow="1" firstDataRow="1" firstDataCol="1"/>
  <pivotFields count="32">
    <pivotField showAll="0"/>
    <pivotField numFmtId="166" showAll="0">
      <items count="15">
        <item x="0"/>
        <item x="1"/>
        <item x="2"/>
        <item x="3"/>
        <item x="4"/>
        <item x="5"/>
        <item x="6"/>
        <item x="7"/>
        <item x="8"/>
        <item x="9"/>
        <item x="10"/>
        <item x="11"/>
        <item x="12"/>
        <item x="13"/>
        <item t="default"/>
      </items>
    </pivotField>
    <pivotField showAll="0">
      <items count="12">
        <item x="2"/>
        <item x="0"/>
        <item x="3"/>
        <item x="8"/>
        <item x="5"/>
        <item x="6"/>
        <item x="10"/>
        <item x="9"/>
        <item x="7"/>
        <item x="4"/>
        <item x="1"/>
        <item t="default"/>
      </items>
    </pivotField>
    <pivotField numFmtId="14" showAll="0"/>
    <pivotField numFmtId="1" showAll="0"/>
    <pivotField showAll="0">
      <items count="5">
        <item x="0"/>
        <item x="2"/>
        <item x="1"/>
        <item x="3"/>
        <item t="default"/>
      </items>
    </pivotField>
    <pivotField showAll="0">
      <items count="13">
        <item x="5"/>
        <item x="3"/>
        <item x="9"/>
        <item x="7"/>
        <item x="6"/>
        <item x="4"/>
        <item x="2"/>
        <item x="0"/>
        <item h="1" x="1"/>
        <item h="1" x="11"/>
        <item h="1" x="8"/>
        <item h="1" x="10"/>
        <item t="default"/>
      </items>
    </pivotField>
    <pivotField showAll="0"/>
    <pivotField showAll="0"/>
    <pivotField showAll="0">
      <items count="7">
        <item x="4"/>
        <item x="3"/>
        <item x="2"/>
        <item x="1"/>
        <item x="0"/>
        <item x="5"/>
        <item t="default"/>
      </items>
    </pivotField>
    <pivotField showAll="0"/>
    <pivotField showAll="0">
      <items count="8">
        <item x="6"/>
        <item x="0"/>
        <item x="4"/>
        <item x="5"/>
        <item x="2"/>
        <item x="3"/>
        <item x="1"/>
        <item t="default"/>
      </items>
    </pivotField>
    <pivotField showAll="0"/>
    <pivotField numFmtId="2" showAll="0"/>
    <pivotField numFmtId="2" showAll="0"/>
    <pivotField showAll="0"/>
    <pivotField numFmtId="165" showAll="0"/>
    <pivotField numFmtId="1" showAll="0"/>
    <pivotField numFmtId="2" showAll="0"/>
    <pivotField dataField="1" numFmtId="2" showAll="0"/>
    <pivotField numFmtId="2" showAll="0"/>
    <pivotField numFmtId="2" showAll="0"/>
    <pivotField showAll="0"/>
    <pivotField showAll="0"/>
    <pivotField numFmtId="165" showAll="0"/>
    <pivotField showAll="0"/>
    <pivotField showAll="0"/>
    <pivotField showAll="0"/>
    <pivotField showAll="0"/>
    <pivotField showAll="0"/>
    <pivotField showAll="0" defaultSubtotal="0"/>
    <pivotField axis="axisRow" showAll="0" defaultSubtotal="0">
      <items count="5">
        <item x="0"/>
        <item x="1"/>
        <item x="2"/>
        <item x="3"/>
        <item x="4"/>
      </items>
    </pivotField>
  </pivotFields>
  <rowFields count="1">
    <field x="31"/>
  </rowFields>
  <rowItems count="4">
    <i>
      <x v="1"/>
    </i>
    <i>
      <x v="2"/>
    </i>
    <i>
      <x v="3"/>
    </i>
    <i t="grand">
      <x/>
    </i>
  </rowItems>
  <colItems count="1">
    <i/>
  </colItems>
  <dataFields count="1">
    <dataField name="Sum of Cost of Goods" fld="19" baseField="0" baseItem="0" numFmtId="43"/>
  </dataFields>
  <formats count="1">
    <format dxfId="16">
      <pivotArea outline="0" collapsedLevelsAreSubtotals="1" fieldPosition="0"/>
    </format>
  </formats>
  <chartFormats count="5">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31" count="1" selected="0">
            <x v="1"/>
          </reference>
        </references>
      </pivotArea>
    </chartFormat>
    <chartFormat chart="2" format="7">
      <pivotArea type="data" outline="0" fieldPosition="0">
        <references count="2">
          <reference field="4294967294" count="1" selected="0">
            <x v="0"/>
          </reference>
          <reference field="31" count="1" selected="0">
            <x v="2"/>
          </reference>
        </references>
      </pivotArea>
    </chartFormat>
    <chartFormat chart="2" format="8">
      <pivotArea type="data" outline="0" fieldPosition="0">
        <references count="2">
          <reference field="4294967294" count="1" selected="0">
            <x v="0"/>
          </reference>
          <reference field="31" count="1" selected="0">
            <x v="3"/>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PivotTable1"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B1:E7" firstHeaderRow="1" firstDataRow="2" firstDataCol="1"/>
  <pivotFields count="32">
    <pivotField showAll="0"/>
    <pivotField numFmtId="166" showAll="0">
      <items count="15">
        <item x="0"/>
        <item x="1"/>
        <item x="2"/>
        <item x="3"/>
        <item x="4"/>
        <item x="5"/>
        <item x="6"/>
        <item x="7"/>
        <item x="8"/>
        <item x="9"/>
        <item x="10"/>
        <item x="11"/>
        <item x="12"/>
        <item x="13"/>
        <item t="default"/>
      </items>
    </pivotField>
    <pivotField showAll="0"/>
    <pivotField numFmtId="14" showAll="0"/>
    <pivotField numFmtId="1" showAll="0"/>
    <pivotField axis="axisRow" showAll="0">
      <items count="5">
        <item x="0"/>
        <item x="2"/>
        <item x="1"/>
        <item x="3"/>
        <item t="default"/>
      </items>
    </pivotField>
    <pivotField showAll="0">
      <items count="13">
        <item x="5"/>
        <item x="3"/>
        <item x="9"/>
        <item x="7"/>
        <item x="6"/>
        <item x="4"/>
        <item x="2"/>
        <item x="0"/>
        <item h="1" x="1"/>
        <item h="1" x="11"/>
        <item h="1" x="8"/>
        <item h="1" x="10"/>
        <item t="default"/>
      </items>
    </pivotField>
    <pivotField showAll="0"/>
    <pivotField showAll="0"/>
    <pivotField showAll="0">
      <items count="7">
        <item x="4"/>
        <item x="3"/>
        <item x="2"/>
        <item x="1"/>
        <item x="0"/>
        <item x="5"/>
        <item t="default"/>
      </items>
    </pivotField>
    <pivotField showAll="0"/>
    <pivotField showAll="0">
      <items count="8">
        <item x="6"/>
        <item x="0"/>
        <item x="4"/>
        <item x="5"/>
        <item x="2"/>
        <item x="3"/>
        <item x="1"/>
        <item t="default"/>
      </items>
    </pivotField>
    <pivotField showAll="0"/>
    <pivotField numFmtId="2" showAll="0"/>
    <pivotField numFmtId="2" showAll="0"/>
    <pivotField showAll="0"/>
    <pivotField numFmtId="165" showAll="0"/>
    <pivotField numFmtId="1" showAll="0"/>
    <pivotField numFmtId="2" showAll="0"/>
    <pivotField numFmtId="2" showAll="0"/>
    <pivotField numFmtId="2" showAll="0"/>
    <pivotField numFmtId="2" showAll="0"/>
    <pivotField axis="axisCol" dataField="1" showAll="0">
      <items count="3">
        <item x="0"/>
        <item x="1"/>
        <item t="default"/>
      </items>
    </pivotField>
    <pivotField showAll="0"/>
    <pivotField numFmtId="165" showAll="0"/>
    <pivotField showAll="0"/>
    <pivotField showAll="0"/>
    <pivotField showAll="0"/>
    <pivotField showAll="0"/>
    <pivotField showAll="0"/>
    <pivotField showAll="0" defaultSubtotal="0"/>
    <pivotField showAll="0" defaultSubtotal="0"/>
  </pivotFields>
  <rowFields count="1">
    <field x="5"/>
  </rowFields>
  <rowItems count="5">
    <i>
      <x/>
    </i>
    <i>
      <x v="1"/>
    </i>
    <i>
      <x v="2"/>
    </i>
    <i>
      <x v="3"/>
    </i>
    <i t="grand">
      <x/>
    </i>
  </rowItems>
  <colFields count="1">
    <field x="22"/>
  </colFields>
  <colItems count="3">
    <i>
      <x/>
    </i>
    <i>
      <x v="1"/>
    </i>
    <i t="grand">
      <x/>
    </i>
  </colItems>
  <dataFields count="1">
    <dataField name="Count of Service Level" fld="22" subtotal="count" showDataAs="percentOfTotal" baseField="0" baseItem="0" numFmtId="10"/>
  </dataFields>
  <chartFormats count="6">
    <chartFormat chart="2" format="4" series="1">
      <pivotArea type="data" outline="0" fieldPosition="0">
        <references count="2">
          <reference field="4294967294" count="1" selected="0">
            <x v="0"/>
          </reference>
          <reference field="22" count="1" selected="0">
            <x v="0"/>
          </reference>
        </references>
      </pivotArea>
    </chartFormat>
    <chartFormat chart="2" format="5" series="1">
      <pivotArea type="data" outline="0" fieldPosition="0">
        <references count="2">
          <reference field="4294967294" count="1" selected="0">
            <x v="0"/>
          </reference>
          <reference field="22" count="1" selected="0">
            <x v="1"/>
          </reference>
        </references>
      </pivotArea>
    </chartFormat>
    <chartFormat chart="0" format="2" series="1">
      <pivotArea type="data" outline="0" fieldPosition="0">
        <references count="2">
          <reference field="4294967294" count="1" selected="0">
            <x v="0"/>
          </reference>
          <reference field="22" count="1" selected="0">
            <x v="0"/>
          </reference>
        </references>
      </pivotArea>
    </chartFormat>
    <chartFormat chart="0" format="3" series="1">
      <pivotArea type="data" outline="0" fieldPosition="0">
        <references count="2">
          <reference field="4294967294" count="1" selected="0">
            <x v="0"/>
          </reference>
          <reference field="22" count="1" selected="0">
            <x v="1"/>
          </reference>
        </references>
      </pivotArea>
    </chartFormat>
    <chartFormat chart="2" format="6"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OrderDate" sourceName="OrderDate">
  <pivotTables>
    <pivotTable tabId="21" name="PivotTable3"/>
    <pivotTable tabId="23" name="PivotTable1"/>
    <pivotTable tabId="23" name="PivotTable2"/>
    <pivotTable tabId="21" name="PivotTable1"/>
    <pivotTable tabId="21" name="PivotTable2"/>
    <pivotTable tabId="21" name="PivotTable4"/>
  </pivotTables>
  <data>
    <tabular pivotCacheId="1">
      <items count="14">
        <i x="1" s="1"/>
        <i x="2" s="1"/>
        <i x="3" s="1"/>
        <i x="4" s="1"/>
        <i x="5" s="1"/>
        <i x="6" s="1"/>
        <i x="7" s="1"/>
        <i x="8" s="1"/>
        <i x="9" s="1"/>
        <i x="10" s="1"/>
        <i x="11" s="1"/>
        <i x="12" s="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1" name="PivotTable3"/>
    <pivotTable tabId="23" name="PivotTable1"/>
    <pivotTable tabId="23" name="PivotTable2"/>
    <pivotTable tabId="21" name="PivotTable1"/>
    <pivotTable tabId="21" name="PivotTable2"/>
    <pivotTable tabId="21" name="PivotTable4"/>
  </pivotTables>
  <data>
    <tabular pivotCacheId="1">
      <items count="4">
        <i x="0"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ountry" sourceName="Country">
  <pivotTables>
    <pivotTable tabId="21" name="PivotTable3"/>
    <pivotTable tabId="23" name="PivotTable1"/>
    <pivotTable tabId="23" name="PivotTable2"/>
    <pivotTable tabId="21" name="PivotTable1"/>
    <pivotTable tabId="21" name="PivotTable2"/>
    <pivotTable tabId="21" name="PivotTable4"/>
  </pivotTables>
  <data>
    <tabular pivotCacheId="1">
      <items count="12">
        <i x="5" s="1"/>
        <i x="3" s="1"/>
        <i x="9" s="1"/>
        <i x="7" s="1"/>
        <i x="6" s="1"/>
        <i x="4" s="1"/>
        <i x="2" s="1"/>
        <i x="0" s="1"/>
        <i x="1"/>
        <i x="11"/>
        <i x="8"/>
        <i x="10"/>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hannel" sourceName="Channel">
  <pivotTables>
    <pivotTable tabId="21" name="PivotTable3"/>
    <pivotTable tabId="23" name="PivotTable1"/>
    <pivotTable tabId="23" name="PivotTable2"/>
    <pivotTable tabId="21" name="PivotTable1"/>
    <pivotTable tabId="21" name="PivotTable2"/>
    <pivotTable tabId="21" name="PivotTable4"/>
  </pivotTables>
  <data>
    <tabular pivotCacheId="1">
      <items count="6">
        <i x="4" s="1"/>
        <i x="3" s="1"/>
        <i x="2" s="1"/>
        <i x="1" s="1"/>
        <i x="0" s="1"/>
        <i x="5"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Salesperson" sourceName="Salesperson">
  <pivotTables>
    <pivotTable tabId="21" name="PivotTable3"/>
  </pivotTables>
  <data>
    <tabular pivotCacheId="1">
      <items count="16">
        <i x="8" s="1"/>
        <i x="5" s="1"/>
        <i x="0" s="1"/>
        <i x="14" s="1"/>
        <i x="6" s="1"/>
        <i x="9" s="1"/>
        <i x="3" s="1"/>
        <i x="10" s="1"/>
        <i x="2" s="1"/>
        <i x="1" s="1"/>
        <i x="11" s="1"/>
        <i x="4" s="1"/>
        <i x="12" s="1"/>
        <i x="13" s="1"/>
        <i x="7" s="1"/>
        <i x="15"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ProductCategory" sourceName="ProductCategory">
  <pivotTables>
    <pivotTable tabId="21" name="PivotTable3"/>
    <pivotTable tabId="23" name="PivotTable1"/>
    <pivotTable tabId="23" name="PivotTable2"/>
    <pivotTable tabId="21" name="PivotTable1"/>
    <pivotTable tabId="21" name="PivotTable2"/>
    <pivotTable tabId="21" name="PivotTable4"/>
  </pivotTables>
  <data>
    <tabular pivotCacheId="1">
      <items count="7">
        <i x="6" s="1"/>
        <i x="0" s="1"/>
        <i x="4" s="1"/>
        <i x="5"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OrderDate" cache="Slicer_OrderDate" caption="OrderDate" rowHeight="234950"/>
  <slicer name="Region" cache="Slicer_Region" caption="Region" rowHeight="234950"/>
  <slicer name="Country" cache="Slicer_Country" caption="Country" rowHeight="234950"/>
  <slicer name="Channel" cache="Slicer_Channel" caption="Channel" rowHeight="234950"/>
  <slicer name="Salesperson" cache="Slicer_Salesperson" caption="Salesperson" rowHeight="234950"/>
  <slicer name="ProductCategory" cache="Slicer_ProductCategory" caption="ProductCategory"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OrderDate 1" cache="Slicer_OrderDate" caption="OrderDate" style="SlicerStyleLight3" rowHeight="234950"/>
  <slicer name="Region 1" cache="Slicer_Region" caption="Region" style="SlicerStyleLight3" rowHeight="234950"/>
  <slicer name="Country 1" cache="Slicer_Country" caption="Country" style="SlicerStyleLight3" rowHeight="234950"/>
  <slicer name="Channel 1" cache="Slicer_Channel" caption="Channel" style="SlicerStyleLight3" rowHeight="234950"/>
  <slicer name="Salesperson 1" cache="Slicer_Salesperson" caption="Salesperson" style="SlicerStyleLight3" rowHeight="234950"/>
  <slicer name="ProductCategory 1" cache="Slicer_ProductCategory" caption="ProductCategory" style="SlicerStyleLight3"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 Id="rId4" Type="http://schemas.openxmlformats.org/officeDocument/2006/relationships/drawing" Target="../drawings/drawing2.xml"/></Relationships>
</file>

<file path=xl/worksheets/_rels/sheet1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7"/>
  <sheetViews>
    <sheetView topLeftCell="A45" workbookViewId="0">
      <selection activeCell="G23" sqref="G23"/>
    </sheetView>
  </sheetViews>
  <sheetFormatPr defaultRowHeight="14.4" x14ac:dyDescent="0.3"/>
  <sheetData>
    <row r="1" spans="1:1" x14ac:dyDescent="0.3">
      <c r="A1" s="1" t="s">
        <v>1364</v>
      </c>
    </row>
    <row r="2" spans="1:1" x14ac:dyDescent="0.3">
      <c r="A2" t="s">
        <v>1365</v>
      </c>
    </row>
    <row r="4" spans="1:1" x14ac:dyDescent="0.3">
      <c r="A4" t="s">
        <v>1366</v>
      </c>
    </row>
    <row r="5" spans="1:1" x14ac:dyDescent="0.3">
      <c r="A5" t="s">
        <v>1367</v>
      </c>
    </row>
    <row r="6" spans="1:1" x14ac:dyDescent="0.3">
      <c r="A6" t="s">
        <v>1368</v>
      </c>
    </row>
    <row r="8" spans="1:1" x14ac:dyDescent="0.3">
      <c r="A8" t="s">
        <v>1369</v>
      </c>
    </row>
    <row r="9" spans="1:1" x14ac:dyDescent="0.3">
      <c r="A9" t="s">
        <v>1370</v>
      </c>
    </row>
    <row r="10" spans="1:1" x14ac:dyDescent="0.3">
      <c r="A10" t="s">
        <v>1371</v>
      </c>
    </row>
    <row r="11" spans="1:1" x14ac:dyDescent="0.3">
      <c r="A11" t="s">
        <v>1372</v>
      </c>
    </row>
    <row r="12" spans="1:1" x14ac:dyDescent="0.3">
      <c r="A12" t="s">
        <v>1373</v>
      </c>
    </row>
    <row r="13" spans="1:1" x14ac:dyDescent="0.3">
      <c r="A13" t="s">
        <v>1374</v>
      </c>
    </row>
    <row r="14" spans="1:1" x14ac:dyDescent="0.3">
      <c r="A14" t="s">
        <v>1375</v>
      </c>
    </row>
    <row r="15" spans="1:1" x14ac:dyDescent="0.3">
      <c r="A15" t="s">
        <v>1376</v>
      </c>
    </row>
    <row r="17" spans="1:1" x14ac:dyDescent="0.3">
      <c r="A17" t="s">
        <v>1377</v>
      </c>
    </row>
    <row r="18" spans="1:1" x14ac:dyDescent="0.3">
      <c r="A18" t="s">
        <v>1378</v>
      </c>
    </row>
    <row r="19" spans="1:1" x14ac:dyDescent="0.3">
      <c r="A19" t="s">
        <v>1379</v>
      </c>
    </row>
    <row r="20" spans="1:1" x14ac:dyDescent="0.3">
      <c r="A20" t="s">
        <v>1380</v>
      </c>
    </row>
    <row r="21" spans="1:1" x14ac:dyDescent="0.3">
      <c r="A21" t="s">
        <v>1381</v>
      </c>
    </row>
    <row r="23" spans="1:1" x14ac:dyDescent="0.3">
      <c r="A23" t="s">
        <v>1382</v>
      </c>
    </row>
    <row r="24" spans="1:1" x14ac:dyDescent="0.3">
      <c r="A24" t="s">
        <v>1383</v>
      </c>
    </row>
    <row r="25" spans="1:1" x14ac:dyDescent="0.3">
      <c r="A25" t="s">
        <v>1384</v>
      </c>
    </row>
    <row r="26" spans="1:1" x14ac:dyDescent="0.3">
      <c r="A26" t="s">
        <v>1385</v>
      </c>
    </row>
    <row r="27" spans="1:1" x14ac:dyDescent="0.3">
      <c r="A27" t="s">
        <v>1386</v>
      </c>
    </row>
    <row r="29" spans="1:1" x14ac:dyDescent="0.3">
      <c r="A29" t="s">
        <v>1387</v>
      </c>
    </row>
    <row r="30" spans="1:1" x14ac:dyDescent="0.3">
      <c r="A30" t="s">
        <v>1388</v>
      </c>
    </row>
    <row r="31" spans="1:1" x14ac:dyDescent="0.3">
      <c r="A31" t="s">
        <v>1389</v>
      </c>
    </row>
    <row r="32" spans="1:1" x14ac:dyDescent="0.3">
      <c r="A32" t="s">
        <v>1390</v>
      </c>
    </row>
    <row r="33" spans="1:1" x14ac:dyDescent="0.3">
      <c r="A33" t="s">
        <v>1391</v>
      </c>
    </row>
    <row r="34" spans="1:1" x14ac:dyDescent="0.3">
      <c r="A34" t="s">
        <v>1392</v>
      </c>
    </row>
    <row r="35" spans="1:1" x14ac:dyDescent="0.3">
      <c r="A35" t="s">
        <v>1393</v>
      </c>
    </row>
    <row r="36" spans="1:1" x14ac:dyDescent="0.3">
      <c r="A36" t="s">
        <v>1394</v>
      </c>
    </row>
    <row r="37" spans="1:1" x14ac:dyDescent="0.3">
      <c r="A37" t="s">
        <v>1395</v>
      </c>
    </row>
    <row r="38" spans="1:1" x14ac:dyDescent="0.3">
      <c r="A38" t="s">
        <v>1396</v>
      </c>
    </row>
    <row r="39" spans="1:1" x14ac:dyDescent="0.3">
      <c r="A39" t="s">
        <v>1397</v>
      </c>
    </row>
    <row r="40" spans="1:1" x14ac:dyDescent="0.3">
      <c r="A40" t="s">
        <v>1398</v>
      </c>
    </row>
    <row r="41" spans="1:1" x14ac:dyDescent="0.3">
      <c r="A41" t="s">
        <v>1399</v>
      </c>
    </row>
    <row r="43" spans="1:1" x14ac:dyDescent="0.3">
      <c r="A43" t="s">
        <v>1400</v>
      </c>
    </row>
    <row r="44" spans="1:1" x14ac:dyDescent="0.3">
      <c r="A44" t="s">
        <v>1401</v>
      </c>
    </row>
    <row r="45" spans="1:1" x14ac:dyDescent="0.3">
      <c r="A45" t="s">
        <v>1402</v>
      </c>
    </row>
    <row r="46" spans="1:1" x14ac:dyDescent="0.3">
      <c r="A46" t="s">
        <v>1403</v>
      </c>
    </row>
    <row r="47" spans="1:1" x14ac:dyDescent="0.3">
      <c r="A47" t="s">
        <v>1404</v>
      </c>
    </row>
    <row r="48" spans="1:1" x14ac:dyDescent="0.3">
      <c r="A48" t="s">
        <v>1405</v>
      </c>
    </row>
    <row r="50" spans="1:1" x14ac:dyDescent="0.3">
      <c r="A50" t="s">
        <v>1406</v>
      </c>
    </row>
    <row r="51" spans="1:1" x14ac:dyDescent="0.3">
      <c r="A51" t="s">
        <v>1407</v>
      </c>
    </row>
    <row r="52" spans="1:1" x14ac:dyDescent="0.3">
      <c r="A52" t="s">
        <v>1408</v>
      </c>
    </row>
    <row r="53" spans="1:1" x14ac:dyDescent="0.3">
      <c r="A53" t="s">
        <v>1409</v>
      </c>
    </row>
    <row r="54" spans="1:1" x14ac:dyDescent="0.3">
      <c r="A54" t="s">
        <v>1410</v>
      </c>
    </row>
    <row r="55" spans="1:1" x14ac:dyDescent="0.3">
      <c r="A55" t="s">
        <v>1411</v>
      </c>
    </row>
    <row r="56" spans="1:1" x14ac:dyDescent="0.3">
      <c r="A56" t="s">
        <v>1412</v>
      </c>
    </row>
    <row r="57" spans="1:1" x14ac:dyDescent="0.3">
      <c r="A57" t="s">
        <v>1413</v>
      </c>
    </row>
    <row r="58" spans="1:1" x14ac:dyDescent="0.3">
      <c r="A58" t="s">
        <v>1414</v>
      </c>
    </row>
    <row r="59" spans="1:1" x14ac:dyDescent="0.3">
      <c r="A59" t="s">
        <v>1415</v>
      </c>
    </row>
    <row r="61" spans="1:1" x14ac:dyDescent="0.3">
      <c r="A61" t="s">
        <v>1416</v>
      </c>
    </row>
    <row r="62" spans="1:1" x14ac:dyDescent="0.3">
      <c r="A62" t="s">
        <v>1417</v>
      </c>
    </row>
    <row r="64" spans="1:1" x14ac:dyDescent="0.3">
      <c r="A64" t="s">
        <v>1418</v>
      </c>
    </row>
    <row r="65" spans="1:1" x14ac:dyDescent="0.3">
      <c r="A65" t="s">
        <v>1419</v>
      </c>
    </row>
    <row r="66" spans="1:1" x14ac:dyDescent="0.3">
      <c r="A66" t="s">
        <v>1420</v>
      </c>
    </row>
    <row r="67" spans="1:1" x14ac:dyDescent="0.3">
      <c r="A67" t="s">
        <v>1421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33"/>
  <sheetViews>
    <sheetView workbookViewId="0">
      <selection sqref="A1:XFD1048576"/>
    </sheetView>
  </sheetViews>
  <sheetFormatPr defaultRowHeight="14.4" x14ac:dyDescent="0.3"/>
  <cols>
    <col min="1" max="1" width="16.109375" bestFit="1" customWidth="1"/>
    <col min="2" max="2" width="10.33203125" bestFit="1" customWidth="1"/>
    <col min="3" max="3" width="12.44140625" bestFit="1" customWidth="1"/>
    <col min="4" max="4" width="8.44140625" bestFit="1" customWidth="1"/>
    <col min="5" max="5" width="14" bestFit="1" customWidth="1"/>
    <col min="6" max="6" width="12.44140625" bestFit="1" customWidth="1"/>
    <col min="7" max="7" width="16.6640625" bestFit="1" customWidth="1"/>
    <col min="8" max="8" width="11.21875" bestFit="1" customWidth="1"/>
    <col min="9" max="9" width="11" bestFit="1" customWidth="1"/>
    <col min="10" max="10" width="15.33203125" bestFit="1" customWidth="1"/>
    <col min="11" max="11" width="10" bestFit="1" customWidth="1"/>
    <col min="12" max="12" width="8.21875" bestFit="1" customWidth="1"/>
    <col min="13" max="13" width="8.6640625" bestFit="1" customWidth="1"/>
    <col min="14" max="14" width="11" bestFit="1" customWidth="1"/>
    <col min="15" max="15" width="8.33203125" bestFit="1" customWidth="1"/>
  </cols>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t="s">
        <v>15</v>
      </c>
      <c r="B2" s="2">
        <v>45362</v>
      </c>
      <c r="C2" s="2">
        <v>45388</v>
      </c>
      <c r="D2" t="s">
        <v>646</v>
      </c>
      <c r="E2" t="s">
        <v>650</v>
      </c>
      <c r="F2" t="s">
        <v>662</v>
      </c>
      <c r="G2" t="s">
        <v>701</v>
      </c>
      <c r="H2" t="s">
        <v>707</v>
      </c>
      <c r="I2" t="s">
        <v>712</v>
      </c>
      <c r="J2" t="s">
        <v>727</v>
      </c>
      <c r="K2" t="s">
        <v>734</v>
      </c>
      <c r="L2">
        <v>279.24</v>
      </c>
      <c r="M2">
        <v>608.9</v>
      </c>
      <c r="N2">
        <v>0.112</v>
      </c>
      <c r="O2">
        <v>9</v>
      </c>
    </row>
    <row r="3" spans="1:15" x14ac:dyDescent="0.3">
      <c r="A3" t="s">
        <v>16</v>
      </c>
      <c r="B3" s="2">
        <v>45588</v>
      </c>
      <c r="C3" s="2">
        <v>45587</v>
      </c>
      <c r="D3" t="s">
        <v>646</v>
      </c>
      <c r="E3" t="s">
        <v>651</v>
      </c>
      <c r="F3" t="s">
        <v>663</v>
      </c>
      <c r="G3" t="s">
        <v>702</v>
      </c>
      <c r="H3" t="s">
        <v>708</v>
      </c>
      <c r="I3" t="s">
        <v>713</v>
      </c>
      <c r="J3" t="s">
        <v>728</v>
      </c>
      <c r="K3" t="s">
        <v>735</v>
      </c>
      <c r="L3">
        <v>1084.3900000000001</v>
      </c>
      <c r="M3">
        <v>759.33</v>
      </c>
      <c r="N3">
        <v>0.23699999999999999</v>
      </c>
      <c r="O3">
        <v>31</v>
      </c>
    </row>
    <row r="4" spans="1:15" x14ac:dyDescent="0.3">
      <c r="A4" t="s">
        <v>17</v>
      </c>
      <c r="B4" s="2">
        <v>44985</v>
      </c>
      <c r="C4" s="2">
        <v>45010</v>
      </c>
      <c r="D4" t="s">
        <v>646</v>
      </c>
      <c r="E4" t="s">
        <v>650</v>
      </c>
      <c r="F4" t="s">
        <v>664</v>
      </c>
      <c r="G4" t="s">
        <v>701</v>
      </c>
      <c r="H4" t="s">
        <v>707</v>
      </c>
      <c r="I4" t="s">
        <v>714</v>
      </c>
      <c r="J4" t="s">
        <v>729</v>
      </c>
      <c r="K4" t="s">
        <v>736</v>
      </c>
      <c r="L4">
        <v>1460.76</v>
      </c>
      <c r="M4">
        <v>-30.66</v>
      </c>
      <c r="N4">
        <v>0.13100000000000001</v>
      </c>
      <c r="O4">
        <v>12</v>
      </c>
    </row>
    <row r="5" spans="1:15" x14ac:dyDescent="0.3">
      <c r="A5" t="s">
        <v>18</v>
      </c>
      <c r="B5" s="2">
        <v>45745</v>
      </c>
      <c r="C5" s="2">
        <v>45749</v>
      </c>
      <c r="D5" t="s">
        <v>646</v>
      </c>
      <c r="E5" t="s">
        <v>651</v>
      </c>
      <c r="F5" t="s">
        <v>665</v>
      </c>
      <c r="G5" t="s">
        <v>703</v>
      </c>
      <c r="H5" t="s">
        <v>709</v>
      </c>
      <c r="I5" t="s">
        <v>715</v>
      </c>
      <c r="J5" t="s">
        <v>730</v>
      </c>
      <c r="K5" t="s">
        <v>737</v>
      </c>
      <c r="L5">
        <v>259.93</v>
      </c>
      <c r="M5">
        <v>255.94</v>
      </c>
      <c r="N5">
        <v>7.1999999999999995E-2</v>
      </c>
      <c r="O5">
        <v>22</v>
      </c>
    </row>
    <row r="6" spans="1:15" x14ac:dyDescent="0.3">
      <c r="A6" t="s">
        <v>19</v>
      </c>
      <c r="B6" s="2">
        <v>45266</v>
      </c>
      <c r="C6" s="2">
        <v>45291</v>
      </c>
      <c r="D6" t="s">
        <v>647</v>
      </c>
      <c r="E6" t="s">
        <v>652</v>
      </c>
      <c r="F6" t="s">
        <v>666</v>
      </c>
      <c r="G6" t="s">
        <v>704</v>
      </c>
      <c r="H6" t="s">
        <v>707</v>
      </c>
      <c r="I6" t="s">
        <v>716</v>
      </c>
      <c r="J6" t="s">
        <v>728</v>
      </c>
      <c r="K6" t="s">
        <v>738</v>
      </c>
      <c r="L6">
        <v>663.03</v>
      </c>
      <c r="M6">
        <v>813.51</v>
      </c>
      <c r="N6">
        <v>0.10199999999999999</v>
      </c>
      <c r="O6">
        <v>15</v>
      </c>
    </row>
    <row r="7" spans="1:15" x14ac:dyDescent="0.3">
      <c r="A7" t="s">
        <v>20</v>
      </c>
      <c r="B7" s="2">
        <v>44928</v>
      </c>
      <c r="C7" s="2">
        <v>44931</v>
      </c>
      <c r="D7" t="s">
        <v>648</v>
      </c>
      <c r="E7" t="s">
        <v>653</v>
      </c>
      <c r="F7" t="s">
        <v>667</v>
      </c>
      <c r="G7" t="s">
        <v>701</v>
      </c>
      <c r="H7" t="s">
        <v>710</v>
      </c>
      <c r="I7" t="s">
        <v>717</v>
      </c>
      <c r="J7" t="s">
        <v>731</v>
      </c>
      <c r="K7" t="s">
        <v>739</v>
      </c>
      <c r="L7">
        <v>315.87</v>
      </c>
      <c r="M7">
        <v>591.67999999999995</v>
      </c>
      <c r="N7">
        <v>0</v>
      </c>
      <c r="O7">
        <v>7</v>
      </c>
    </row>
    <row r="8" spans="1:15" x14ac:dyDescent="0.3">
      <c r="A8" t="s">
        <v>21</v>
      </c>
      <c r="B8" s="2">
        <v>45653</v>
      </c>
      <c r="C8" s="2">
        <v>45671</v>
      </c>
      <c r="D8" t="s">
        <v>647</v>
      </c>
      <c r="E8" t="s">
        <v>654</v>
      </c>
      <c r="F8" t="s">
        <v>668</v>
      </c>
      <c r="G8" t="s">
        <v>705</v>
      </c>
      <c r="H8" t="s">
        <v>709</v>
      </c>
      <c r="I8" t="s">
        <v>718</v>
      </c>
      <c r="J8" t="s">
        <v>732</v>
      </c>
      <c r="K8" t="s">
        <v>740</v>
      </c>
      <c r="L8">
        <v>586.07000000000005</v>
      </c>
      <c r="M8">
        <v>845.97</v>
      </c>
      <c r="N8">
        <v>0.14699999999999999</v>
      </c>
      <c r="O8">
        <v>4</v>
      </c>
    </row>
    <row r="9" spans="1:15" x14ac:dyDescent="0.3">
      <c r="A9" t="s">
        <v>22</v>
      </c>
      <c r="B9" s="2">
        <v>44941</v>
      </c>
      <c r="C9" s="2">
        <v>44939</v>
      </c>
      <c r="D9" t="s">
        <v>646</v>
      </c>
      <c r="E9" t="s">
        <v>651</v>
      </c>
      <c r="F9" t="s">
        <v>669</v>
      </c>
      <c r="G9" t="s">
        <v>702</v>
      </c>
      <c r="H9" t="s">
        <v>708</v>
      </c>
      <c r="I9" t="s">
        <v>719</v>
      </c>
      <c r="J9" t="s">
        <v>728</v>
      </c>
      <c r="K9" t="s">
        <v>741</v>
      </c>
      <c r="L9">
        <v>28.38</v>
      </c>
      <c r="M9">
        <v>47.22</v>
      </c>
      <c r="N9">
        <v>0.19400000000000001</v>
      </c>
      <c r="O9">
        <v>18</v>
      </c>
    </row>
    <row r="10" spans="1:15" x14ac:dyDescent="0.3">
      <c r="A10" t="s">
        <v>23</v>
      </c>
      <c r="B10" s="2">
        <v>45416</v>
      </c>
      <c r="C10" s="2">
        <v>45441</v>
      </c>
      <c r="D10" t="s">
        <v>646</v>
      </c>
      <c r="E10" t="s">
        <v>651</v>
      </c>
      <c r="F10" t="s">
        <v>669</v>
      </c>
      <c r="G10" t="s">
        <v>703</v>
      </c>
      <c r="H10" t="s">
        <v>709</v>
      </c>
      <c r="I10" t="s">
        <v>719</v>
      </c>
      <c r="J10" t="s">
        <v>732</v>
      </c>
      <c r="K10" t="s">
        <v>742</v>
      </c>
      <c r="L10">
        <v>1295.3399999999999</v>
      </c>
      <c r="M10">
        <v>2530.81</v>
      </c>
      <c r="N10">
        <v>3.1E-2</v>
      </c>
      <c r="O10">
        <v>6</v>
      </c>
    </row>
    <row r="11" spans="1:15" x14ac:dyDescent="0.3">
      <c r="A11" t="s">
        <v>24</v>
      </c>
      <c r="B11" s="2">
        <v>45798</v>
      </c>
      <c r="C11" s="2">
        <v>45817</v>
      </c>
      <c r="D11" t="s">
        <v>648</v>
      </c>
      <c r="E11" t="s">
        <v>655</v>
      </c>
      <c r="F11" t="s">
        <v>670</v>
      </c>
      <c r="G11" t="s">
        <v>703</v>
      </c>
      <c r="H11" t="s">
        <v>708</v>
      </c>
      <c r="I11" t="s">
        <v>720</v>
      </c>
      <c r="J11" t="s">
        <v>727</v>
      </c>
      <c r="K11" t="s">
        <v>743</v>
      </c>
      <c r="L11">
        <v>1331.38</v>
      </c>
      <c r="M11">
        <v>2309.56</v>
      </c>
      <c r="N11">
        <v>0.14899999999999999</v>
      </c>
      <c r="O11">
        <v>31</v>
      </c>
    </row>
    <row r="12" spans="1:15" x14ac:dyDescent="0.3">
      <c r="A12" t="s">
        <v>25</v>
      </c>
      <c r="B12" s="2">
        <v>45319</v>
      </c>
      <c r="C12" s="2">
        <v>45331</v>
      </c>
      <c r="D12" t="s">
        <v>649</v>
      </c>
      <c r="E12" t="s">
        <v>656</v>
      </c>
      <c r="F12" t="s">
        <v>671</v>
      </c>
      <c r="G12" t="s">
        <v>701</v>
      </c>
      <c r="H12" t="s">
        <v>708</v>
      </c>
      <c r="I12" t="s">
        <v>715</v>
      </c>
      <c r="J12" t="s">
        <v>733</v>
      </c>
      <c r="K12" t="s">
        <v>744</v>
      </c>
      <c r="L12">
        <v>644.16999999999996</v>
      </c>
      <c r="M12">
        <v>700.12</v>
      </c>
      <c r="N12">
        <v>6.0000000000000001E-3</v>
      </c>
      <c r="O12">
        <v>23</v>
      </c>
    </row>
    <row r="13" spans="1:15" x14ac:dyDescent="0.3">
      <c r="A13" t="s">
        <v>26</v>
      </c>
      <c r="B13" s="2">
        <v>45660</v>
      </c>
      <c r="C13" s="2">
        <v>45680</v>
      </c>
      <c r="D13" t="s">
        <v>647</v>
      </c>
      <c r="E13" t="s">
        <v>652</v>
      </c>
      <c r="F13" t="s">
        <v>666</v>
      </c>
      <c r="G13" t="s">
        <v>701</v>
      </c>
      <c r="H13" t="s">
        <v>710</v>
      </c>
      <c r="I13" t="s">
        <v>721</v>
      </c>
      <c r="J13" t="s">
        <v>730</v>
      </c>
      <c r="K13" t="s">
        <v>745</v>
      </c>
      <c r="L13">
        <v>908.6</v>
      </c>
      <c r="M13">
        <v>691.37</v>
      </c>
      <c r="N13">
        <v>0.25</v>
      </c>
      <c r="O13">
        <v>20</v>
      </c>
    </row>
    <row r="14" spans="1:15" x14ac:dyDescent="0.3">
      <c r="A14" t="s">
        <v>27</v>
      </c>
      <c r="B14" s="2">
        <v>45722</v>
      </c>
      <c r="C14" s="2">
        <v>45747</v>
      </c>
      <c r="D14" t="s">
        <v>648</v>
      </c>
      <c r="E14" t="s">
        <v>655</v>
      </c>
      <c r="F14" t="s">
        <v>672</v>
      </c>
      <c r="G14" t="s">
        <v>703</v>
      </c>
      <c r="H14" t="s">
        <v>708</v>
      </c>
      <c r="I14" t="s">
        <v>713</v>
      </c>
      <c r="J14" t="s">
        <v>727</v>
      </c>
      <c r="K14" t="s">
        <v>746</v>
      </c>
      <c r="L14">
        <v>331.57</v>
      </c>
      <c r="M14">
        <v>548.4</v>
      </c>
      <c r="N14">
        <v>9.4E-2</v>
      </c>
      <c r="O14">
        <v>10</v>
      </c>
    </row>
    <row r="15" spans="1:15" x14ac:dyDescent="0.3">
      <c r="A15" t="s">
        <v>28</v>
      </c>
      <c r="B15" s="2">
        <v>45311</v>
      </c>
      <c r="C15" s="2">
        <v>45335</v>
      </c>
      <c r="D15" t="s">
        <v>649</v>
      </c>
      <c r="E15" t="s">
        <v>657</v>
      </c>
      <c r="F15" t="s">
        <v>673</v>
      </c>
      <c r="G15" t="s">
        <v>701</v>
      </c>
      <c r="H15" t="s">
        <v>707</v>
      </c>
      <c r="I15" t="s">
        <v>722</v>
      </c>
      <c r="J15" t="s">
        <v>728</v>
      </c>
      <c r="K15" t="s">
        <v>747</v>
      </c>
      <c r="L15">
        <v>643.53</v>
      </c>
      <c r="M15">
        <v>1439.01</v>
      </c>
      <c r="N15">
        <v>0</v>
      </c>
      <c r="O15">
        <v>15</v>
      </c>
    </row>
    <row r="16" spans="1:15" x14ac:dyDescent="0.3">
      <c r="A16" t="s">
        <v>29</v>
      </c>
      <c r="B16" s="2">
        <v>45901</v>
      </c>
      <c r="C16" s="2">
        <v>45930</v>
      </c>
      <c r="D16" t="s">
        <v>648</v>
      </c>
      <c r="E16" t="s">
        <v>655</v>
      </c>
      <c r="F16" t="s">
        <v>672</v>
      </c>
      <c r="G16" t="s">
        <v>702</v>
      </c>
      <c r="H16" t="s">
        <v>707</v>
      </c>
      <c r="I16" t="s">
        <v>723</v>
      </c>
      <c r="J16" t="s">
        <v>733</v>
      </c>
      <c r="K16" t="s">
        <v>748</v>
      </c>
      <c r="L16">
        <v>780.59</v>
      </c>
      <c r="M16">
        <v>631.57000000000005</v>
      </c>
      <c r="N16">
        <v>0</v>
      </c>
      <c r="O16">
        <v>12</v>
      </c>
    </row>
    <row r="17" spans="1:15" x14ac:dyDescent="0.3">
      <c r="A17" t="s">
        <v>30</v>
      </c>
      <c r="B17" s="2">
        <v>45039</v>
      </c>
      <c r="C17" s="2">
        <v>45038</v>
      </c>
      <c r="D17" t="s">
        <v>646</v>
      </c>
      <c r="E17" t="s">
        <v>650</v>
      </c>
      <c r="F17" t="s">
        <v>664</v>
      </c>
      <c r="G17" t="s">
        <v>705</v>
      </c>
      <c r="H17" t="s">
        <v>711</v>
      </c>
      <c r="I17" t="s">
        <v>718</v>
      </c>
      <c r="J17" t="s">
        <v>731</v>
      </c>
      <c r="K17" t="s">
        <v>749</v>
      </c>
      <c r="L17">
        <v>756.51</v>
      </c>
      <c r="M17">
        <v>850.8</v>
      </c>
      <c r="N17">
        <v>7.3999999999999996E-2</v>
      </c>
      <c r="O17">
        <v>9</v>
      </c>
    </row>
    <row r="18" spans="1:15" x14ac:dyDescent="0.3">
      <c r="A18" t="s">
        <v>31</v>
      </c>
      <c r="B18" s="2">
        <v>45636</v>
      </c>
      <c r="C18" s="2">
        <v>45665</v>
      </c>
      <c r="D18" t="s">
        <v>649</v>
      </c>
      <c r="E18" t="s">
        <v>657</v>
      </c>
      <c r="F18" t="s">
        <v>673</v>
      </c>
      <c r="G18" t="s">
        <v>705</v>
      </c>
      <c r="H18" t="s">
        <v>707</v>
      </c>
      <c r="I18" t="s">
        <v>723</v>
      </c>
      <c r="J18" t="s">
        <v>728</v>
      </c>
      <c r="K18" t="s">
        <v>750</v>
      </c>
      <c r="L18">
        <v>891.08</v>
      </c>
      <c r="M18">
        <v>1040.0999999999999</v>
      </c>
      <c r="N18">
        <v>0.109</v>
      </c>
      <c r="O18">
        <v>28</v>
      </c>
    </row>
    <row r="19" spans="1:15" x14ac:dyDescent="0.3">
      <c r="A19" t="s">
        <v>32</v>
      </c>
      <c r="B19" s="2">
        <v>45908</v>
      </c>
      <c r="C19" s="2">
        <v>45916</v>
      </c>
      <c r="D19" t="s">
        <v>647</v>
      </c>
      <c r="E19" t="s">
        <v>652</v>
      </c>
      <c r="F19" t="s">
        <v>666</v>
      </c>
      <c r="G19" t="s">
        <v>701</v>
      </c>
      <c r="H19" t="s">
        <v>710</v>
      </c>
      <c r="I19" t="s">
        <v>712</v>
      </c>
      <c r="J19" t="s">
        <v>730</v>
      </c>
      <c r="K19" t="s">
        <v>751</v>
      </c>
      <c r="L19">
        <v>1225.57</v>
      </c>
      <c r="M19">
        <v>2705.57</v>
      </c>
      <c r="N19">
        <v>0.183</v>
      </c>
      <c r="O19">
        <v>16</v>
      </c>
    </row>
    <row r="20" spans="1:15" x14ac:dyDescent="0.3">
      <c r="A20" t="s">
        <v>33</v>
      </c>
      <c r="B20" s="2">
        <v>45858</v>
      </c>
      <c r="C20" s="2">
        <v>45874</v>
      </c>
      <c r="D20" t="s">
        <v>648</v>
      </c>
      <c r="E20" t="s">
        <v>655</v>
      </c>
      <c r="F20" t="s">
        <v>672</v>
      </c>
      <c r="G20" t="s">
        <v>706</v>
      </c>
      <c r="H20" t="s">
        <v>709</v>
      </c>
      <c r="I20" t="s">
        <v>715</v>
      </c>
      <c r="J20" t="s">
        <v>733</v>
      </c>
      <c r="K20" t="s">
        <v>752</v>
      </c>
      <c r="L20">
        <v>1068.17</v>
      </c>
      <c r="M20">
        <v>2375.37</v>
      </c>
      <c r="N20">
        <v>0.109</v>
      </c>
      <c r="O20">
        <v>18</v>
      </c>
    </row>
    <row r="21" spans="1:15" x14ac:dyDescent="0.3">
      <c r="A21" t="s">
        <v>34</v>
      </c>
      <c r="B21" s="2">
        <v>45798</v>
      </c>
      <c r="C21" s="2">
        <v>45796</v>
      </c>
      <c r="D21" t="s">
        <v>649</v>
      </c>
      <c r="E21" t="s">
        <v>658</v>
      </c>
      <c r="F21" t="s">
        <v>674</v>
      </c>
      <c r="G21" t="s">
        <v>706</v>
      </c>
      <c r="H21" t="s">
        <v>708</v>
      </c>
      <c r="I21" t="s">
        <v>724</v>
      </c>
      <c r="J21" t="s">
        <v>731</v>
      </c>
      <c r="K21" t="s">
        <v>753</v>
      </c>
      <c r="L21">
        <v>1015.16</v>
      </c>
      <c r="M21">
        <v>2148.14</v>
      </c>
      <c r="N21">
        <v>3.7999999999999999E-2</v>
      </c>
      <c r="O21">
        <v>19</v>
      </c>
    </row>
    <row r="22" spans="1:15" x14ac:dyDescent="0.3">
      <c r="A22" t="s">
        <v>35</v>
      </c>
      <c r="B22" s="2">
        <v>45498</v>
      </c>
      <c r="C22" s="2">
        <v>45497</v>
      </c>
      <c r="D22" t="s">
        <v>646</v>
      </c>
      <c r="E22" t="s">
        <v>650</v>
      </c>
      <c r="F22" t="s">
        <v>675</v>
      </c>
      <c r="G22" t="s">
        <v>703</v>
      </c>
      <c r="H22" t="s">
        <v>711</v>
      </c>
      <c r="I22" t="s">
        <v>713</v>
      </c>
      <c r="J22" t="s">
        <v>731</v>
      </c>
      <c r="K22" t="s">
        <v>754</v>
      </c>
      <c r="L22">
        <v>1494.4</v>
      </c>
      <c r="M22">
        <v>3661.07</v>
      </c>
      <c r="N22">
        <v>7.1999999999999995E-2</v>
      </c>
      <c r="O22">
        <v>7</v>
      </c>
    </row>
    <row r="23" spans="1:15" x14ac:dyDescent="0.3">
      <c r="A23" t="s">
        <v>36</v>
      </c>
      <c r="B23" s="2">
        <v>45057</v>
      </c>
      <c r="C23" s="2">
        <v>45074</v>
      </c>
      <c r="D23" t="s">
        <v>647</v>
      </c>
      <c r="E23" t="s">
        <v>659</v>
      </c>
      <c r="F23" t="s">
        <v>676</v>
      </c>
      <c r="G23" t="s">
        <v>706</v>
      </c>
      <c r="H23" t="s">
        <v>709</v>
      </c>
      <c r="I23" t="s">
        <v>718</v>
      </c>
      <c r="J23" t="s">
        <v>729</v>
      </c>
      <c r="K23" t="s">
        <v>755</v>
      </c>
      <c r="L23">
        <v>1331.19</v>
      </c>
      <c r="M23">
        <v>2903.09</v>
      </c>
      <c r="N23">
        <v>0.14299999999999999</v>
      </c>
      <c r="O23">
        <v>8</v>
      </c>
    </row>
    <row r="24" spans="1:15" x14ac:dyDescent="0.3">
      <c r="A24" t="s">
        <v>37</v>
      </c>
      <c r="B24" s="2">
        <v>45822</v>
      </c>
      <c r="C24" s="2">
        <v>45837</v>
      </c>
      <c r="D24" t="s">
        <v>646</v>
      </c>
      <c r="E24" t="s">
        <v>651</v>
      </c>
      <c r="F24" t="s">
        <v>663</v>
      </c>
      <c r="G24" t="s">
        <v>704</v>
      </c>
      <c r="H24" t="s">
        <v>709</v>
      </c>
      <c r="I24" t="s">
        <v>724</v>
      </c>
      <c r="J24" t="s">
        <v>733</v>
      </c>
      <c r="K24" t="s">
        <v>756</v>
      </c>
      <c r="L24">
        <v>730.99</v>
      </c>
      <c r="M24">
        <v>1242.8399999999999</v>
      </c>
      <c r="N24">
        <v>0.12</v>
      </c>
      <c r="O24">
        <v>10</v>
      </c>
    </row>
    <row r="25" spans="1:15" x14ac:dyDescent="0.3">
      <c r="A25" t="s">
        <v>38</v>
      </c>
      <c r="B25" s="2">
        <v>45430</v>
      </c>
      <c r="C25" s="2">
        <v>45435</v>
      </c>
      <c r="D25" t="s">
        <v>648</v>
      </c>
      <c r="E25" t="s">
        <v>660</v>
      </c>
      <c r="F25" t="s">
        <v>677</v>
      </c>
      <c r="G25" t="s">
        <v>706</v>
      </c>
      <c r="H25" t="s">
        <v>707</v>
      </c>
      <c r="I25" t="s">
        <v>722</v>
      </c>
      <c r="J25" t="s">
        <v>731</v>
      </c>
      <c r="K25" t="s">
        <v>757</v>
      </c>
      <c r="L25">
        <v>1274.5899999999999</v>
      </c>
      <c r="M25">
        <v>2553.69</v>
      </c>
      <c r="N25">
        <v>0.01</v>
      </c>
      <c r="O25">
        <v>8</v>
      </c>
    </row>
    <row r="26" spans="1:15" x14ac:dyDescent="0.3">
      <c r="A26" t="s">
        <v>39</v>
      </c>
      <c r="B26" s="2">
        <v>44964</v>
      </c>
      <c r="C26" s="2">
        <v>44969</v>
      </c>
      <c r="D26" t="s">
        <v>648</v>
      </c>
      <c r="E26" t="s">
        <v>655</v>
      </c>
      <c r="F26" t="s">
        <v>670</v>
      </c>
      <c r="G26" t="s">
        <v>702</v>
      </c>
      <c r="H26" t="s">
        <v>708</v>
      </c>
      <c r="I26" t="s">
        <v>725</v>
      </c>
      <c r="J26" t="s">
        <v>727</v>
      </c>
      <c r="K26" t="s">
        <v>758</v>
      </c>
      <c r="L26">
        <v>948.55</v>
      </c>
      <c r="M26">
        <v>2089.16</v>
      </c>
      <c r="N26">
        <v>7.0000000000000001E-3</v>
      </c>
      <c r="O26">
        <v>12</v>
      </c>
    </row>
    <row r="27" spans="1:15" x14ac:dyDescent="0.3">
      <c r="A27" t="s">
        <v>40</v>
      </c>
      <c r="B27" s="2">
        <v>45473</v>
      </c>
      <c r="C27" s="2">
        <v>45487</v>
      </c>
      <c r="D27" t="s">
        <v>648</v>
      </c>
      <c r="E27" t="s">
        <v>655</v>
      </c>
      <c r="F27" t="s">
        <v>672</v>
      </c>
      <c r="G27" t="s">
        <v>702</v>
      </c>
      <c r="H27" t="s">
        <v>707</v>
      </c>
      <c r="I27" t="s">
        <v>712</v>
      </c>
      <c r="J27" t="s">
        <v>733</v>
      </c>
      <c r="K27" t="s">
        <v>759</v>
      </c>
      <c r="L27">
        <v>1491.85</v>
      </c>
      <c r="M27">
        <v>2583.02</v>
      </c>
      <c r="N27">
        <v>0.16800000000000001</v>
      </c>
      <c r="O27">
        <v>4</v>
      </c>
    </row>
    <row r="28" spans="1:15" x14ac:dyDescent="0.3">
      <c r="A28" t="s">
        <v>41</v>
      </c>
      <c r="B28" s="2">
        <v>45626</v>
      </c>
      <c r="C28" s="2">
        <v>45656</v>
      </c>
      <c r="D28" t="s">
        <v>649</v>
      </c>
      <c r="E28" t="s">
        <v>657</v>
      </c>
      <c r="F28" t="s">
        <v>673</v>
      </c>
      <c r="G28" t="s">
        <v>704</v>
      </c>
      <c r="H28" t="s">
        <v>709</v>
      </c>
      <c r="I28" t="s">
        <v>721</v>
      </c>
      <c r="J28" t="s">
        <v>728</v>
      </c>
      <c r="K28" t="s">
        <v>760</v>
      </c>
      <c r="L28">
        <v>117.64</v>
      </c>
      <c r="M28">
        <v>175.67</v>
      </c>
      <c r="N28">
        <v>0</v>
      </c>
      <c r="O28">
        <v>10</v>
      </c>
    </row>
    <row r="29" spans="1:15" x14ac:dyDescent="0.3">
      <c r="A29" t="s">
        <v>42</v>
      </c>
      <c r="B29" s="2">
        <v>45492</v>
      </c>
      <c r="C29" s="2">
        <v>45492</v>
      </c>
      <c r="D29" t="s">
        <v>646</v>
      </c>
      <c r="E29" t="s">
        <v>650</v>
      </c>
      <c r="F29" t="s">
        <v>662</v>
      </c>
      <c r="G29" t="s">
        <v>705</v>
      </c>
      <c r="H29" t="s">
        <v>707</v>
      </c>
      <c r="I29" t="s">
        <v>720</v>
      </c>
      <c r="J29" t="s">
        <v>730</v>
      </c>
      <c r="K29" t="s">
        <v>761</v>
      </c>
      <c r="L29">
        <v>857.24</v>
      </c>
      <c r="M29">
        <v>758.23</v>
      </c>
      <c r="N29">
        <v>0.125</v>
      </c>
      <c r="O29">
        <v>6</v>
      </c>
    </row>
    <row r="30" spans="1:15" x14ac:dyDescent="0.3">
      <c r="A30" t="s">
        <v>43</v>
      </c>
      <c r="B30" s="2">
        <v>45030</v>
      </c>
      <c r="C30" s="2">
        <v>45060</v>
      </c>
      <c r="D30" t="s">
        <v>646</v>
      </c>
      <c r="E30" t="s">
        <v>650</v>
      </c>
      <c r="F30" t="s">
        <v>678</v>
      </c>
      <c r="G30" t="s">
        <v>704</v>
      </c>
      <c r="H30" t="s">
        <v>709</v>
      </c>
      <c r="I30" t="s">
        <v>724</v>
      </c>
      <c r="J30" t="s">
        <v>730</v>
      </c>
      <c r="K30" t="s">
        <v>762</v>
      </c>
      <c r="L30">
        <v>209.25</v>
      </c>
      <c r="M30">
        <v>434.8</v>
      </c>
      <c r="N30">
        <v>0</v>
      </c>
      <c r="O30">
        <v>9</v>
      </c>
    </row>
    <row r="31" spans="1:15" x14ac:dyDescent="0.3">
      <c r="A31" t="s">
        <v>44</v>
      </c>
      <c r="B31" s="2">
        <v>45754</v>
      </c>
      <c r="C31" s="2">
        <v>45758</v>
      </c>
      <c r="D31" t="s">
        <v>649</v>
      </c>
      <c r="E31" t="s">
        <v>657</v>
      </c>
      <c r="F31" t="s">
        <v>679</v>
      </c>
      <c r="G31" t="s">
        <v>702</v>
      </c>
      <c r="H31" t="s">
        <v>707</v>
      </c>
      <c r="I31" t="s">
        <v>718</v>
      </c>
      <c r="J31" t="s">
        <v>729</v>
      </c>
      <c r="K31" t="s">
        <v>763</v>
      </c>
      <c r="L31">
        <v>754.77</v>
      </c>
      <c r="M31">
        <v>1666.18</v>
      </c>
      <c r="N31">
        <v>0.13900000000000001</v>
      </c>
      <c r="O31">
        <v>14</v>
      </c>
    </row>
    <row r="32" spans="1:15" x14ac:dyDescent="0.3">
      <c r="A32" t="s">
        <v>45</v>
      </c>
      <c r="B32" s="2">
        <v>45653</v>
      </c>
      <c r="C32" s="2">
        <v>45672</v>
      </c>
      <c r="D32" t="s">
        <v>647</v>
      </c>
      <c r="E32" t="s">
        <v>654</v>
      </c>
      <c r="F32" t="s">
        <v>680</v>
      </c>
      <c r="G32" t="s">
        <v>703</v>
      </c>
      <c r="H32" t="s">
        <v>710</v>
      </c>
      <c r="I32" t="s">
        <v>715</v>
      </c>
      <c r="J32" t="s">
        <v>727</v>
      </c>
      <c r="K32" t="s">
        <v>764</v>
      </c>
      <c r="L32">
        <v>495.59</v>
      </c>
      <c r="M32">
        <v>631.78</v>
      </c>
      <c r="N32">
        <v>8.6999999999999994E-2</v>
      </c>
      <c r="O32">
        <v>17</v>
      </c>
    </row>
    <row r="33" spans="1:15" x14ac:dyDescent="0.3">
      <c r="A33" t="s">
        <v>46</v>
      </c>
      <c r="B33" s="2">
        <v>44980</v>
      </c>
      <c r="C33" s="2">
        <v>45010</v>
      </c>
      <c r="D33" t="s">
        <v>648</v>
      </c>
      <c r="E33" t="s">
        <v>653</v>
      </c>
      <c r="F33" t="s">
        <v>681</v>
      </c>
      <c r="G33" t="s">
        <v>706</v>
      </c>
      <c r="H33" t="s">
        <v>708</v>
      </c>
      <c r="I33" t="s">
        <v>726</v>
      </c>
      <c r="J33" t="s">
        <v>730</v>
      </c>
      <c r="K33" t="s">
        <v>765</v>
      </c>
      <c r="L33">
        <v>1242.6600000000001</v>
      </c>
      <c r="M33">
        <v>1794.07</v>
      </c>
      <c r="N33">
        <v>8.8999999999999996E-2</v>
      </c>
      <c r="O33">
        <v>16</v>
      </c>
    </row>
    <row r="34" spans="1:15" x14ac:dyDescent="0.3">
      <c r="A34" t="s">
        <v>47</v>
      </c>
      <c r="B34" s="2">
        <v>45862</v>
      </c>
      <c r="C34" s="2">
        <v>45875</v>
      </c>
      <c r="D34" t="s">
        <v>646</v>
      </c>
      <c r="E34" t="s">
        <v>661</v>
      </c>
      <c r="F34" t="s">
        <v>682</v>
      </c>
      <c r="G34" t="s">
        <v>702</v>
      </c>
      <c r="H34" t="s">
        <v>709</v>
      </c>
      <c r="I34" t="s">
        <v>726</v>
      </c>
      <c r="J34" t="s">
        <v>729</v>
      </c>
      <c r="K34" t="s">
        <v>766</v>
      </c>
      <c r="L34">
        <v>1463.9</v>
      </c>
      <c r="M34">
        <v>2633.02</v>
      </c>
      <c r="N34">
        <v>8.4000000000000005E-2</v>
      </c>
      <c r="O34">
        <v>4</v>
      </c>
    </row>
    <row r="35" spans="1:15" x14ac:dyDescent="0.3">
      <c r="A35" t="s">
        <v>48</v>
      </c>
      <c r="B35" s="2">
        <v>45400</v>
      </c>
      <c r="C35" s="2">
        <v>45420</v>
      </c>
      <c r="D35" t="s">
        <v>649</v>
      </c>
      <c r="E35" t="s">
        <v>658</v>
      </c>
      <c r="F35" t="s">
        <v>683</v>
      </c>
      <c r="G35" t="s">
        <v>703</v>
      </c>
      <c r="I35" t="s">
        <v>726</v>
      </c>
      <c r="J35" t="s">
        <v>731</v>
      </c>
      <c r="K35" t="s">
        <v>767</v>
      </c>
      <c r="L35">
        <v>645.33000000000004</v>
      </c>
      <c r="M35">
        <v>1321.85</v>
      </c>
      <c r="N35">
        <v>0</v>
      </c>
      <c r="O35">
        <v>10</v>
      </c>
    </row>
    <row r="36" spans="1:15" x14ac:dyDescent="0.3">
      <c r="A36" t="s">
        <v>49</v>
      </c>
      <c r="B36" s="2">
        <v>45527</v>
      </c>
      <c r="C36" s="2">
        <v>45525</v>
      </c>
      <c r="D36" t="s">
        <v>646</v>
      </c>
      <c r="E36" t="s">
        <v>661</v>
      </c>
      <c r="F36" t="s">
        <v>682</v>
      </c>
      <c r="G36" t="s">
        <v>702</v>
      </c>
      <c r="H36" t="s">
        <v>707</v>
      </c>
      <c r="I36" t="s">
        <v>718</v>
      </c>
      <c r="J36" t="s">
        <v>727</v>
      </c>
      <c r="K36" t="s">
        <v>768</v>
      </c>
      <c r="L36">
        <v>1432.52</v>
      </c>
      <c r="M36">
        <v>3036.87</v>
      </c>
      <c r="N36">
        <v>0</v>
      </c>
      <c r="O36">
        <v>9</v>
      </c>
    </row>
    <row r="37" spans="1:15" x14ac:dyDescent="0.3">
      <c r="A37" t="s">
        <v>50</v>
      </c>
      <c r="B37" s="2">
        <v>45012</v>
      </c>
      <c r="C37" s="2">
        <v>45038</v>
      </c>
      <c r="D37" t="s">
        <v>647</v>
      </c>
      <c r="E37" t="s">
        <v>654</v>
      </c>
      <c r="F37" t="s">
        <v>680</v>
      </c>
      <c r="G37" t="s">
        <v>703</v>
      </c>
      <c r="H37" t="s">
        <v>709</v>
      </c>
      <c r="I37" t="s">
        <v>713</v>
      </c>
      <c r="J37" t="s">
        <v>728</v>
      </c>
      <c r="K37" t="s">
        <v>769</v>
      </c>
      <c r="L37">
        <v>178.53</v>
      </c>
      <c r="M37">
        <v>199.37</v>
      </c>
      <c r="N37">
        <v>0.10100000000000001</v>
      </c>
      <c r="O37">
        <v>37</v>
      </c>
    </row>
    <row r="38" spans="1:15" x14ac:dyDescent="0.3">
      <c r="A38" t="s">
        <v>51</v>
      </c>
      <c r="B38" s="2">
        <v>45358</v>
      </c>
      <c r="C38" s="2">
        <v>45376</v>
      </c>
      <c r="D38" t="s">
        <v>649</v>
      </c>
      <c r="E38" t="s">
        <v>656</v>
      </c>
      <c r="F38" t="s">
        <v>684</v>
      </c>
      <c r="G38" t="s">
        <v>701</v>
      </c>
      <c r="H38" t="s">
        <v>708</v>
      </c>
      <c r="I38" t="s">
        <v>717</v>
      </c>
      <c r="J38" t="s">
        <v>727</v>
      </c>
      <c r="K38" t="s">
        <v>770</v>
      </c>
      <c r="L38">
        <v>712.84</v>
      </c>
      <c r="M38">
        <v>927.51</v>
      </c>
      <c r="N38">
        <v>0.24299999999999999</v>
      </c>
      <c r="O38">
        <v>27</v>
      </c>
    </row>
    <row r="39" spans="1:15" x14ac:dyDescent="0.3">
      <c r="A39" t="s">
        <v>52</v>
      </c>
      <c r="B39" s="2">
        <v>45832</v>
      </c>
      <c r="C39" s="2">
        <v>45848</v>
      </c>
      <c r="D39" t="s">
        <v>647</v>
      </c>
      <c r="E39" t="s">
        <v>659</v>
      </c>
      <c r="F39" t="s">
        <v>685</v>
      </c>
      <c r="G39" t="s">
        <v>706</v>
      </c>
      <c r="H39" t="s">
        <v>711</v>
      </c>
      <c r="I39" t="s">
        <v>725</v>
      </c>
      <c r="J39" t="s">
        <v>727</v>
      </c>
      <c r="K39" t="s">
        <v>771</v>
      </c>
      <c r="L39">
        <v>757.19</v>
      </c>
      <c r="M39">
        <v>1735.41</v>
      </c>
      <c r="N39">
        <v>0.13600000000000001</v>
      </c>
      <c r="O39">
        <v>8</v>
      </c>
    </row>
    <row r="40" spans="1:15" x14ac:dyDescent="0.3">
      <c r="A40" t="s">
        <v>53</v>
      </c>
      <c r="B40" s="2">
        <v>45401</v>
      </c>
      <c r="C40" s="2">
        <v>45418</v>
      </c>
      <c r="D40" t="s">
        <v>646</v>
      </c>
      <c r="E40" t="s">
        <v>651</v>
      </c>
      <c r="F40" t="s">
        <v>663</v>
      </c>
      <c r="G40" t="s">
        <v>703</v>
      </c>
      <c r="H40" t="s">
        <v>708</v>
      </c>
      <c r="I40" t="s">
        <v>720</v>
      </c>
      <c r="J40" t="s">
        <v>728</v>
      </c>
      <c r="K40" t="s">
        <v>772</v>
      </c>
      <c r="L40">
        <v>865.33</v>
      </c>
      <c r="M40">
        <v>1395.64</v>
      </c>
      <c r="N40">
        <v>0.17499999999999999</v>
      </c>
      <c r="O40">
        <v>13</v>
      </c>
    </row>
    <row r="41" spans="1:15" x14ac:dyDescent="0.3">
      <c r="A41" t="s">
        <v>54</v>
      </c>
      <c r="B41" s="2">
        <v>45094</v>
      </c>
      <c r="C41" s="2">
        <v>45101</v>
      </c>
      <c r="D41" t="s">
        <v>648</v>
      </c>
      <c r="E41" t="s">
        <v>660</v>
      </c>
      <c r="F41" t="s">
        <v>686</v>
      </c>
      <c r="G41" t="s">
        <v>701</v>
      </c>
      <c r="H41" t="s">
        <v>707</v>
      </c>
      <c r="I41" t="s">
        <v>714</v>
      </c>
      <c r="J41" t="s">
        <v>728</v>
      </c>
      <c r="K41" t="s">
        <v>773</v>
      </c>
      <c r="L41">
        <v>313.99</v>
      </c>
      <c r="M41">
        <v>454.42</v>
      </c>
      <c r="N41">
        <v>0.129</v>
      </c>
      <c r="O41">
        <v>9</v>
      </c>
    </row>
    <row r="42" spans="1:15" x14ac:dyDescent="0.3">
      <c r="A42" t="s">
        <v>55</v>
      </c>
      <c r="B42" s="2">
        <v>45531</v>
      </c>
      <c r="C42" s="2">
        <v>45554</v>
      </c>
      <c r="D42" t="s">
        <v>649</v>
      </c>
      <c r="E42" t="s">
        <v>656</v>
      </c>
      <c r="F42" t="s">
        <v>671</v>
      </c>
      <c r="G42" t="s">
        <v>705</v>
      </c>
      <c r="H42" t="s">
        <v>711</v>
      </c>
      <c r="I42" t="s">
        <v>726</v>
      </c>
      <c r="J42" t="s">
        <v>732</v>
      </c>
      <c r="K42" t="s">
        <v>774</v>
      </c>
      <c r="L42">
        <v>1024.01</v>
      </c>
      <c r="M42">
        <v>1580.97</v>
      </c>
      <c r="N42">
        <v>3.6999999999999998E-2</v>
      </c>
      <c r="O42">
        <v>27</v>
      </c>
    </row>
    <row r="43" spans="1:15" x14ac:dyDescent="0.3">
      <c r="A43" t="s">
        <v>56</v>
      </c>
      <c r="B43" s="2">
        <v>45302</v>
      </c>
      <c r="C43" s="2">
        <v>45324</v>
      </c>
      <c r="D43" t="s">
        <v>646</v>
      </c>
      <c r="E43" t="s">
        <v>661</v>
      </c>
      <c r="F43" t="s">
        <v>687</v>
      </c>
      <c r="G43" t="s">
        <v>704</v>
      </c>
      <c r="H43" t="s">
        <v>708</v>
      </c>
      <c r="I43" t="s">
        <v>723</v>
      </c>
      <c r="J43" t="s">
        <v>729</v>
      </c>
      <c r="K43" t="s">
        <v>775</v>
      </c>
      <c r="L43">
        <v>1206.2</v>
      </c>
      <c r="M43">
        <v>1759.79</v>
      </c>
      <c r="N43">
        <v>0</v>
      </c>
      <c r="O43">
        <v>6</v>
      </c>
    </row>
    <row r="44" spans="1:15" x14ac:dyDescent="0.3">
      <c r="A44" t="s">
        <v>57</v>
      </c>
      <c r="B44" s="2">
        <v>45590</v>
      </c>
      <c r="C44" s="2">
        <v>45610</v>
      </c>
      <c r="D44" t="s">
        <v>646</v>
      </c>
      <c r="E44" t="s">
        <v>650</v>
      </c>
      <c r="F44" t="s">
        <v>675</v>
      </c>
      <c r="G44" t="s">
        <v>701</v>
      </c>
      <c r="H44" t="s">
        <v>711</v>
      </c>
      <c r="I44" t="s">
        <v>722</v>
      </c>
      <c r="J44" t="s">
        <v>728</v>
      </c>
      <c r="K44" t="s">
        <v>776</v>
      </c>
      <c r="L44">
        <v>1396.48</v>
      </c>
      <c r="M44">
        <v>3204.5</v>
      </c>
      <c r="N44">
        <v>0.318</v>
      </c>
      <c r="O44">
        <v>14</v>
      </c>
    </row>
    <row r="45" spans="1:15" x14ac:dyDescent="0.3">
      <c r="A45" t="s">
        <v>58</v>
      </c>
      <c r="B45" s="2">
        <v>45806</v>
      </c>
      <c r="C45" s="2">
        <v>45828</v>
      </c>
      <c r="D45" t="s">
        <v>649</v>
      </c>
      <c r="E45" t="s">
        <v>656</v>
      </c>
      <c r="F45" t="s">
        <v>671</v>
      </c>
      <c r="G45" t="s">
        <v>701</v>
      </c>
      <c r="H45" t="s">
        <v>711</v>
      </c>
      <c r="I45" t="s">
        <v>720</v>
      </c>
      <c r="J45" t="s">
        <v>728</v>
      </c>
      <c r="K45" t="s">
        <v>777</v>
      </c>
      <c r="L45">
        <v>483.47</v>
      </c>
      <c r="M45">
        <v>1135.43</v>
      </c>
      <c r="N45">
        <v>0.14599999999999999</v>
      </c>
      <c r="O45">
        <v>11</v>
      </c>
    </row>
    <row r="46" spans="1:15" x14ac:dyDescent="0.3">
      <c r="A46" t="s">
        <v>59</v>
      </c>
      <c r="B46" s="2">
        <v>45432</v>
      </c>
      <c r="C46" s="2">
        <v>45445</v>
      </c>
      <c r="D46" t="s">
        <v>648</v>
      </c>
      <c r="E46" t="s">
        <v>653</v>
      </c>
      <c r="F46" t="s">
        <v>688</v>
      </c>
      <c r="G46" t="s">
        <v>706</v>
      </c>
      <c r="H46" t="s">
        <v>709</v>
      </c>
      <c r="I46" t="s">
        <v>723</v>
      </c>
      <c r="J46" t="s">
        <v>727</v>
      </c>
      <c r="K46" t="s">
        <v>778</v>
      </c>
      <c r="L46">
        <v>675.43</v>
      </c>
      <c r="M46">
        <v>996.36</v>
      </c>
      <c r="N46">
        <v>0.182</v>
      </c>
      <c r="O46">
        <v>22</v>
      </c>
    </row>
    <row r="47" spans="1:15" x14ac:dyDescent="0.3">
      <c r="A47" t="s">
        <v>60</v>
      </c>
      <c r="B47" s="2">
        <v>45035</v>
      </c>
      <c r="C47" s="2">
        <v>45046</v>
      </c>
      <c r="D47" t="s">
        <v>647</v>
      </c>
      <c r="E47" t="s">
        <v>654</v>
      </c>
      <c r="F47" t="s">
        <v>680</v>
      </c>
      <c r="G47" t="s">
        <v>705</v>
      </c>
      <c r="H47" t="s">
        <v>707</v>
      </c>
      <c r="I47" t="s">
        <v>720</v>
      </c>
      <c r="J47" t="s">
        <v>729</v>
      </c>
      <c r="K47" t="s">
        <v>779</v>
      </c>
      <c r="L47">
        <v>826.55</v>
      </c>
      <c r="M47">
        <v>1397.05</v>
      </c>
      <c r="N47">
        <v>0.16900000000000001</v>
      </c>
      <c r="O47">
        <v>28</v>
      </c>
    </row>
    <row r="48" spans="1:15" x14ac:dyDescent="0.3">
      <c r="A48" t="s">
        <v>61</v>
      </c>
      <c r="B48" s="2">
        <v>45100</v>
      </c>
      <c r="C48" s="2">
        <v>45110</v>
      </c>
      <c r="D48" t="s">
        <v>646</v>
      </c>
      <c r="E48" t="s">
        <v>651</v>
      </c>
      <c r="F48" t="s">
        <v>669</v>
      </c>
      <c r="G48" t="s">
        <v>704</v>
      </c>
      <c r="H48" t="s">
        <v>708</v>
      </c>
      <c r="I48" t="s">
        <v>713</v>
      </c>
      <c r="J48" t="s">
        <v>728</v>
      </c>
      <c r="K48" t="s">
        <v>780</v>
      </c>
      <c r="L48">
        <v>337.75</v>
      </c>
      <c r="M48">
        <v>548.89</v>
      </c>
      <c r="N48">
        <v>0</v>
      </c>
      <c r="O48">
        <v>13</v>
      </c>
    </row>
    <row r="49" spans="1:15" x14ac:dyDescent="0.3">
      <c r="A49" t="s">
        <v>62</v>
      </c>
      <c r="B49" s="2">
        <v>45426</v>
      </c>
      <c r="C49" s="2">
        <v>45440</v>
      </c>
      <c r="D49" t="s">
        <v>649</v>
      </c>
      <c r="E49" t="s">
        <v>658</v>
      </c>
      <c r="F49" t="s">
        <v>674</v>
      </c>
      <c r="G49" t="s">
        <v>704</v>
      </c>
      <c r="H49" t="s">
        <v>707</v>
      </c>
      <c r="I49" t="s">
        <v>717</v>
      </c>
      <c r="J49" t="s">
        <v>729</v>
      </c>
      <c r="K49" t="s">
        <v>781</v>
      </c>
      <c r="L49">
        <v>1421.14</v>
      </c>
      <c r="M49">
        <v>3524</v>
      </c>
      <c r="N49">
        <v>0</v>
      </c>
      <c r="O49">
        <v>31</v>
      </c>
    </row>
    <row r="50" spans="1:15" x14ac:dyDescent="0.3">
      <c r="A50" t="s">
        <v>63</v>
      </c>
      <c r="B50" s="2">
        <v>45579</v>
      </c>
      <c r="C50" s="2">
        <v>45604</v>
      </c>
      <c r="D50" t="s">
        <v>646</v>
      </c>
      <c r="E50" t="s">
        <v>651</v>
      </c>
      <c r="F50" t="s">
        <v>665</v>
      </c>
      <c r="G50" t="s">
        <v>706</v>
      </c>
      <c r="H50" t="s">
        <v>708</v>
      </c>
      <c r="I50" t="s">
        <v>719</v>
      </c>
      <c r="J50" t="s">
        <v>729</v>
      </c>
      <c r="K50" t="s">
        <v>782</v>
      </c>
      <c r="L50">
        <v>859.35</v>
      </c>
      <c r="M50">
        <v>1825.61</v>
      </c>
      <c r="N50">
        <v>0.187</v>
      </c>
      <c r="O50">
        <v>24</v>
      </c>
    </row>
    <row r="51" spans="1:15" x14ac:dyDescent="0.3">
      <c r="A51" t="s">
        <v>64</v>
      </c>
      <c r="B51" s="2">
        <v>45117</v>
      </c>
      <c r="C51" s="2">
        <v>45139</v>
      </c>
      <c r="D51" t="s">
        <v>649</v>
      </c>
      <c r="E51" t="s">
        <v>657</v>
      </c>
      <c r="F51" t="s">
        <v>673</v>
      </c>
      <c r="G51" t="s">
        <v>704</v>
      </c>
      <c r="H51" t="s">
        <v>709</v>
      </c>
      <c r="I51" t="s">
        <v>717</v>
      </c>
      <c r="J51" t="s">
        <v>728</v>
      </c>
      <c r="K51" t="s">
        <v>783</v>
      </c>
      <c r="L51">
        <v>1303.56</v>
      </c>
      <c r="M51">
        <v>1791.37</v>
      </c>
      <c r="N51">
        <v>0.126</v>
      </c>
      <c r="O51">
        <v>22</v>
      </c>
    </row>
    <row r="52" spans="1:15" x14ac:dyDescent="0.3">
      <c r="A52" t="s">
        <v>65</v>
      </c>
      <c r="B52" s="2">
        <v>45602</v>
      </c>
      <c r="C52" s="2">
        <v>45618</v>
      </c>
      <c r="D52" t="s">
        <v>648</v>
      </c>
      <c r="E52" t="s">
        <v>653</v>
      </c>
      <c r="F52" t="s">
        <v>667</v>
      </c>
      <c r="G52" t="s">
        <v>703</v>
      </c>
      <c r="H52" t="s">
        <v>710</v>
      </c>
      <c r="I52" t="s">
        <v>726</v>
      </c>
      <c r="J52" t="s">
        <v>733</v>
      </c>
      <c r="K52" t="s">
        <v>784</v>
      </c>
      <c r="L52">
        <v>1454.11</v>
      </c>
      <c r="M52">
        <v>2629.75</v>
      </c>
      <c r="N52">
        <v>0.29199999999999998</v>
      </c>
      <c r="O52">
        <v>8</v>
      </c>
    </row>
    <row r="53" spans="1:15" x14ac:dyDescent="0.3">
      <c r="A53" t="s">
        <v>66</v>
      </c>
      <c r="B53" s="2">
        <v>45582</v>
      </c>
      <c r="C53" s="2">
        <v>45602</v>
      </c>
      <c r="D53" t="s">
        <v>647</v>
      </c>
      <c r="E53" t="s">
        <v>654</v>
      </c>
      <c r="F53" t="s">
        <v>668</v>
      </c>
      <c r="G53" t="s">
        <v>706</v>
      </c>
      <c r="H53" t="s">
        <v>710</v>
      </c>
      <c r="I53" t="s">
        <v>719</v>
      </c>
      <c r="J53" t="s">
        <v>732</v>
      </c>
      <c r="K53" t="s">
        <v>785</v>
      </c>
      <c r="L53">
        <v>72.94</v>
      </c>
      <c r="M53">
        <v>106.3</v>
      </c>
      <c r="N53">
        <v>0.29499999999999998</v>
      </c>
      <c r="O53">
        <v>8</v>
      </c>
    </row>
    <row r="54" spans="1:15" x14ac:dyDescent="0.3">
      <c r="A54" t="s">
        <v>67</v>
      </c>
      <c r="B54" s="2">
        <v>45016</v>
      </c>
      <c r="C54" s="2">
        <v>45021</v>
      </c>
      <c r="D54" t="s">
        <v>646</v>
      </c>
      <c r="E54" t="s">
        <v>650</v>
      </c>
      <c r="F54" t="s">
        <v>678</v>
      </c>
      <c r="G54" t="s">
        <v>702</v>
      </c>
      <c r="H54" t="s">
        <v>709</v>
      </c>
      <c r="I54" t="s">
        <v>717</v>
      </c>
      <c r="J54" t="s">
        <v>731</v>
      </c>
      <c r="K54" t="s">
        <v>786</v>
      </c>
      <c r="L54">
        <v>533.26</v>
      </c>
      <c r="M54">
        <v>385.72</v>
      </c>
      <c r="N54">
        <v>0</v>
      </c>
      <c r="O54">
        <v>15</v>
      </c>
    </row>
    <row r="55" spans="1:15" x14ac:dyDescent="0.3">
      <c r="A55" t="s">
        <v>68</v>
      </c>
      <c r="B55" s="2">
        <v>45678</v>
      </c>
      <c r="C55" s="2">
        <v>45704</v>
      </c>
      <c r="D55" t="s">
        <v>649</v>
      </c>
      <c r="E55" t="s">
        <v>657</v>
      </c>
      <c r="F55" t="s">
        <v>679</v>
      </c>
      <c r="G55" t="s">
        <v>701</v>
      </c>
      <c r="H55" t="s">
        <v>710</v>
      </c>
      <c r="I55" t="s">
        <v>719</v>
      </c>
      <c r="J55" t="s">
        <v>731</v>
      </c>
      <c r="K55" t="s">
        <v>787</v>
      </c>
      <c r="L55">
        <v>204.11</v>
      </c>
      <c r="M55">
        <v>236.87</v>
      </c>
      <c r="N55">
        <v>0.182</v>
      </c>
      <c r="O55">
        <v>13</v>
      </c>
    </row>
    <row r="56" spans="1:15" x14ac:dyDescent="0.3">
      <c r="A56" t="s">
        <v>69</v>
      </c>
      <c r="B56" s="2">
        <v>45168</v>
      </c>
      <c r="C56" s="2">
        <v>45170</v>
      </c>
      <c r="D56" t="s">
        <v>649</v>
      </c>
      <c r="E56" t="s">
        <v>656</v>
      </c>
      <c r="F56" t="s">
        <v>684</v>
      </c>
      <c r="G56" t="s">
        <v>701</v>
      </c>
      <c r="H56" t="s">
        <v>711</v>
      </c>
      <c r="I56" t="s">
        <v>725</v>
      </c>
      <c r="J56" t="s">
        <v>729</v>
      </c>
      <c r="K56" t="s">
        <v>788</v>
      </c>
      <c r="L56">
        <v>44.42</v>
      </c>
      <c r="M56">
        <v>41.9</v>
      </c>
      <c r="N56">
        <v>0.14399999999999999</v>
      </c>
      <c r="O56">
        <v>6</v>
      </c>
    </row>
    <row r="57" spans="1:15" x14ac:dyDescent="0.3">
      <c r="A57" t="s">
        <v>70</v>
      </c>
      <c r="B57" s="2">
        <v>45753</v>
      </c>
      <c r="C57" s="2">
        <v>45777</v>
      </c>
      <c r="D57" t="s">
        <v>648</v>
      </c>
      <c r="E57" t="s">
        <v>655</v>
      </c>
      <c r="F57" t="s">
        <v>672</v>
      </c>
      <c r="G57" t="s">
        <v>702</v>
      </c>
      <c r="H57" t="s">
        <v>708</v>
      </c>
      <c r="I57" t="s">
        <v>723</v>
      </c>
      <c r="J57" t="s">
        <v>732</v>
      </c>
      <c r="K57" t="s">
        <v>789</v>
      </c>
      <c r="L57">
        <v>855.78</v>
      </c>
      <c r="M57">
        <v>977.38</v>
      </c>
      <c r="N57">
        <v>0.14699999999999999</v>
      </c>
      <c r="O57">
        <v>38</v>
      </c>
    </row>
    <row r="58" spans="1:15" x14ac:dyDescent="0.3">
      <c r="A58" t="s">
        <v>71</v>
      </c>
      <c r="B58" s="2">
        <v>45697</v>
      </c>
      <c r="C58" s="2">
        <v>45717</v>
      </c>
      <c r="D58" t="s">
        <v>648</v>
      </c>
      <c r="E58" t="s">
        <v>655</v>
      </c>
      <c r="F58" t="s">
        <v>670</v>
      </c>
      <c r="G58" t="s">
        <v>701</v>
      </c>
      <c r="H58" t="s">
        <v>710</v>
      </c>
      <c r="I58" t="s">
        <v>717</v>
      </c>
      <c r="J58" t="s">
        <v>731</v>
      </c>
      <c r="K58" t="s">
        <v>790</v>
      </c>
      <c r="L58">
        <v>1154.6400000000001</v>
      </c>
      <c r="M58">
        <v>2794.13</v>
      </c>
      <c r="N58">
        <v>3.5000000000000003E-2</v>
      </c>
      <c r="O58">
        <v>11</v>
      </c>
    </row>
    <row r="59" spans="1:15" x14ac:dyDescent="0.3">
      <c r="A59" t="s">
        <v>72</v>
      </c>
      <c r="B59" s="2">
        <v>45643</v>
      </c>
      <c r="C59" s="2">
        <v>45644</v>
      </c>
      <c r="D59" t="s">
        <v>649</v>
      </c>
      <c r="E59" t="s">
        <v>656</v>
      </c>
      <c r="F59" t="s">
        <v>684</v>
      </c>
      <c r="G59" t="s">
        <v>702</v>
      </c>
      <c r="H59" t="s">
        <v>707</v>
      </c>
      <c r="I59" t="s">
        <v>716</v>
      </c>
      <c r="J59" t="s">
        <v>733</v>
      </c>
      <c r="K59" t="s">
        <v>791</v>
      </c>
      <c r="L59">
        <v>346.82</v>
      </c>
      <c r="M59">
        <v>701.95</v>
      </c>
      <c r="N59">
        <v>0.14699999999999999</v>
      </c>
      <c r="O59">
        <v>8</v>
      </c>
    </row>
    <row r="60" spans="1:15" x14ac:dyDescent="0.3">
      <c r="A60" t="s">
        <v>73</v>
      </c>
      <c r="B60" s="2">
        <v>45817</v>
      </c>
      <c r="C60" s="2">
        <v>45826</v>
      </c>
      <c r="D60" t="s">
        <v>649</v>
      </c>
      <c r="E60" t="s">
        <v>657</v>
      </c>
      <c r="F60" t="s">
        <v>673</v>
      </c>
      <c r="G60" t="s">
        <v>705</v>
      </c>
      <c r="H60" t="s">
        <v>709</v>
      </c>
      <c r="I60" t="s">
        <v>722</v>
      </c>
      <c r="J60" t="s">
        <v>733</v>
      </c>
      <c r="K60" t="s">
        <v>792</v>
      </c>
      <c r="L60">
        <v>1225.5</v>
      </c>
      <c r="M60">
        <v>-5.27</v>
      </c>
      <c r="N60">
        <v>7.4999999999999997E-2</v>
      </c>
      <c r="O60">
        <v>56</v>
      </c>
    </row>
    <row r="61" spans="1:15" x14ac:dyDescent="0.3">
      <c r="A61" t="s">
        <v>74</v>
      </c>
      <c r="B61" s="2">
        <v>45779</v>
      </c>
      <c r="C61" s="2">
        <v>45790</v>
      </c>
      <c r="D61" t="s">
        <v>646</v>
      </c>
      <c r="E61" t="s">
        <v>650</v>
      </c>
      <c r="F61" t="s">
        <v>678</v>
      </c>
      <c r="G61" t="s">
        <v>705</v>
      </c>
      <c r="H61" t="s">
        <v>708</v>
      </c>
      <c r="I61" t="s">
        <v>720</v>
      </c>
      <c r="J61" t="s">
        <v>733</v>
      </c>
      <c r="K61" t="s">
        <v>793</v>
      </c>
      <c r="L61">
        <v>1057.5999999999999</v>
      </c>
      <c r="M61">
        <v>1437.06</v>
      </c>
      <c r="N61">
        <v>0.20499999999999999</v>
      </c>
      <c r="O61">
        <v>4</v>
      </c>
    </row>
    <row r="62" spans="1:15" x14ac:dyDescent="0.3">
      <c r="A62" t="s">
        <v>75</v>
      </c>
      <c r="B62" s="2">
        <v>45361</v>
      </c>
      <c r="C62" s="2">
        <v>45391</v>
      </c>
      <c r="D62" t="s">
        <v>649</v>
      </c>
      <c r="E62" t="s">
        <v>657</v>
      </c>
      <c r="F62" t="s">
        <v>679</v>
      </c>
      <c r="G62" t="s">
        <v>701</v>
      </c>
      <c r="H62" t="s">
        <v>711</v>
      </c>
      <c r="I62" t="s">
        <v>714</v>
      </c>
      <c r="J62" t="s">
        <v>727</v>
      </c>
      <c r="K62" t="s">
        <v>794</v>
      </c>
      <c r="L62">
        <v>1176.56</v>
      </c>
      <c r="M62">
        <v>1911.89</v>
      </c>
      <c r="N62">
        <v>0.11899999999999999</v>
      </c>
      <c r="O62">
        <v>20</v>
      </c>
    </row>
    <row r="63" spans="1:15" x14ac:dyDescent="0.3">
      <c r="A63" t="s">
        <v>76</v>
      </c>
      <c r="B63" s="2">
        <v>45910</v>
      </c>
      <c r="C63" s="2">
        <v>45912</v>
      </c>
      <c r="D63" t="s">
        <v>647</v>
      </c>
      <c r="E63" t="s">
        <v>652</v>
      </c>
      <c r="F63" t="s">
        <v>689</v>
      </c>
      <c r="G63" t="s">
        <v>704</v>
      </c>
      <c r="H63" t="s">
        <v>708</v>
      </c>
      <c r="I63" t="s">
        <v>719</v>
      </c>
      <c r="J63" t="s">
        <v>727</v>
      </c>
      <c r="K63" t="s">
        <v>795</v>
      </c>
      <c r="L63">
        <v>1470.15</v>
      </c>
      <c r="M63">
        <v>2593.7800000000002</v>
      </c>
      <c r="N63">
        <v>0.11</v>
      </c>
      <c r="O63">
        <v>12</v>
      </c>
    </row>
    <row r="64" spans="1:15" x14ac:dyDescent="0.3">
      <c r="A64" t="s">
        <v>77</v>
      </c>
      <c r="B64" s="2">
        <v>45774</v>
      </c>
      <c r="C64" s="2">
        <v>45802</v>
      </c>
      <c r="D64" t="s">
        <v>649</v>
      </c>
      <c r="E64" t="s">
        <v>657</v>
      </c>
      <c r="F64" t="s">
        <v>690</v>
      </c>
      <c r="G64" t="s">
        <v>705</v>
      </c>
      <c r="H64" t="s">
        <v>709</v>
      </c>
      <c r="I64" t="s">
        <v>714</v>
      </c>
      <c r="J64" t="s">
        <v>730</v>
      </c>
      <c r="K64" t="s">
        <v>796</v>
      </c>
      <c r="L64">
        <v>603.45000000000005</v>
      </c>
      <c r="M64">
        <v>1244.08</v>
      </c>
      <c r="N64">
        <v>0.2</v>
      </c>
      <c r="O64">
        <v>11</v>
      </c>
    </row>
    <row r="65" spans="1:15" x14ac:dyDescent="0.3">
      <c r="A65" t="s">
        <v>78</v>
      </c>
      <c r="B65" s="2">
        <v>45598</v>
      </c>
      <c r="C65" s="2">
        <v>45614</v>
      </c>
      <c r="D65" t="s">
        <v>647</v>
      </c>
      <c r="E65" t="s">
        <v>654</v>
      </c>
      <c r="F65" t="s">
        <v>691</v>
      </c>
      <c r="G65" t="s">
        <v>705</v>
      </c>
      <c r="H65" t="s">
        <v>710</v>
      </c>
      <c r="I65" t="s">
        <v>719</v>
      </c>
      <c r="J65" t="s">
        <v>732</v>
      </c>
      <c r="K65" t="s">
        <v>797</v>
      </c>
      <c r="L65">
        <v>1233.58</v>
      </c>
      <c r="M65">
        <v>1912.51</v>
      </c>
      <c r="N65">
        <v>0.255</v>
      </c>
      <c r="O65">
        <v>51</v>
      </c>
    </row>
    <row r="66" spans="1:15" x14ac:dyDescent="0.3">
      <c r="A66" t="s">
        <v>79</v>
      </c>
      <c r="B66" s="2">
        <v>44972</v>
      </c>
      <c r="C66" s="2">
        <v>44983</v>
      </c>
      <c r="D66" t="s">
        <v>646</v>
      </c>
      <c r="E66" t="s">
        <v>661</v>
      </c>
      <c r="F66" t="s">
        <v>682</v>
      </c>
      <c r="G66" t="s">
        <v>703</v>
      </c>
      <c r="H66" t="s">
        <v>707</v>
      </c>
      <c r="I66" t="s">
        <v>723</v>
      </c>
      <c r="J66" t="s">
        <v>731</v>
      </c>
      <c r="K66" t="s">
        <v>798</v>
      </c>
      <c r="L66">
        <v>498.5</v>
      </c>
      <c r="M66">
        <v>755.87</v>
      </c>
      <c r="N66">
        <v>0.13</v>
      </c>
      <c r="O66">
        <v>40</v>
      </c>
    </row>
    <row r="67" spans="1:15" x14ac:dyDescent="0.3">
      <c r="A67" t="s">
        <v>80</v>
      </c>
      <c r="B67" s="2">
        <v>45263</v>
      </c>
      <c r="C67" s="2">
        <v>45286</v>
      </c>
      <c r="D67" t="s">
        <v>648</v>
      </c>
      <c r="E67" t="s">
        <v>655</v>
      </c>
      <c r="F67" t="s">
        <v>692</v>
      </c>
      <c r="G67" t="s">
        <v>702</v>
      </c>
      <c r="H67" t="s">
        <v>707</v>
      </c>
      <c r="I67" t="s">
        <v>719</v>
      </c>
      <c r="J67" t="s">
        <v>730</v>
      </c>
      <c r="K67" t="s">
        <v>799</v>
      </c>
      <c r="L67">
        <v>1303.1099999999999</v>
      </c>
      <c r="M67">
        <v>1145.67</v>
      </c>
      <c r="N67">
        <v>0.184</v>
      </c>
      <c r="O67">
        <v>13</v>
      </c>
    </row>
    <row r="68" spans="1:15" x14ac:dyDescent="0.3">
      <c r="A68" t="s">
        <v>81</v>
      </c>
      <c r="B68" s="2">
        <v>45004</v>
      </c>
      <c r="C68" s="2">
        <v>45025</v>
      </c>
      <c r="D68" t="s">
        <v>649</v>
      </c>
      <c r="E68" t="s">
        <v>658</v>
      </c>
      <c r="F68" t="s">
        <v>693</v>
      </c>
      <c r="G68" t="s">
        <v>704</v>
      </c>
      <c r="H68" t="s">
        <v>707</v>
      </c>
      <c r="I68" t="s">
        <v>716</v>
      </c>
      <c r="J68" t="s">
        <v>733</v>
      </c>
      <c r="K68" t="s">
        <v>800</v>
      </c>
      <c r="L68">
        <v>1082.17</v>
      </c>
      <c r="M68">
        <v>1234.0999999999999</v>
      </c>
      <c r="N68">
        <v>0.189</v>
      </c>
      <c r="O68">
        <v>16</v>
      </c>
    </row>
    <row r="69" spans="1:15" x14ac:dyDescent="0.3">
      <c r="A69" t="s">
        <v>82</v>
      </c>
      <c r="B69" s="2">
        <v>45434</v>
      </c>
      <c r="C69" s="2">
        <v>45449</v>
      </c>
      <c r="D69" t="s">
        <v>647</v>
      </c>
      <c r="E69" t="s">
        <v>652</v>
      </c>
      <c r="F69" t="s">
        <v>694</v>
      </c>
      <c r="G69" t="s">
        <v>701</v>
      </c>
      <c r="H69" t="s">
        <v>710</v>
      </c>
      <c r="I69" t="s">
        <v>712</v>
      </c>
      <c r="J69" t="s">
        <v>732</v>
      </c>
      <c r="K69" t="s">
        <v>801</v>
      </c>
      <c r="L69">
        <v>673.88</v>
      </c>
      <c r="M69">
        <v>1228.01</v>
      </c>
      <c r="N69">
        <v>0.105</v>
      </c>
      <c r="O69">
        <v>13</v>
      </c>
    </row>
    <row r="70" spans="1:15" x14ac:dyDescent="0.3">
      <c r="A70" t="s">
        <v>83</v>
      </c>
      <c r="B70" s="2">
        <v>45157</v>
      </c>
      <c r="C70" s="2">
        <v>45176</v>
      </c>
      <c r="D70" t="s">
        <v>646</v>
      </c>
      <c r="E70" t="s">
        <v>661</v>
      </c>
      <c r="F70" t="s">
        <v>682</v>
      </c>
      <c r="G70" t="s">
        <v>706</v>
      </c>
      <c r="H70" t="s">
        <v>707</v>
      </c>
      <c r="I70" t="s">
        <v>726</v>
      </c>
      <c r="J70" t="s">
        <v>732</v>
      </c>
      <c r="K70" t="s">
        <v>802</v>
      </c>
      <c r="L70">
        <v>494.61</v>
      </c>
      <c r="M70">
        <v>605.23</v>
      </c>
      <c r="N70">
        <v>0.20399999999999999</v>
      </c>
      <c r="O70">
        <v>18</v>
      </c>
    </row>
    <row r="71" spans="1:15" x14ac:dyDescent="0.3">
      <c r="A71" t="s">
        <v>84</v>
      </c>
      <c r="B71" s="2">
        <v>45037</v>
      </c>
      <c r="C71" s="2">
        <v>45056</v>
      </c>
      <c r="D71" t="s">
        <v>647</v>
      </c>
      <c r="E71" t="s">
        <v>659</v>
      </c>
      <c r="F71" t="s">
        <v>685</v>
      </c>
      <c r="G71" t="s">
        <v>701</v>
      </c>
      <c r="H71" t="s">
        <v>707</v>
      </c>
      <c r="I71" t="s">
        <v>720</v>
      </c>
      <c r="J71" t="s">
        <v>727</v>
      </c>
      <c r="K71" t="s">
        <v>803</v>
      </c>
      <c r="L71">
        <v>882.33</v>
      </c>
      <c r="M71">
        <v>1880.15</v>
      </c>
      <c r="N71">
        <v>0.05</v>
      </c>
      <c r="O71">
        <v>5</v>
      </c>
    </row>
    <row r="72" spans="1:15" x14ac:dyDescent="0.3">
      <c r="A72" t="s">
        <v>85</v>
      </c>
      <c r="B72" s="2">
        <v>45369</v>
      </c>
      <c r="C72" s="2">
        <v>45372</v>
      </c>
      <c r="D72" t="s">
        <v>649</v>
      </c>
      <c r="E72" t="s">
        <v>656</v>
      </c>
      <c r="F72" t="s">
        <v>684</v>
      </c>
      <c r="G72" t="s">
        <v>705</v>
      </c>
      <c r="H72" t="s">
        <v>708</v>
      </c>
      <c r="I72" t="s">
        <v>724</v>
      </c>
      <c r="J72" t="s">
        <v>733</v>
      </c>
      <c r="K72" t="s">
        <v>804</v>
      </c>
      <c r="L72">
        <v>910.63</v>
      </c>
      <c r="M72">
        <v>1269.4000000000001</v>
      </c>
      <c r="N72">
        <v>6.8000000000000005E-2</v>
      </c>
      <c r="O72">
        <v>9</v>
      </c>
    </row>
    <row r="73" spans="1:15" x14ac:dyDescent="0.3">
      <c r="A73" t="s">
        <v>86</v>
      </c>
      <c r="B73" s="2">
        <v>45756</v>
      </c>
      <c r="C73" s="2">
        <v>45783</v>
      </c>
      <c r="D73" t="s">
        <v>648</v>
      </c>
      <c r="E73" t="s">
        <v>655</v>
      </c>
      <c r="F73" t="s">
        <v>672</v>
      </c>
      <c r="G73" t="s">
        <v>706</v>
      </c>
      <c r="H73" t="s">
        <v>709</v>
      </c>
      <c r="I73" t="s">
        <v>721</v>
      </c>
      <c r="J73" t="s">
        <v>731</v>
      </c>
      <c r="K73" t="s">
        <v>805</v>
      </c>
      <c r="L73">
        <v>264.19</v>
      </c>
      <c r="M73">
        <v>620.92999999999995</v>
      </c>
      <c r="N73">
        <v>0.14199999999999999</v>
      </c>
      <c r="O73">
        <v>12</v>
      </c>
    </row>
    <row r="74" spans="1:15" x14ac:dyDescent="0.3">
      <c r="A74" t="s">
        <v>87</v>
      </c>
      <c r="B74" s="2">
        <v>45394</v>
      </c>
      <c r="C74" s="2">
        <v>45419</v>
      </c>
      <c r="D74" t="s">
        <v>646</v>
      </c>
      <c r="E74" t="s">
        <v>661</v>
      </c>
      <c r="F74" t="s">
        <v>682</v>
      </c>
      <c r="G74" t="s">
        <v>702</v>
      </c>
      <c r="H74" t="s">
        <v>710</v>
      </c>
      <c r="I74" t="s">
        <v>720</v>
      </c>
      <c r="J74" t="s">
        <v>731</v>
      </c>
      <c r="K74" t="s">
        <v>806</v>
      </c>
      <c r="L74">
        <v>1376.51</v>
      </c>
      <c r="M74">
        <v>1455.91</v>
      </c>
      <c r="N74">
        <v>0.185</v>
      </c>
      <c r="O74">
        <v>17</v>
      </c>
    </row>
    <row r="75" spans="1:15" x14ac:dyDescent="0.3">
      <c r="A75" t="s">
        <v>88</v>
      </c>
      <c r="B75" s="2">
        <v>45641</v>
      </c>
      <c r="C75" s="2">
        <v>45646</v>
      </c>
      <c r="D75" t="s">
        <v>647</v>
      </c>
      <c r="E75" t="s">
        <v>659</v>
      </c>
      <c r="F75" t="s">
        <v>676</v>
      </c>
      <c r="G75" t="s">
        <v>705</v>
      </c>
      <c r="H75" t="s">
        <v>711</v>
      </c>
      <c r="I75" t="s">
        <v>713</v>
      </c>
      <c r="J75" t="s">
        <v>729</v>
      </c>
      <c r="K75" t="s">
        <v>807</v>
      </c>
      <c r="L75">
        <v>717.55</v>
      </c>
      <c r="M75">
        <v>546.42999999999995</v>
      </c>
      <c r="N75">
        <v>4.7E-2</v>
      </c>
      <c r="O75">
        <v>18</v>
      </c>
    </row>
    <row r="76" spans="1:15" x14ac:dyDescent="0.3">
      <c r="A76" t="s">
        <v>89</v>
      </c>
      <c r="B76" s="2">
        <v>45066</v>
      </c>
      <c r="C76" s="2">
        <v>45064</v>
      </c>
      <c r="D76" t="s">
        <v>646</v>
      </c>
      <c r="E76" t="s">
        <v>661</v>
      </c>
      <c r="F76" t="s">
        <v>687</v>
      </c>
      <c r="G76" t="s">
        <v>701</v>
      </c>
      <c r="H76" t="s">
        <v>710</v>
      </c>
      <c r="I76" t="s">
        <v>720</v>
      </c>
      <c r="J76" t="s">
        <v>727</v>
      </c>
      <c r="K76" t="s">
        <v>808</v>
      </c>
      <c r="L76">
        <v>917.88</v>
      </c>
      <c r="M76">
        <v>1347.92</v>
      </c>
      <c r="N76">
        <v>0.34300000000000003</v>
      </c>
      <c r="O76">
        <v>5</v>
      </c>
    </row>
    <row r="77" spans="1:15" x14ac:dyDescent="0.3">
      <c r="A77" t="s">
        <v>90</v>
      </c>
      <c r="B77" s="2">
        <v>45187</v>
      </c>
      <c r="C77" s="2">
        <v>45207</v>
      </c>
      <c r="D77" t="s">
        <v>647</v>
      </c>
      <c r="E77" t="s">
        <v>654</v>
      </c>
      <c r="F77" t="s">
        <v>680</v>
      </c>
      <c r="G77" t="s">
        <v>705</v>
      </c>
      <c r="H77" t="s">
        <v>711</v>
      </c>
      <c r="I77" t="s">
        <v>717</v>
      </c>
      <c r="J77" t="s">
        <v>727</v>
      </c>
      <c r="K77" t="s">
        <v>809</v>
      </c>
      <c r="L77">
        <v>825.64</v>
      </c>
      <c r="M77">
        <v>1108.43</v>
      </c>
      <c r="N77">
        <v>0.114</v>
      </c>
      <c r="O77">
        <v>7</v>
      </c>
    </row>
    <row r="78" spans="1:15" x14ac:dyDescent="0.3">
      <c r="A78" t="s">
        <v>91</v>
      </c>
      <c r="B78" s="2">
        <v>45532</v>
      </c>
      <c r="C78" s="2">
        <v>45560</v>
      </c>
      <c r="D78" t="s">
        <v>648</v>
      </c>
      <c r="E78" t="s">
        <v>655</v>
      </c>
      <c r="F78" t="s">
        <v>692</v>
      </c>
      <c r="G78" t="s">
        <v>703</v>
      </c>
      <c r="H78" t="s">
        <v>708</v>
      </c>
      <c r="J78" t="s">
        <v>733</v>
      </c>
      <c r="K78" t="s">
        <v>810</v>
      </c>
      <c r="L78">
        <v>1394.65</v>
      </c>
      <c r="M78">
        <v>3144.1</v>
      </c>
      <c r="N78">
        <v>0.13400000000000001</v>
      </c>
      <c r="O78">
        <v>13</v>
      </c>
    </row>
    <row r="79" spans="1:15" x14ac:dyDescent="0.3">
      <c r="A79" t="s">
        <v>92</v>
      </c>
      <c r="B79" s="2">
        <v>45473</v>
      </c>
      <c r="C79" s="2">
        <v>45471</v>
      </c>
      <c r="D79" t="s">
        <v>648</v>
      </c>
      <c r="E79" t="s">
        <v>655</v>
      </c>
      <c r="F79" t="s">
        <v>692</v>
      </c>
      <c r="G79" t="s">
        <v>705</v>
      </c>
      <c r="H79" t="s">
        <v>711</v>
      </c>
      <c r="I79" t="s">
        <v>716</v>
      </c>
      <c r="J79" t="s">
        <v>733</v>
      </c>
      <c r="K79" t="s">
        <v>811</v>
      </c>
      <c r="L79">
        <v>1112.98</v>
      </c>
      <c r="M79">
        <v>2095.73</v>
      </c>
      <c r="N79">
        <v>7.1999999999999995E-2</v>
      </c>
      <c r="O79">
        <v>17</v>
      </c>
    </row>
    <row r="80" spans="1:15" x14ac:dyDescent="0.3">
      <c r="A80" t="s">
        <v>93</v>
      </c>
      <c r="B80" s="2">
        <v>45091</v>
      </c>
      <c r="C80" s="2">
        <v>45093</v>
      </c>
      <c r="D80" t="s">
        <v>649</v>
      </c>
      <c r="E80" t="s">
        <v>658</v>
      </c>
      <c r="F80" t="s">
        <v>693</v>
      </c>
      <c r="G80" t="s">
        <v>703</v>
      </c>
      <c r="H80" t="s">
        <v>711</v>
      </c>
      <c r="I80" t="s">
        <v>723</v>
      </c>
      <c r="J80" t="s">
        <v>727</v>
      </c>
      <c r="K80" t="s">
        <v>812</v>
      </c>
      <c r="L80">
        <v>357.36</v>
      </c>
      <c r="M80">
        <v>703.62</v>
      </c>
      <c r="N80">
        <v>0.25700000000000001</v>
      </c>
      <c r="O80">
        <v>20</v>
      </c>
    </row>
    <row r="81" spans="1:15" x14ac:dyDescent="0.3">
      <c r="A81" t="s">
        <v>94</v>
      </c>
      <c r="B81" s="2">
        <v>45617</v>
      </c>
      <c r="C81" s="2">
        <v>45647</v>
      </c>
      <c r="D81" t="s">
        <v>649</v>
      </c>
      <c r="E81" t="s">
        <v>657</v>
      </c>
      <c r="F81" t="s">
        <v>673</v>
      </c>
      <c r="G81" t="s">
        <v>705</v>
      </c>
      <c r="H81" t="s">
        <v>711</v>
      </c>
      <c r="I81" t="s">
        <v>714</v>
      </c>
      <c r="J81" t="s">
        <v>732</v>
      </c>
      <c r="K81" t="s">
        <v>813</v>
      </c>
      <c r="L81">
        <v>1122.68</v>
      </c>
      <c r="M81">
        <v>1997.19</v>
      </c>
      <c r="N81">
        <v>0.186</v>
      </c>
      <c r="O81">
        <v>3</v>
      </c>
    </row>
    <row r="82" spans="1:15" x14ac:dyDescent="0.3">
      <c r="A82" t="s">
        <v>95</v>
      </c>
      <c r="B82" s="2">
        <v>44965</v>
      </c>
      <c r="C82" s="2">
        <v>44968</v>
      </c>
      <c r="D82" t="s">
        <v>646</v>
      </c>
      <c r="E82" t="s">
        <v>661</v>
      </c>
      <c r="F82" t="s">
        <v>695</v>
      </c>
      <c r="G82" t="s">
        <v>701</v>
      </c>
      <c r="H82" t="s">
        <v>711</v>
      </c>
      <c r="I82" t="s">
        <v>724</v>
      </c>
      <c r="J82" t="s">
        <v>729</v>
      </c>
      <c r="K82" t="s">
        <v>814</v>
      </c>
      <c r="L82">
        <v>1410.05</v>
      </c>
      <c r="M82">
        <v>2763.95</v>
      </c>
      <c r="N82">
        <v>0.161</v>
      </c>
      <c r="O82">
        <v>26</v>
      </c>
    </row>
    <row r="83" spans="1:15" x14ac:dyDescent="0.3">
      <c r="A83" t="s">
        <v>96</v>
      </c>
      <c r="B83" s="2">
        <v>45157</v>
      </c>
      <c r="C83" s="2">
        <v>45181</v>
      </c>
      <c r="D83" t="s">
        <v>648</v>
      </c>
      <c r="E83" t="s">
        <v>653</v>
      </c>
      <c r="F83" t="s">
        <v>688</v>
      </c>
      <c r="G83" t="s">
        <v>706</v>
      </c>
      <c r="H83" t="s">
        <v>707</v>
      </c>
      <c r="I83" t="s">
        <v>714</v>
      </c>
      <c r="J83" t="s">
        <v>728</v>
      </c>
      <c r="K83" t="s">
        <v>815</v>
      </c>
      <c r="L83">
        <v>1183.95</v>
      </c>
      <c r="M83">
        <v>1503.53</v>
      </c>
      <c r="N83">
        <v>0.24099999999999999</v>
      </c>
      <c r="O83">
        <v>16</v>
      </c>
    </row>
    <row r="84" spans="1:15" x14ac:dyDescent="0.3">
      <c r="A84" t="s">
        <v>97</v>
      </c>
      <c r="B84" s="2">
        <v>45791</v>
      </c>
      <c r="C84" s="2">
        <v>45801</v>
      </c>
      <c r="D84" t="s">
        <v>649</v>
      </c>
      <c r="E84" t="s">
        <v>657</v>
      </c>
      <c r="F84" t="s">
        <v>690</v>
      </c>
      <c r="G84" t="s">
        <v>705</v>
      </c>
      <c r="H84" t="s">
        <v>709</v>
      </c>
      <c r="I84" t="s">
        <v>723</v>
      </c>
      <c r="J84" t="s">
        <v>727</v>
      </c>
      <c r="K84" t="s">
        <v>816</v>
      </c>
      <c r="L84">
        <v>170.39</v>
      </c>
      <c r="M84">
        <v>388.04</v>
      </c>
      <c r="N84">
        <v>8.4000000000000005E-2</v>
      </c>
      <c r="O84">
        <v>15</v>
      </c>
    </row>
    <row r="85" spans="1:15" x14ac:dyDescent="0.3">
      <c r="A85" t="s">
        <v>98</v>
      </c>
      <c r="B85" s="2">
        <v>45770</v>
      </c>
      <c r="C85" s="2">
        <v>45769</v>
      </c>
      <c r="D85" t="s">
        <v>648</v>
      </c>
      <c r="E85" t="s">
        <v>660</v>
      </c>
      <c r="F85" t="s">
        <v>686</v>
      </c>
      <c r="G85" t="s">
        <v>703</v>
      </c>
      <c r="H85" t="s">
        <v>710</v>
      </c>
      <c r="I85" t="s">
        <v>726</v>
      </c>
      <c r="J85" t="s">
        <v>732</v>
      </c>
      <c r="K85" t="s">
        <v>817</v>
      </c>
      <c r="L85">
        <v>23.24</v>
      </c>
      <c r="M85">
        <v>44.57</v>
      </c>
      <c r="N85">
        <v>0.215</v>
      </c>
      <c r="O85">
        <v>15</v>
      </c>
    </row>
    <row r="86" spans="1:15" x14ac:dyDescent="0.3">
      <c r="A86" t="s">
        <v>99</v>
      </c>
      <c r="B86" s="2">
        <v>45741</v>
      </c>
      <c r="C86" s="2">
        <v>45764</v>
      </c>
      <c r="D86" t="s">
        <v>649</v>
      </c>
      <c r="E86" t="s">
        <v>658</v>
      </c>
      <c r="F86" t="s">
        <v>683</v>
      </c>
      <c r="G86" t="s">
        <v>704</v>
      </c>
      <c r="H86" t="s">
        <v>707</v>
      </c>
      <c r="I86" t="s">
        <v>722</v>
      </c>
      <c r="J86" t="s">
        <v>729</v>
      </c>
      <c r="K86" t="s">
        <v>818</v>
      </c>
      <c r="L86">
        <v>1421.19</v>
      </c>
      <c r="M86">
        <v>1808.26</v>
      </c>
      <c r="N86">
        <v>0.104</v>
      </c>
      <c r="O86">
        <v>13</v>
      </c>
    </row>
    <row r="87" spans="1:15" x14ac:dyDescent="0.3">
      <c r="A87" t="s">
        <v>100</v>
      </c>
      <c r="B87" s="2">
        <v>45282</v>
      </c>
      <c r="C87" s="2">
        <v>45283</v>
      </c>
      <c r="D87" t="s">
        <v>646</v>
      </c>
      <c r="E87" t="s">
        <v>661</v>
      </c>
      <c r="F87" t="s">
        <v>695</v>
      </c>
      <c r="G87" t="s">
        <v>703</v>
      </c>
      <c r="H87" t="s">
        <v>709</v>
      </c>
      <c r="I87" t="s">
        <v>726</v>
      </c>
      <c r="J87" t="s">
        <v>727</v>
      </c>
      <c r="K87" t="s">
        <v>819</v>
      </c>
      <c r="L87">
        <v>1186.18</v>
      </c>
      <c r="M87">
        <v>1285.0899999999999</v>
      </c>
      <c r="N87">
        <v>7.0000000000000007E-2</v>
      </c>
      <c r="O87">
        <v>11</v>
      </c>
    </row>
    <row r="88" spans="1:15" x14ac:dyDescent="0.3">
      <c r="A88" t="s">
        <v>101</v>
      </c>
      <c r="B88" s="2">
        <v>45388</v>
      </c>
      <c r="C88" s="2">
        <v>45407</v>
      </c>
      <c r="D88" t="s">
        <v>647</v>
      </c>
      <c r="E88" t="s">
        <v>659</v>
      </c>
      <c r="F88" t="s">
        <v>685</v>
      </c>
      <c r="G88" t="s">
        <v>701</v>
      </c>
      <c r="H88" t="s">
        <v>707</v>
      </c>
      <c r="I88" t="s">
        <v>723</v>
      </c>
      <c r="J88" t="s">
        <v>727</v>
      </c>
      <c r="K88" t="s">
        <v>820</v>
      </c>
      <c r="L88">
        <v>1366.48</v>
      </c>
      <c r="M88">
        <v>1678.14</v>
      </c>
      <c r="N88">
        <v>0.154</v>
      </c>
      <c r="O88">
        <v>10</v>
      </c>
    </row>
    <row r="89" spans="1:15" x14ac:dyDescent="0.3">
      <c r="A89" t="s">
        <v>102</v>
      </c>
      <c r="B89" s="2">
        <v>45876</v>
      </c>
      <c r="C89" s="2">
        <v>45888</v>
      </c>
      <c r="D89" t="s">
        <v>646</v>
      </c>
      <c r="E89" t="s">
        <v>650</v>
      </c>
      <c r="F89" t="s">
        <v>678</v>
      </c>
      <c r="G89" t="s">
        <v>701</v>
      </c>
      <c r="I89" t="s">
        <v>724</v>
      </c>
      <c r="J89" t="s">
        <v>727</v>
      </c>
      <c r="K89" t="s">
        <v>821</v>
      </c>
      <c r="L89">
        <v>601.51</v>
      </c>
      <c r="M89">
        <v>679.35</v>
      </c>
      <c r="N89">
        <v>0.188</v>
      </c>
      <c r="O89">
        <v>3</v>
      </c>
    </row>
    <row r="90" spans="1:15" x14ac:dyDescent="0.3">
      <c r="A90" t="s">
        <v>103</v>
      </c>
      <c r="B90" s="2">
        <v>45312</v>
      </c>
      <c r="C90" s="2">
        <v>45316</v>
      </c>
      <c r="D90" t="s">
        <v>647</v>
      </c>
      <c r="E90" t="s">
        <v>654</v>
      </c>
      <c r="F90" t="s">
        <v>680</v>
      </c>
      <c r="G90" t="s">
        <v>704</v>
      </c>
      <c r="H90" t="s">
        <v>711</v>
      </c>
      <c r="I90" t="s">
        <v>712</v>
      </c>
      <c r="J90" t="s">
        <v>732</v>
      </c>
      <c r="K90" t="s">
        <v>822</v>
      </c>
      <c r="L90">
        <v>523.70000000000005</v>
      </c>
      <c r="M90">
        <v>1109.92</v>
      </c>
      <c r="N90">
        <v>0.03</v>
      </c>
      <c r="O90">
        <v>11</v>
      </c>
    </row>
    <row r="91" spans="1:15" x14ac:dyDescent="0.3">
      <c r="A91" t="s">
        <v>104</v>
      </c>
      <c r="B91" s="2">
        <v>45106</v>
      </c>
      <c r="C91" s="2">
        <v>45109</v>
      </c>
      <c r="D91" t="s">
        <v>647</v>
      </c>
      <c r="E91" t="s">
        <v>652</v>
      </c>
      <c r="F91" t="s">
        <v>694</v>
      </c>
      <c r="G91" t="s">
        <v>702</v>
      </c>
      <c r="H91" t="s">
        <v>709</v>
      </c>
      <c r="I91" t="s">
        <v>721</v>
      </c>
      <c r="J91" t="s">
        <v>732</v>
      </c>
      <c r="K91" t="s">
        <v>823</v>
      </c>
      <c r="L91">
        <v>55.65</v>
      </c>
      <c r="M91">
        <v>83.57</v>
      </c>
      <c r="N91">
        <v>6.6000000000000003E-2</v>
      </c>
      <c r="O91">
        <v>8</v>
      </c>
    </row>
    <row r="92" spans="1:15" x14ac:dyDescent="0.3">
      <c r="A92" t="s">
        <v>105</v>
      </c>
      <c r="B92" s="2">
        <v>45775</v>
      </c>
      <c r="C92" s="2">
        <v>45792</v>
      </c>
      <c r="D92" t="s">
        <v>647</v>
      </c>
      <c r="E92" t="s">
        <v>652</v>
      </c>
      <c r="F92" t="s">
        <v>694</v>
      </c>
      <c r="G92" t="s">
        <v>702</v>
      </c>
      <c r="H92" t="s">
        <v>711</v>
      </c>
      <c r="I92" t="s">
        <v>725</v>
      </c>
      <c r="J92" t="s">
        <v>729</v>
      </c>
      <c r="K92" t="s">
        <v>824</v>
      </c>
      <c r="L92">
        <v>691.19</v>
      </c>
      <c r="M92">
        <v>1284.3</v>
      </c>
      <c r="N92">
        <v>7.3999999999999996E-2</v>
      </c>
      <c r="O92">
        <v>7</v>
      </c>
    </row>
    <row r="93" spans="1:15" x14ac:dyDescent="0.3">
      <c r="A93" t="s">
        <v>106</v>
      </c>
      <c r="B93" s="2">
        <v>45817</v>
      </c>
      <c r="C93" s="2">
        <v>45833</v>
      </c>
      <c r="D93" t="s">
        <v>647</v>
      </c>
      <c r="E93" t="s">
        <v>654</v>
      </c>
      <c r="F93" t="s">
        <v>696</v>
      </c>
      <c r="G93" t="s">
        <v>706</v>
      </c>
      <c r="H93" t="s">
        <v>710</v>
      </c>
      <c r="I93" t="s">
        <v>724</v>
      </c>
      <c r="J93" t="s">
        <v>730</v>
      </c>
      <c r="K93" t="s">
        <v>825</v>
      </c>
      <c r="L93">
        <v>527.33000000000004</v>
      </c>
      <c r="M93">
        <v>911.72</v>
      </c>
      <c r="N93">
        <v>0.14399999999999999</v>
      </c>
      <c r="O93">
        <v>25</v>
      </c>
    </row>
    <row r="94" spans="1:15" x14ac:dyDescent="0.3">
      <c r="A94" t="s">
        <v>107</v>
      </c>
      <c r="B94" s="2">
        <v>45101</v>
      </c>
      <c r="C94" s="2">
        <v>45100</v>
      </c>
      <c r="D94" t="s">
        <v>648</v>
      </c>
      <c r="E94" t="s">
        <v>655</v>
      </c>
      <c r="F94" t="s">
        <v>692</v>
      </c>
      <c r="G94" t="s">
        <v>703</v>
      </c>
      <c r="H94" t="s">
        <v>707</v>
      </c>
      <c r="I94" t="s">
        <v>718</v>
      </c>
      <c r="J94" t="s">
        <v>728</v>
      </c>
      <c r="K94" t="s">
        <v>826</v>
      </c>
      <c r="L94">
        <v>804.01</v>
      </c>
      <c r="M94">
        <v>1405.07</v>
      </c>
      <c r="N94">
        <v>9.6000000000000002E-2</v>
      </c>
      <c r="O94">
        <v>8</v>
      </c>
    </row>
    <row r="95" spans="1:15" x14ac:dyDescent="0.3">
      <c r="A95" t="s">
        <v>108</v>
      </c>
      <c r="B95" s="2">
        <v>45569</v>
      </c>
      <c r="C95" s="2">
        <v>45598</v>
      </c>
      <c r="D95" t="s">
        <v>646</v>
      </c>
      <c r="E95" t="s">
        <v>651</v>
      </c>
      <c r="F95" t="s">
        <v>669</v>
      </c>
      <c r="G95" t="s">
        <v>701</v>
      </c>
      <c r="H95" t="s">
        <v>710</v>
      </c>
      <c r="I95" t="s">
        <v>721</v>
      </c>
      <c r="J95" t="s">
        <v>733</v>
      </c>
      <c r="K95" t="s">
        <v>827</v>
      </c>
      <c r="L95">
        <v>412.09</v>
      </c>
      <c r="M95">
        <v>968.94</v>
      </c>
      <c r="N95">
        <v>9.9000000000000005E-2</v>
      </c>
      <c r="O95">
        <v>23</v>
      </c>
    </row>
    <row r="96" spans="1:15" x14ac:dyDescent="0.3">
      <c r="A96" t="s">
        <v>109</v>
      </c>
      <c r="B96" s="2">
        <v>45910</v>
      </c>
      <c r="C96" s="2">
        <v>45930</v>
      </c>
      <c r="D96" t="s">
        <v>646</v>
      </c>
      <c r="E96" t="s">
        <v>650</v>
      </c>
      <c r="F96" t="s">
        <v>675</v>
      </c>
      <c r="G96" t="s">
        <v>701</v>
      </c>
      <c r="H96" t="s">
        <v>711</v>
      </c>
      <c r="I96" t="s">
        <v>716</v>
      </c>
      <c r="J96" t="s">
        <v>730</v>
      </c>
      <c r="K96" t="s">
        <v>828</v>
      </c>
      <c r="L96">
        <v>1009.48</v>
      </c>
      <c r="M96">
        <v>1088.81</v>
      </c>
      <c r="N96">
        <v>0.16</v>
      </c>
      <c r="O96">
        <v>6</v>
      </c>
    </row>
    <row r="97" spans="1:15" x14ac:dyDescent="0.3">
      <c r="A97" t="s">
        <v>110</v>
      </c>
      <c r="B97" s="2">
        <v>45022</v>
      </c>
      <c r="C97" s="2">
        <v>45043</v>
      </c>
      <c r="D97" t="s">
        <v>649</v>
      </c>
      <c r="E97" t="s">
        <v>658</v>
      </c>
      <c r="F97" t="s">
        <v>693</v>
      </c>
      <c r="G97" t="s">
        <v>706</v>
      </c>
      <c r="H97" t="s">
        <v>710</v>
      </c>
      <c r="I97" t="s">
        <v>714</v>
      </c>
      <c r="J97" t="s">
        <v>728</v>
      </c>
      <c r="K97" t="s">
        <v>829</v>
      </c>
      <c r="L97">
        <v>1084.79</v>
      </c>
      <c r="M97">
        <v>2484.9899999999998</v>
      </c>
      <c r="N97">
        <v>3.4000000000000002E-2</v>
      </c>
      <c r="O97">
        <v>18</v>
      </c>
    </row>
    <row r="98" spans="1:15" x14ac:dyDescent="0.3">
      <c r="A98" t="s">
        <v>111</v>
      </c>
      <c r="B98" s="2">
        <v>45870</v>
      </c>
      <c r="C98" s="2">
        <v>45885</v>
      </c>
      <c r="D98" t="s">
        <v>647</v>
      </c>
      <c r="E98" t="s">
        <v>654</v>
      </c>
      <c r="G98" t="s">
        <v>706</v>
      </c>
      <c r="H98" t="s">
        <v>711</v>
      </c>
      <c r="I98" t="s">
        <v>719</v>
      </c>
      <c r="J98" t="s">
        <v>732</v>
      </c>
      <c r="K98" t="s">
        <v>830</v>
      </c>
      <c r="L98">
        <v>24.44</v>
      </c>
      <c r="M98">
        <v>28.69</v>
      </c>
      <c r="N98">
        <v>0.14599999999999999</v>
      </c>
      <c r="O98">
        <v>6</v>
      </c>
    </row>
    <row r="99" spans="1:15" x14ac:dyDescent="0.3">
      <c r="A99" t="s">
        <v>112</v>
      </c>
      <c r="B99" s="2">
        <v>45440</v>
      </c>
      <c r="C99" s="2">
        <v>45438</v>
      </c>
      <c r="D99" t="s">
        <v>646</v>
      </c>
      <c r="E99" t="s">
        <v>651</v>
      </c>
      <c r="F99" t="s">
        <v>669</v>
      </c>
      <c r="G99" t="s">
        <v>706</v>
      </c>
      <c r="H99" t="s">
        <v>708</v>
      </c>
      <c r="I99" t="s">
        <v>721</v>
      </c>
      <c r="J99" t="s">
        <v>733</v>
      </c>
      <c r="K99" t="s">
        <v>831</v>
      </c>
      <c r="L99">
        <v>1227.08</v>
      </c>
      <c r="M99">
        <v>1896.62</v>
      </c>
      <c r="N99">
        <v>0</v>
      </c>
      <c r="O99">
        <v>18</v>
      </c>
    </row>
    <row r="100" spans="1:15" x14ac:dyDescent="0.3">
      <c r="A100" t="s">
        <v>113</v>
      </c>
      <c r="B100" s="2">
        <v>45860</v>
      </c>
      <c r="C100" s="2">
        <v>45887</v>
      </c>
      <c r="D100" t="s">
        <v>647</v>
      </c>
      <c r="E100" t="s">
        <v>659</v>
      </c>
      <c r="F100" t="s">
        <v>676</v>
      </c>
      <c r="G100" t="s">
        <v>703</v>
      </c>
      <c r="H100" t="s">
        <v>709</v>
      </c>
      <c r="I100" t="s">
        <v>724</v>
      </c>
      <c r="J100" t="s">
        <v>729</v>
      </c>
      <c r="K100" t="s">
        <v>832</v>
      </c>
      <c r="L100">
        <v>547.32000000000005</v>
      </c>
      <c r="M100">
        <v>419.17</v>
      </c>
      <c r="N100">
        <v>9.1999999999999998E-2</v>
      </c>
      <c r="O100">
        <v>14</v>
      </c>
    </row>
    <row r="101" spans="1:15" x14ac:dyDescent="0.3">
      <c r="A101" t="s">
        <v>114</v>
      </c>
      <c r="B101" s="2">
        <v>44985</v>
      </c>
      <c r="C101" s="2">
        <v>45005</v>
      </c>
      <c r="D101" t="s">
        <v>649</v>
      </c>
      <c r="E101" t="s">
        <v>656</v>
      </c>
      <c r="F101" t="s">
        <v>671</v>
      </c>
      <c r="G101" t="s">
        <v>705</v>
      </c>
      <c r="H101" t="s">
        <v>711</v>
      </c>
      <c r="I101" t="s">
        <v>722</v>
      </c>
      <c r="J101" t="s">
        <v>731</v>
      </c>
      <c r="K101" t="s">
        <v>833</v>
      </c>
      <c r="L101">
        <v>1200.78</v>
      </c>
      <c r="M101">
        <v>2001.17</v>
      </c>
      <c r="N101">
        <v>0.29199999999999998</v>
      </c>
      <c r="O101">
        <v>18</v>
      </c>
    </row>
    <row r="102" spans="1:15" x14ac:dyDescent="0.3">
      <c r="A102" t="s">
        <v>115</v>
      </c>
      <c r="B102" s="2">
        <v>45684</v>
      </c>
      <c r="C102" s="2">
        <v>45703</v>
      </c>
      <c r="D102" t="s">
        <v>647</v>
      </c>
      <c r="E102" t="s">
        <v>659</v>
      </c>
      <c r="F102" t="s">
        <v>676</v>
      </c>
      <c r="G102" t="s">
        <v>703</v>
      </c>
      <c r="H102" t="s">
        <v>711</v>
      </c>
      <c r="I102" t="s">
        <v>716</v>
      </c>
      <c r="J102" t="s">
        <v>730</v>
      </c>
      <c r="K102" t="s">
        <v>834</v>
      </c>
      <c r="L102">
        <v>1253.22</v>
      </c>
      <c r="M102">
        <v>3104.71</v>
      </c>
      <c r="N102">
        <v>0</v>
      </c>
      <c r="O102">
        <v>17</v>
      </c>
    </row>
    <row r="103" spans="1:15" x14ac:dyDescent="0.3">
      <c r="A103" t="s">
        <v>116</v>
      </c>
      <c r="B103" s="2">
        <v>45304</v>
      </c>
      <c r="C103" s="2">
        <v>45313</v>
      </c>
      <c r="D103" t="s">
        <v>647</v>
      </c>
      <c r="E103" t="s">
        <v>654</v>
      </c>
      <c r="F103" t="s">
        <v>691</v>
      </c>
      <c r="G103" t="s">
        <v>706</v>
      </c>
      <c r="H103" t="s">
        <v>709</v>
      </c>
      <c r="I103" t="s">
        <v>713</v>
      </c>
      <c r="J103" t="s">
        <v>727</v>
      </c>
      <c r="K103" t="s">
        <v>835</v>
      </c>
      <c r="L103">
        <v>313.60000000000002</v>
      </c>
      <c r="M103">
        <v>334.28</v>
      </c>
      <c r="N103">
        <v>0.14000000000000001</v>
      </c>
      <c r="O103">
        <v>22</v>
      </c>
    </row>
    <row r="104" spans="1:15" x14ac:dyDescent="0.3">
      <c r="A104" t="s">
        <v>117</v>
      </c>
      <c r="B104" s="2">
        <v>45747</v>
      </c>
      <c r="C104" s="2">
        <v>45751</v>
      </c>
      <c r="D104" t="s">
        <v>646</v>
      </c>
      <c r="E104" t="s">
        <v>650</v>
      </c>
      <c r="F104" t="s">
        <v>678</v>
      </c>
      <c r="G104" t="s">
        <v>701</v>
      </c>
      <c r="H104" t="s">
        <v>711</v>
      </c>
      <c r="I104" t="s">
        <v>712</v>
      </c>
      <c r="J104" t="s">
        <v>731</v>
      </c>
      <c r="K104" t="s">
        <v>836</v>
      </c>
      <c r="L104">
        <v>862.08</v>
      </c>
      <c r="M104">
        <v>1952.83</v>
      </c>
      <c r="N104">
        <v>0</v>
      </c>
      <c r="O104">
        <v>7</v>
      </c>
    </row>
    <row r="105" spans="1:15" x14ac:dyDescent="0.3">
      <c r="A105" t="s">
        <v>118</v>
      </c>
      <c r="B105" s="2">
        <v>45631</v>
      </c>
      <c r="C105" s="2">
        <v>45654</v>
      </c>
      <c r="D105" t="s">
        <v>648</v>
      </c>
      <c r="E105" t="s">
        <v>653</v>
      </c>
      <c r="F105" t="s">
        <v>688</v>
      </c>
      <c r="G105" t="s">
        <v>701</v>
      </c>
      <c r="H105" t="s">
        <v>711</v>
      </c>
      <c r="I105" t="s">
        <v>721</v>
      </c>
      <c r="J105" t="s">
        <v>733</v>
      </c>
      <c r="K105" t="s">
        <v>837</v>
      </c>
      <c r="L105">
        <v>107.03</v>
      </c>
      <c r="M105">
        <v>242.29</v>
      </c>
      <c r="N105">
        <v>0.18</v>
      </c>
      <c r="O105">
        <v>30</v>
      </c>
    </row>
    <row r="106" spans="1:15" x14ac:dyDescent="0.3">
      <c r="A106" t="s">
        <v>119</v>
      </c>
      <c r="B106" s="2">
        <v>45549</v>
      </c>
      <c r="C106" s="2">
        <v>45570</v>
      </c>
      <c r="D106" t="s">
        <v>647</v>
      </c>
      <c r="E106" t="s">
        <v>659</v>
      </c>
      <c r="F106" t="s">
        <v>685</v>
      </c>
      <c r="G106" t="s">
        <v>705</v>
      </c>
      <c r="H106" t="s">
        <v>708</v>
      </c>
      <c r="I106" t="s">
        <v>722</v>
      </c>
      <c r="J106" t="s">
        <v>731</v>
      </c>
      <c r="K106" t="s">
        <v>838</v>
      </c>
      <c r="L106">
        <v>1405.56</v>
      </c>
      <c r="M106">
        <v>2968.87</v>
      </c>
      <c r="N106">
        <v>0.16900000000000001</v>
      </c>
      <c r="O106">
        <v>5</v>
      </c>
    </row>
    <row r="107" spans="1:15" x14ac:dyDescent="0.3">
      <c r="A107" t="s">
        <v>120</v>
      </c>
      <c r="B107" s="2">
        <v>45433</v>
      </c>
      <c r="C107" s="2">
        <v>45439</v>
      </c>
      <c r="D107" t="s">
        <v>646</v>
      </c>
      <c r="E107" t="s">
        <v>661</v>
      </c>
      <c r="F107" t="s">
        <v>682</v>
      </c>
      <c r="G107" t="s">
        <v>703</v>
      </c>
      <c r="H107" t="s">
        <v>708</v>
      </c>
      <c r="I107" t="s">
        <v>724</v>
      </c>
      <c r="J107" t="s">
        <v>727</v>
      </c>
      <c r="K107" t="s">
        <v>839</v>
      </c>
      <c r="L107">
        <v>1157.51</v>
      </c>
      <c r="M107">
        <v>1394.3</v>
      </c>
      <c r="N107">
        <v>0.27800000000000002</v>
      </c>
      <c r="O107">
        <v>12</v>
      </c>
    </row>
    <row r="108" spans="1:15" x14ac:dyDescent="0.3">
      <c r="A108" t="s">
        <v>121</v>
      </c>
      <c r="B108" s="2">
        <v>45057</v>
      </c>
      <c r="C108" s="2">
        <v>45084</v>
      </c>
      <c r="D108" t="s">
        <v>646</v>
      </c>
      <c r="E108" t="s">
        <v>650</v>
      </c>
      <c r="F108" t="s">
        <v>675</v>
      </c>
      <c r="G108" t="s">
        <v>701</v>
      </c>
      <c r="H108" t="s">
        <v>708</v>
      </c>
      <c r="I108" t="s">
        <v>713</v>
      </c>
      <c r="J108" t="s">
        <v>730</v>
      </c>
      <c r="K108" t="s">
        <v>840</v>
      </c>
      <c r="L108">
        <v>12.85</v>
      </c>
      <c r="M108">
        <v>15.41</v>
      </c>
      <c r="N108">
        <v>0.13700000000000001</v>
      </c>
      <c r="O108">
        <v>39</v>
      </c>
    </row>
    <row r="109" spans="1:15" x14ac:dyDescent="0.3">
      <c r="A109" t="s">
        <v>122</v>
      </c>
      <c r="B109" s="2">
        <v>45518</v>
      </c>
      <c r="C109" s="2">
        <v>45539</v>
      </c>
      <c r="D109" t="s">
        <v>649</v>
      </c>
      <c r="E109" t="s">
        <v>658</v>
      </c>
      <c r="F109" t="s">
        <v>693</v>
      </c>
      <c r="G109" t="s">
        <v>703</v>
      </c>
      <c r="H109" t="s">
        <v>708</v>
      </c>
      <c r="I109" t="s">
        <v>713</v>
      </c>
      <c r="J109" t="s">
        <v>730</v>
      </c>
      <c r="K109" t="s">
        <v>841</v>
      </c>
      <c r="L109">
        <v>1138.8</v>
      </c>
      <c r="M109">
        <v>2250.81</v>
      </c>
      <c r="N109">
        <v>0.123</v>
      </c>
      <c r="O109">
        <v>12</v>
      </c>
    </row>
    <row r="110" spans="1:15" x14ac:dyDescent="0.3">
      <c r="A110" t="s">
        <v>123</v>
      </c>
      <c r="B110" s="2">
        <v>45581</v>
      </c>
      <c r="C110" s="2">
        <v>45604</v>
      </c>
      <c r="D110" t="s">
        <v>647</v>
      </c>
      <c r="E110" t="s">
        <v>652</v>
      </c>
      <c r="F110" t="s">
        <v>666</v>
      </c>
      <c r="G110" t="s">
        <v>705</v>
      </c>
      <c r="H110" t="s">
        <v>707</v>
      </c>
      <c r="I110" t="s">
        <v>713</v>
      </c>
      <c r="J110" t="s">
        <v>729</v>
      </c>
      <c r="K110" t="s">
        <v>842</v>
      </c>
      <c r="L110">
        <v>82.14</v>
      </c>
      <c r="M110">
        <v>166.04</v>
      </c>
      <c r="N110">
        <v>0</v>
      </c>
      <c r="O110">
        <v>10</v>
      </c>
    </row>
    <row r="111" spans="1:15" x14ac:dyDescent="0.3">
      <c r="A111" t="s">
        <v>124</v>
      </c>
      <c r="B111" s="2">
        <v>45445</v>
      </c>
      <c r="C111" s="2">
        <v>45451</v>
      </c>
      <c r="D111" t="s">
        <v>646</v>
      </c>
      <c r="E111" t="s">
        <v>650</v>
      </c>
      <c r="F111" t="s">
        <v>662</v>
      </c>
      <c r="G111" t="s">
        <v>704</v>
      </c>
      <c r="H111" t="s">
        <v>709</v>
      </c>
      <c r="I111" t="s">
        <v>720</v>
      </c>
      <c r="J111" t="s">
        <v>733</v>
      </c>
      <c r="K111" t="s">
        <v>843</v>
      </c>
      <c r="L111">
        <v>292.94</v>
      </c>
      <c r="M111">
        <v>356.55</v>
      </c>
      <c r="N111">
        <v>0.22900000000000001</v>
      </c>
      <c r="O111">
        <v>2</v>
      </c>
    </row>
    <row r="112" spans="1:15" x14ac:dyDescent="0.3">
      <c r="A112" t="s">
        <v>125</v>
      </c>
      <c r="B112" s="2">
        <v>45452</v>
      </c>
      <c r="C112" s="2">
        <v>45480</v>
      </c>
      <c r="D112" t="s">
        <v>647</v>
      </c>
      <c r="E112" t="s">
        <v>659</v>
      </c>
      <c r="F112" t="s">
        <v>676</v>
      </c>
      <c r="G112" t="s">
        <v>701</v>
      </c>
      <c r="H112" t="s">
        <v>708</v>
      </c>
      <c r="I112" t="s">
        <v>713</v>
      </c>
      <c r="J112" t="s">
        <v>727</v>
      </c>
      <c r="K112" t="s">
        <v>844</v>
      </c>
      <c r="L112">
        <v>550.22</v>
      </c>
      <c r="M112">
        <v>1025.05</v>
      </c>
      <c r="N112">
        <v>0</v>
      </c>
      <c r="O112">
        <v>27</v>
      </c>
    </row>
    <row r="113" spans="1:15" x14ac:dyDescent="0.3">
      <c r="A113" t="s">
        <v>126</v>
      </c>
      <c r="B113" s="2">
        <v>45453</v>
      </c>
      <c r="C113" s="2">
        <v>45454</v>
      </c>
      <c r="D113" t="s">
        <v>649</v>
      </c>
      <c r="E113" t="s">
        <v>658</v>
      </c>
      <c r="F113" t="s">
        <v>674</v>
      </c>
      <c r="G113" t="s">
        <v>705</v>
      </c>
      <c r="H113" t="s">
        <v>709</v>
      </c>
      <c r="I113" t="s">
        <v>724</v>
      </c>
      <c r="J113" t="s">
        <v>731</v>
      </c>
      <c r="K113" t="s">
        <v>845</v>
      </c>
      <c r="L113">
        <v>1187.1300000000001</v>
      </c>
      <c r="M113">
        <v>1795.17</v>
      </c>
      <c r="N113">
        <v>1.2E-2</v>
      </c>
      <c r="O113">
        <v>17</v>
      </c>
    </row>
    <row r="114" spans="1:15" x14ac:dyDescent="0.3">
      <c r="A114" t="s">
        <v>127</v>
      </c>
      <c r="B114" s="2">
        <v>45472</v>
      </c>
      <c r="C114" s="2">
        <v>45499</v>
      </c>
      <c r="D114" t="s">
        <v>646</v>
      </c>
      <c r="E114" t="s">
        <v>661</v>
      </c>
      <c r="F114" t="s">
        <v>687</v>
      </c>
      <c r="G114" t="s">
        <v>706</v>
      </c>
      <c r="H114" t="s">
        <v>710</v>
      </c>
      <c r="I114" t="s">
        <v>717</v>
      </c>
      <c r="J114" t="s">
        <v>729</v>
      </c>
      <c r="K114" t="s">
        <v>846</v>
      </c>
      <c r="L114">
        <v>5.36</v>
      </c>
      <c r="M114">
        <v>4.37</v>
      </c>
      <c r="N114">
        <v>0.11799999999999999</v>
      </c>
      <c r="O114">
        <v>9</v>
      </c>
    </row>
    <row r="115" spans="1:15" x14ac:dyDescent="0.3">
      <c r="A115" t="s">
        <v>128</v>
      </c>
      <c r="B115" s="2">
        <v>45674</v>
      </c>
      <c r="C115" s="2">
        <v>45681</v>
      </c>
      <c r="D115" t="s">
        <v>648</v>
      </c>
      <c r="E115" t="s">
        <v>660</v>
      </c>
      <c r="F115" t="s">
        <v>697</v>
      </c>
      <c r="G115" t="s">
        <v>706</v>
      </c>
      <c r="H115" t="s">
        <v>708</v>
      </c>
      <c r="I115" t="s">
        <v>715</v>
      </c>
      <c r="J115" t="s">
        <v>733</v>
      </c>
      <c r="K115" t="s">
        <v>847</v>
      </c>
      <c r="L115">
        <v>142.09</v>
      </c>
      <c r="M115">
        <v>218.5</v>
      </c>
      <c r="N115">
        <v>0.11899999999999999</v>
      </c>
      <c r="O115">
        <v>11</v>
      </c>
    </row>
    <row r="116" spans="1:15" x14ac:dyDescent="0.3">
      <c r="A116" t="s">
        <v>129</v>
      </c>
      <c r="B116" s="2">
        <v>45250</v>
      </c>
      <c r="C116" s="2">
        <v>45265</v>
      </c>
      <c r="D116" t="s">
        <v>647</v>
      </c>
      <c r="E116" t="s">
        <v>652</v>
      </c>
      <c r="F116" t="s">
        <v>689</v>
      </c>
      <c r="G116" t="s">
        <v>706</v>
      </c>
      <c r="H116" t="s">
        <v>707</v>
      </c>
      <c r="I116" t="s">
        <v>716</v>
      </c>
      <c r="J116" t="s">
        <v>729</v>
      </c>
      <c r="K116" t="s">
        <v>848</v>
      </c>
      <c r="L116">
        <v>354.24</v>
      </c>
      <c r="M116">
        <v>249.87</v>
      </c>
      <c r="N116">
        <v>0</v>
      </c>
      <c r="O116">
        <v>6</v>
      </c>
    </row>
    <row r="117" spans="1:15" x14ac:dyDescent="0.3">
      <c r="A117" t="s">
        <v>130</v>
      </c>
      <c r="B117" s="2">
        <v>44987</v>
      </c>
      <c r="C117" s="2">
        <v>44990</v>
      </c>
      <c r="D117" t="s">
        <v>648</v>
      </c>
      <c r="E117" t="s">
        <v>655</v>
      </c>
      <c r="F117" t="s">
        <v>672</v>
      </c>
      <c r="G117" t="s">
        <v>706</v>
      </c>
      <c r="H117" t="s">
        <v>711</v>
      </c>
      <c r="I117" t="s">
        <v>715</v>
      </c>
      <c r="J117" t="s">
        <v>732</v>
      </c>
      <c r="K117" t="s">
        <v>849</v>
      </c>
      <c r="L117">
        <v>1473.58</v>
      </c>
      <c r="M117">
        <v>3436.52</v>
      </c>
      <c r="N117">
        <v>0.108</v>
      </c>
      <c r="O117">
        <v>8</v>
      </c>
    </row>
    <row r="118" spans="1:15" x14ac:dyDescent="0.3">
      <c r="A118" t="s">
        <v>131</v>
      </c>
      <c r="B118" s="2">
        <v>45811</v>
      </c>
      <c r="C118" s="2">
        <v>45818</v>
      </c>
      <c r="D118" t="s">
        <v>648</v>
      </c>
      <c r="E118" t="s">
        <v>653</v>
      </c>
      <c r="F118" t="s">
        <v>667</v>
      </c>
      <c r="G118" t="s">
        <v>704</v>
      </c>
      <c r="H118" t="s">
        <v>710</v>
      </c>
      <c r="I118" t="s">
        <v>719</v>
      </c>
      <c r="J118" t="s">
        <v>728</v>
      </c>
      <c r="K118" t="s">
        <v>850</v>
      </c>
      <c r="L118">
        <v>75.180000000000007</v>
      </c>
      <c r="M118">
        <v>53.45</v>
      </c>
      <c r="N118">
        <v>0.157</v>
      </c>
      <c r="O118">
        <v>17</v>
      </c>
    </row>
    <row r="119" spans="1:15" x14ac:dyDescent="0.3">
      <c r="A119" t="s">
        <v>132</v>
      </c>
      <c r="B119" s="2">
        <v>45653</v>
      </c>
      <c r="C119" s="2">
        <v>45659</v>
      </c>
      <c r="D119" t="s">
        <v>649</v>
      </c>
      <c r="E119" t="s">
        <v>656</v>
      </c>
      <c r="F119" t="s">
        <v>698</v>
      </c>
      <c r="G119" t="s">
        <v>702</v>
      </c>
      <c r="H119" t="s">
        <v>711</v>
      </c>
      <c r="I119" t="s">
        <v>721</v>
      </c>
      <c r="J119" t="s">
        <v>731</v>
      </c>
      <c r="K119" t="s">
        <v>851</v>
      </c>
      <c r="L119">
        <v>1391.99</v>
      </c>
      <c r="M119">
        <v>3469.7</v>
      </c>
      <c r="N119">
        <v>0.184</v>
      </c>
      <c r="O119">
        <v>23</v>
      </c>
    </row>
    <row r="120" spans="1:15" x14ac:dyDescent="0.3">
      <c r="A120" t="s">
        <v>133</v>
      </c>
      <c r="B120" s="2">
        <v>45086</v>
      </c>
      <c r="C120" s="2">
        <v>45096</v>
      </c>
      <c r="D120" t="s">
        <v>647</v>
      </c>
      <c r="E120" t="s">
        <v>659</v>
      </c>
      <c r="F120" t="s">
        <v>699</v>
      </c>
      <c r="G120" t="s">
        <v>706</v>
      </c>
      <c r="H120" t="s">
        <v>707</v>
      </c>
      <c r="I120" t="s">
        <v>721</v>
      </c>
      <c r="J120" t="s">
        <v>732</v>
      </c>
      <c r="K120" t="s">
        <v>852</v>
      </c>
      <c r="L120">
        <v>339.61</v>
      </c>
      <c r="M120">
        <v>621.02</v>
      </c>
      <c r="N120">
        <v>7.0999999999999994E-2</v>
      </c>
      <c r="O120">
        <v>10</v>
      </c>
    </row>
    <row r="121" spans="1:15" x14ac:dyDescent="0.3">
      <c r="A121" t="s">
        <v>134</v>
      </c>
      <c r="B121" s="2">
        <v>45847</v>
      </c>
      <c r="C121" s="2">
        <v>45856</v>
      </c>
      <c r="D121" t="s">
        <v>648</v>
      </c>
      <c r="E121" t="s">
        <v>653</v>
      </c>
      <c r="F121" t="s">
        <v>688</v>
      </c>
      <c r="G121" t="s">
        <v>702</v>
      </c>
      <c r="H121" t="s">
        <v>710</v>
      </c>
      <c r="I121" t="s">
        <v>714</v>
      </c>
      <c r="J121" t="s">
        <v>731</v>
      </c>
      <c r="K121" t="s">
        <v>853</v>
      </c>
      <c r="L121">
        <v>57.96</v>
      </c>
      <c r="M121">
        <v>88.51</v>
      </c>
      <c r="N121">
        <v>4.2999999999999997E-2</v>
      </c>
      <c r="O121">
        <v>7</v>
      </c>
    </row>
    <row r="122" spans="1:15" x14ac:dyDescent="0.3">
      <c r="A122" t="s">
        <v>135</v>
      </c>
      <c r="B122" s="2">
        <v>45827</v>
      </c>
      <c r="C122" s="2">
        <v>45850</v>
      </c>
      <c r="D122" t="s">
        <v>649</v>
      </c>
      <c r="E122" t="s">
        <v>658</v>
      </c>
      <c r="G122" t="s">
        <v>703</v>
      </c>
      <c r="H122" t="s">
        <v>711</v>
      </c>
      <c r="J122" t="s">
        <v>729</v>
      </c>
      <c r="K122" t="s">
        <v>854</v>
      </c>
      <c r="L122">
        <v>801.24</v>
      </c>
      <c r="M122">
        <v>1959.09</v>
      </c>
      <c r="N122">
        <v>0.123</v>
      </c>
      <c r="O122">
        <v>23</v>
      </c>
    </row>
    <row r="123" spans="1:15" x14ac:dyDescent="0.3">
      <c r="A123" t="s">
        <v>136</v>
      </c>
      <c r="B123" s="2">
        <v>45249</v>
      </c>
      <c r="C123" s="2">
        <v>45273</v>
      </c>
      <c r="D123" t="s">
        <v>649</v>
      </c>
      <c r="E123" t="s">
        <v>657</v>
      </c>
      <c r="F123" t="s">
        <v>679</v>
      </c>
      <c r="G123" t="s">
        <v>703</v>
      </c>
      <c r="H123" t="s">
        <v>711</v>
      </c>
      <c r="I123" t="s">
        <v>722</v>
      </c>
      <c r="J123" t="s">
        <v>732</v>
      </c>
      <c r="K123" t="s">
        <v>855</v>
      </c>
      <c r="L123">
        <v>1297.42</v>
      </c>
      <c r="M123">
        <v>2742.97</v>
      </c>
      <c r="N123">
        <v>6.9000000000000006E-2</v>
      </c>
      <c r="O123">
        <v>9</v>
      </c>
    </row>
    <row r="124" spans="1:15" x14ac:dyDescent="0.3">
      <c r="A124" t="s">
        <v>137</v>
      </c>
      <c r="B124" s="2">
        <v>45289</v>
      </c>
      <c r="C124" s="2">
        <v>45311</v>
      </c>
      <c r="D124" t="s">
        <v>646</v>
      </c>
      <c r="E124" t="s">
        <v>650</v>
      </c>
      <c r="F124" t="s">
        <v>662</v>
      </c>
      <c r="G124" t="s">
        <v>701</v>
      </c>
      <c r="H124" t="s">
        <v>711</v>
      </c>
      <c r="I124" t="s">
        <v>716</v>
      </c>
      <c r="J124" t="s">
        <v>730</v>
      </c>
      <c r="K124" t="s">
        <v>856</v>
      </c>
      <c r="L124">
        <v>1395.49</v>
      </c>
      <c r="M124">
        <v>1679.42</v>
      </c>
      <c r="N124">
        <v>0.20300000000000001</v>
      </c>
      <c r="O124">
        <v>12</v>
      </c>
    </row>
    <row r="125" spans="1:15" x14ac:dyDescent="0.3">
      <c r="A125" t="s">
        <v>138</v>
      </c>
      <c r="B125" s="2">
        <v>45598</v>
      </c>
      <c r="C125" s="2">
        <v>45625</v>
      </c>
      <c r="D125" t="s">
        <v>648</v>
      </c>
      <c r="E125" t="s">
        <v>655</v>
      </c>
      <c r="F125" t="s">
        <v>672</v>
      </c>
      <c r="G125" t="s">
        <v>705</v>
      </c>
      <c r="H125" t="s">
        <v>711</v>
      </c>
      <c r="I125" t="s">
        <v>714</v>
      </c>
      <c r="J125" t="s">
        <v>729</v>
      </c>
      <c r="K125" t="s">
        <v>857</v>
      </c>
      <c r="L125">
        <v>1363.51</v>
      </c>
      <c r="M125">
        <v>1433.9</v>
      </c>
      <c r="N125">
        <v>5.7000000000000002E-2</v>
      </c>
      <c r="O125">
        <v>8</v>
      </c>
    </row>
    <row r="126" spans="1:15" x14ac:dyDescent="0.3">
      <c r="A126" t="s">
        <v>139</v>
      </c>
      <c r="B126" s="2">
        <v>45159</v>
      </c>
      <c r="C126" s="2">
        <v>45173</v>
      </c>
      <c r="D126" t="s">
        <v>648</v>
      </c>
      <c r="E126" t="s">
        <v>653</v>
      </c>
      <c r="F126" t="s">
        <v>681</v>
      </c>
      <c r="G126" t="s">
        <v>702</v>
      </c>
      <c r="H126" t="s">
        <v>710</v>
      </c>
      <c r="I126" t="s">
        <v>721</v>
      </c>
      <c r="J126" t="s">
        <v>727</v>
      </c>
      <c r="K126" t="s">
        <v>858</v>
      </c>
      <c r="L126">
        <v>178.19</v>
      </c>
      <c r="M126">
        <v>284.43</v>
      </c>
      <c r="N126">
        <v>8.8999999999999996E-2</v>
      </c>
      <c r="O126">
        <v>8</v>
      </c>
    </row>
    <row r="127" spans="1:15" x14ac:dyDescent="0.3">
      <c r="A127" t="s">
        <v>140</v>
      </c>
      <c r="B127" s="2">
        <v>45150</v>
      </c>
      <c r="C127" s="2">
        <v>45175</v>
      </c>
      <c r="D127" t="s">
        <v>647</v>
      </c>
      <c r="E127" t="s">
        <v>659</v>
      </c>
      <c r="F127" t="s">
        <v>685</v>
      </c>
      <c r="G127" t="s">
        <v>705</v>
      </c>
      <c r="H127" t="s">
        <v>707</v>
      </c>
      <c r="I127" t="s">
        <v>717</v>
      </c>
      <c r="J127" t="s">
        <v>727</v>
      </c>
      <c r="K127" t="s">
        <v>859</v>
      </c>
      <c r="L127">
        <v>950.77</v>
      </c>
      <c r="M127">
        <v>694.78</v>
      </c>
      <c r="N127">
        <v>8.4000000000000005E-2</v>
      </c>
      <c r="O127">
        <v>14</v>
      </c>
    </row>
    <row r="128" spans="1:15" x14ac:dyDescent="0.3">
      <c r="A128" t="s">
        <v>141</v>
      </c>
      <c r="B128" s="2">
        <v>45450</v>
      </c>
      <c r="C128" s="2">
        <v>45469</v>
      </c>
      <c r="D128" t="s">
        <v>649</v>
      </c>
      <c r="E128" t="s">
        <v>656</v>
      </c>
      <c r="F128" t="s">
        <v>671</v>
      </c>
      <c r="G128" t="s">
        <v>703</v>
      </c>
      <c r="H128" t="s">
        <v>709</v>
      </c>
      <c r="I128" t="s">
        <v>724</v>
      </c>
      <c r="J128" t="s">
        <v>727</v>
      </c>
      <c r="K128" t="s">
        <v>860</v>
      </c>
      <c r="L128">
        <v>1064.32</v>
      </c>
      <c r="M128">
        <v>1848.39</v>
      </c>
      <c r="N128">
        <v>7.2999999999999995E-2</v>
      </c>
      <c r="O128">
        <v>38</v>
      </c>
    </row>
    <row r="129" spans="1:15" x14ac:dyDescent="0.3">
      <c r="A129" t="s">
        <v>142</v>
      </c>
      <c r="B129" s="2">
        <v>45874</v>
      </c>
      <c r="C129" s="2">
        <v>45883</v>
      </c>
      <c r="D129" t="s">
        <v>649</v>
      </c>
      <c r="E129" t="s">
        <v>658</v>
      </c>
      <c r="F129" t="s">
        <v>683</v>
      </c>
      <c r="G129" t="s">
        <v>703</v>
      </c>
      <c r="H129" t="s">
        <v>711</v>
      </c>
      <c r="I129" t="s">
        <v>718</v>
      </c>
      <c r="J129" t="s">
        <v>727</v>
      </c>
      <c r="K129" t="s">
        <v>861</v>
      </c>
      <c r="L129">
        <v>41.76</v>
      </c>
      <c r="M129">
        <v>45.19</v>
      </c>
      <c r="N129">
        <v>0.17899999999999999</v>
      </c>
      <c r="O129">
        <v>23</v>
      </c>
    </row>
    <row r="130" spans="1:15" x14ac:dyDescent="0.3">
      <c r="A130" t="s">
        <v>143</v>
      </c>
      <c r="B130" s="2">
        <v>45442</v>
      </c>
      <c r="C130" s="2">
        <v>45456</v>
      </c>
      <c r="D130" t="s">
        <v>648</v>
      </c>
      <c r="E130" t="s">
        <v>660</v>
      </c>
      <c r="F130" t="s">
        <v>686</v>
      </c>
      <c r="G130" t="s">
        <v>705</v>
      </c>
      <c r="H130" t="s">
        <v>707</v>
      </c>
      <c r="I130" t="s">
        <v>721</v>
      </c>
      <c r="J130" t="s">
        <v>730</v>
      </c>
      <c r="K130" t="s">
        <v>862</v>
      </c>
      <c r="L130">
        <v>157.78</v>
      </c>
      <c r="M130">
        <v>361.1</v>
      </c>
      <c r="N130">
        <v>0.187</v>
      </c>
      <c r="O130">
        <v>9</v>
      </c>
    </row>
    <row r="131" spans="1:15" x14ac:dyDescent="0.3">
      <c r="A131" t="s">
        <v>144</v>
      </c>
      <c r="B131" s="2">
        <v>44948</v>
      </c>
      <c r="C131" s="2">
        <v>44956</v>
      </c>
      <c r="D131" t="s">
        <v>648</v>
      </c>
      <c r="E131" t="s">
        <v>660</v>
      </c>
      <c r="F131" t="s">
        <v>686</v>
      </c>
      <c r="G131" t="s">
        <v>705</v>
      </c>
      <c r="H131" t="s">
        <v>708</v>
      </c>
      <c r="I131" t="s">
        <v>720</v>
      </c>
      <c r="J131" t="s">
        <v>729</v>
      </c>
      <c r="K131" t="s">
        <v>863</v>
      </c>
      <c r="L131">
        <v>413.52</v>
      </c>
      <c r="M131">
        <v>1004.34</v>
      </c>
      <c r="N131">
        <v>0.111</v>
      </c>
      <c r="O131">
        <v>18</v>
      </c>
    </row>
    <row r="132" spans="1:15" x14ac:dyDescent="0.3">
      <c r="A132" t="s">
        <v>145</v>
      </c>
      <c r="B132" s="2">
        <v>45700</v>
      </c>
      <c r="C132" s="2">
        <v>45716</v>
      </c>
      <c r="D132" t="s">
        <v>648</v>
      </c>
      <c r="E132" t="s">
        <v>655</v>
      </c>
      <c r="F132" t="s">
        <v>670</v>
      </c>
      <c r="G132" t="s">
        <v>703</v>
      </c>
      <c r="H132" t="s">
        <v>711</v>
      </c>
      <c r="I132" t="s">
        <v>717</v>
      </c>
      <c r="J132" t="s">
        <v>732</v>
      </c>
      <c r="K132" t="s">
        <v>864</v>
      </c>
      <c r="L132">
        <v>414.95</v>
      </c>
      <c r="M132">
        <v>1027.73</v>
      </c>
      <c r="N132">
        <v>6.3E-2</v>
      </c>
      <c r="O132">
        <v>8</v>
      </c>
    </row>
    <row r="133" spans="1:15" x14ac:dyDescent="0.3">
      <c r="A133" t="s">
        <v>146</v>
      </c>
      <c r="B133" s="2">
        <v>45719</v>
      </c>
      <c r="C133" s="2">
        <v>45740</v>
      </c>
      <c r="D133" t="s">
        <v>646</v>
      </c>
      <c r="E133" t="s">
        <v>651</v>
      </c>
      <c r="F133" t="s">
        <v>669</v>
      </c>
      <c r="G133" t="s">
        <v>706</v>
      </c>
      <c r="H133" t="s">
        <v>711</v>
      </c>
      <c r="I133" t="s">
        <v>722</v>
      </c>
      <c r="J133" t="s">
        <v>733</v>
      </c>
      <c r="K133" t="s">
        <v>865</v>
      </c>
      <c r="L133">
        <v>555.95000000000005</v>
      </c>
      <c r="M133">
        <v>468.09</v>
      </c>
      <c r="N133">
        <v>0.14199999999999999</v>
      </c>
      <c r="O133">
        <v>11</v>
      </c>
    </row>
    <row r="134" spans="1:15" x14ac:dyDescent="0.3">
      <c r="A134" t="s">
        <v>147</v>
      </c>
      <c r="B134" s="2">
        <v>44953</v>
      </c>
      <c r="C134" s="2">
        <v>44957</v>
      </c>
      <c r="D134" t="s">
        <v>649</v>
      </c>
      <c r="E134" t="s">
        <v>658</v>
      </c>
      <c r="F134" t="s">
        <v>693</v>
      </c>
      <c r="G134" t="s">
        <v>706</v>
      </c>
      <c r="H134" t="s">
        <v>708</v>
      </c>
      <c r="I134" t="s">
        <v>725</v>
      </c>
      <c r="J134" t="s">
        <v>731</v>
      </c>
      <c r="K134" t="s">
        <v>866</v>
      </c>
      <c r="L134">
        <v>941.2</v>
      </c>
      <c r="M134">
        <v>668.02</v>
      </c>
      <c r="N134">
        <v>0.22</v>
      </c>
      <c r="O134">
        <v>16</v>
      </c>
    </row>
    <row r="135" spans="1:15" x14ac:dyDescent="0.3">
      <c r="A135" t="s">
        <v>148</v>
      </c>
      <c r="B135" s="2">
        <v>45666</v>
      </c>
      <c r="C135" s="2">
        <v>45672</v>
      </c>
      <c r="D135" t="s">
        <v>647</v>
      </c>
      <c r="E135" t="s">
        <v>659</v>
      </c>
      <c r="F135" t="s">
        <v>699</v>
      </c>
      <c r="G135" t="s">
        <v>702</v>
      </c>
      <c r="H135" t="s">
        <v>708</v>
      </c>
      <c r="I135" t="s">
        <v>712</v>
      </c>
      <c r="J135" t="s">
        <v>730</v>
      </c>
      <c r="K135" t="s">
        <v>867</v>
      </c>
      <c r="L135">
        <v>304.77999999999997</v>
      </c>
      <c r="M135">
        <v>537.27</v>
      </c>
      <c r="N135">
        <v>0.187</v>
      </c>
      <c r="O135">
        <v>8</v>
      </c>
    </row>
    <row r="136" spans="1:15" x14ac:dyDescent="0.3">
      <c r="A136" t="s">
        <v>149</v>
      </c>
      <c r="B136" s="2">
        <v>45647</v>
      </c>
      <c r="C136" s="2">
        <v>45652</v>
      </c>
      <c r="D136" t="s">
        <v>648</v>
      </c>
      <c r="E136" t="s">
        <v>660</v>
      </c>
      <c r="F136" t="s">
        <v>686</v>
      </c>
      <c r="G136" t="s">
        <v>704</v>
      </c>
      <c r="H136" t="s">
        <v>709</v>
      </c>
      <c r="I136" t="s">
        <v>724</v>
      </c>
      <c r="J136" t="s">
        <v>728</v>
      </c>
      <c r="K136" t="s">
        <v>868</v>
      </c>
      <c r="L136">
        <v>699.57</v>
      </c>
      <c r="M136">
        <v>572.71</v>
      </c>
      <c r="N136">
        <v>0.192</v>
      </c>
      <c r="O136">
        <v>26</v>
      </c>
    </row>
    <row r="137" spans="1:15" x14ac:dyDescent="0.3">
      <c r="A137" t="s">
        <v>150</v>
      </c>
      <c r="B137" s="2">
        <v>45028</v>
      </c>
      <c r="C137" s="2">
        <v>45033</v>
      </c>
      <c r="D137" t="s">
        <v>649</v>
      </c>
      <c r="E137" t="s">
        <v>657</v>
      </c>
      <c r="F137" t="s">
        <v>679</v>
      </c>
      <c r="G137" t="s">
        <v>706</v>
      </c>
      <c r="H137" t="s">
        <v>711</v>
      </c>
      <c r="I137" t="s">
        <v>718</v>
      </c>
      <c r="J137" t="s">
        <v>732</v>
      </c>
      <c r="K137" t="s">
        <v>869</v>
      </c>
      <c r="L137">
        <v>1087.81</v>
      </c>
      <c r="M137">
        <v>2323.87</v>
      </c>
      <c r="N137">
        <v>9.4E-2</v>
      </c>
      <c r="O137">
        <v>13</v>
      </c>
    </row>
    <row r="138" spans="1:15" x14ac:dyDescent="0.3">
      <c r="A138" t="s">
        <v>151</v>
      </c>
      <c r="B138" s="2">
        <v>45640</v>
      </c>
      <c r="C138" s="2">
        <v>45669</v>
      </c>
      <c r="D138" t="s">
        <v>647</v>
      </c>
      <c r="E138" t="s">
        <v>659</v>
      </c>
      <c r="F138" t="s">
        <v>676</v>
      </c>
      <c r="G138" t="s">
        <v>702</v>
      </c>
      <c r="H138" t="s">
        <v>708</v>
      </c>
      <c r="I138" t="s">
        <v>713</v>
      </c>
      <c r="J138" t="s">
        <v>727</v>
      </c>
      <c r="K138" t="s">
        <v>870</v>
      </c>
      <c r="L138">
        <v>1412.15</v>
      </c>
      <c r="M138">
        <v>1631.04</v>
      </c>
      <c r="N138">
        <v>8.9999999999999993E-3</v>
      </c>
      <c r="O138">
        <v>6</v>
      </c>
    </row>
    <row r="139" spans="1:15" x14ac:dyDescent="0.3">
      <c r="A139" t="s">
        <v>152</v>
      </c>
      <c r="B139" s="2">
        <v>45016</v>
      </c>
      <c r="C139" s="2">
        <v>45028</v>
      </c>
      <c r="D139" t="s">
        <v>646</v>
      </c>
      <c r="E139" t="s">
        <v>650</v>
      </c>
      <c r="F139" t="s">
        <v>675</v>
      </c>
      <c r="G139" t="s">
        <v>705</v>
      </c>
      <c r="H139" t="s">
        <v>708</v>
      </c>
      <c r="I139" t="s">
        <v>712</v>
      </c>
      <c r="J139" t="s">
        <v>730</v>
      </c>
      <c r="K139" t="s">
        <v>871</v>
      </c>
      <c r="L139">
        <v>304.22000000000003</v>
      </c>
      <c r="M139">
        <v>393.31</v>
      </c>
      <c r="N139">
        <v>0.26500000000000001</v>
      </c>
      <c r="O139">
        <v>15</v>
      </c>
    </row>
    <row r="140" spans="1:15" x14ac:dyDescent="0.3">
      <c r="A140" t="s">
        <v>153</v>
      </c>
      <c r="B140" s="2">
        <v>45616</v>
      </c>
      <c r="C140" s="2">
        <v>45641</v>
      </c>
      <c r="D140" t="s">
        <v>649</v>
      </c>
      <c r="E140" t="s">
        <v>657</v>
      </c>
      <c r="F140" t="s">
        <v>690</v>
      </c>
      <c r="G140" t="s">
        <v>701</v>
      </c>
      <c r="H140" t="s">
        <v>708</v>
      </c>
      <c r="I140" t="s">
        <v>715</v>
      </c>
      <c r="J140" t="s">
        <v>728</v>
      </c>
      <c r="K140" t="s">
        <v>872</v>
      </c>
      <c r="L140">
        <v>1203.58</v>
      </c>
      <c r="M140">
        <v>1856.16</v>
      </c>
      <c r="N140">
        <v>0.129</v>
      </c>
      <c r="O140">
        <v>22</v>
      </c>
    </row>
    <row r="141" spans="1:15" x14ac:dyDescent="0.3">
      <c r="A141" t="s">
        <v>154</v>
      </c>
      <c r="B141" s="2">
        <v>45336</v>
      </c>
      <c r="C141" s="2">
        <v>45336</v>
      </c>
      <c r="D141" t="s">
        <v>647</v>
      </c>
      <c r="E141" t="s">
        <v>659</v>
      </c>
      <c r="F141" t="s">
        <v>699</v>
      </c>
      <c r="G141" t="s">
        <v>701</v>
      </c>
      <c r="H141" t="s">
        <v>710</v>
      </c>
      <c r="I141" t="s">
        <v>716</v>
      </c>
      <c r="J141" t="s">
        <v>733</v>
      </c>
      <c r="K141" t="s">
        <v>873</v>
      </c>
      <c r="L141">
        <v>65.930000000000007</v>
      </c>
      <c r="M141">
        <v>84.9</v>
      </c>
      <c r="N141">
        <v>0.25900000000000001</v>
      </c>
      <c r="O141">
        <v>23</v>
      </c>
    </row>
    <row r="142" spans="1:15" x14ac:dyDescent="0.3">
      <c r="A142" t="s">
        <v>155</v>
      </c>
      <c r="B142" s="2">
        <v>45048</v>
      </c>
      <c r="C142" s="2">
        <v>45064</v>
      </c>
      <c r="D142" t="s">
        <v>647</v>
      </c>
      <c r="E142" t="s">
        <v>654</v>
      </c>
      <c r="F142" t="s">
        <v>680</v>
      </c>
      <c r="G142" t="s">
        <v>705</v>
      </c>
      <c r="H142" t="s">
        <v>709</v>
      </c>
      <c r="I142" t="s">
        <v>723</v>
      </c>
      <c r="J142" t="s">
        <v>732</v>
      </c>
      <c r="K142" t="s">
        <v>874</v>
      </c>
      <c r="L142">
        <v>1463.92</v>
      </c>
      <c r="M142">
        <v>2252.2399999999998</v>
      </c>
      <c r="N142">
        <v>0.11799999999999999</v>
      </c>
      <c r="O142">
        <v>44</v>
      </c>
    </row>
    <row r="143" spans="1:15" x14ac:dyDescent="0.3">
      <c r="A143" t="s">
        <v>156</v>
      </c>
      <c r="B143" s="2">
        <v>45649</v>
      </c>
      <c r="C143" s="2">
        <v>45668</v>
      </c>
      <c r="D143" t="s">
        <v>649</v>
      </c>
      <c r="E143" t="s">
        <v>656</v>
      </c>
      <c r="F143" t="s">
        <v>671</v>
      </c>
      <c r="G143" t="s">
        <v>702</v>
      </c>
      <c r="H143" t="s">
        <v>707</v>
      </c>
      <c r="I143" t="s">
        <v>723</v>
      </c>
      <c r="J143" t="s">
        <v>730</v>
      </c>
      <c r="K143" t="s">
        <v>875</v>
      </c>
      <c r="L143">
        <v>501.81</v>
      </c>
      <c r="M143">
        <v>921.62</v>
      </c>
      <c r="N143">
        <v>0.01</v>
      </c>
      <c r="O143">
        <v>9</v>
      </c>
    </row>
    <row r="144" spans="1:15" x14ac:dyDescent="0.3">
      <c r="A144" t="s">
        <v>157</v>
      </c>
      <c r="B144" s="2">
        <v>45133</v>
      </c>
      <c r="C144" s="2">
        <v>45163</v>
      </c>
      <c r="D144" t="s">
        <v>648</v>
      </c>
      <c r="E144" t="s">
        <v>660</v>
      </c>
      <c r="F144" t="s">
        <v>700</v>
      </c>
      <c r="G144" t="s">
        <v>704</v>
      </c>
      <c r="H144" t="s">
        <v>707</v>
      </c>
      <c r="I144" t="s">
        <v>724</v>
      </c>
      <c r="J144" t="s">
        <v>733</v>
      </c>
      <c r="K144" t="s">
        <v>876</v>
      </c>
      <c r="L144">
        <v>1261.48</v>
      </c>
      <c r="M144">
        <v>1643.18</v>
      </c>
      <c r="N144">
        <v>0.151</v>
      </c>
      <c r="O144">
        <v>23</v>
      </c>
    </row>
    <row r="145" spans="1:15" x14ac:dyDescent="0.3">
      <c r="A145" t="s">
        <v>158</v>
      </c>
      <c r="B145" s="2">
        <v>45458</v>
      </c>
      <c r="C145" s="2">
        <v>45479</v>
      </c>
      <c r="D145" t="s">
        <v>648</v>
      </c>
      <c r="E145" t="s">
        <v>653</v>
      </c>
      <c r="F145" t="s">
        <v>667</v>
      </c>
      <c r="G145" t="s">
        <v>706</v>
      </c>
      <c r="H145" t="s">
        <v>710</v>
      </c>
      <c r="I145" t="s">
        <v>716</v>
      </c>
      <c r="J145" t="s">
        <v>728</v>
      </c>
      <c r="K145" t="s">
        <v>877</v>
      </c>
      <c r="L145">
        <v>817.23</v>
      </c>
      <c r="M145">
        <v>1467.17</v>
      </c>
      <c r="N145">
        <v>0.245</v>
      </c>
      <c r="O145">
        <v>9</v>
      </c>
    </row>
    <row r="146" spans="1:15" x14ac:dyDescent="0.3">
      <c r="A146" t="s">
        <v>159</v>
      </c>
      <c r="B146" s="2">
        <v>45112</v>
      </c>
      <c r="C146" s="2">
        <v>45121</v>
      </c>
      <c r="D146" t="s">
        <v>648</v>
      </c>
      <c r="E146" t="s">
        <v>655</v>
      </c>
      <c r="F146" t="s">
        <v>672</v>
      </c>
      <c r="G146" t="s">
        <v>706</v>
      </c>
      <c r="H146" t="s">
        <v>711</v>
      </c>
      <c r="I146" t="s">
        <v>717</v>
      </c>
      <c r="J146" t="s">
        <v>729</v>
      </c>
      <c r="K146" t="s">
        <v>878</v>
      </c>
      <c r="L146">
        <v>578.85</v>
      </c>
      <c r="M146">
        <v>998.76</v>
      </c>
      <c r="N146">
        <v>8.2000000000000003E-2</v>
      </c>
      <c r="O146">
        <v>28</v>
      </c>
    </row>
    <row r="147" spans="1:15" x14ac:dyDescent="0.3">
      <c r="A147" t="s">
        <v>160</v>
      </c>
      <c r="B147" s="2">
        <v>45260</v>
      </c>
      <c r="C147" s="2">
        <v>45259</v>
      </c>
      <c r="D147" t="s">
        <v>646</v>
      </c>
      <c r="E147" t="s">
        <v>661</v>
      </c>
      <c r="F147" t="s">
        <v>687</v>
      </c>
      <c r="G147" t="s">
        <v>705</v>
      </c>
      <c r="H147" t="s">
        <v>709</v>
      </c>
      <c r="I147" t="s">
        <v>718</v>
      </c>
      <c r="J147" t="s">
        <v>731</v>
      </c>
      <c r="K147" t="s">
        <v>879</v>
      </c>
      <c r="L147">
        <v>275.56</v>
      </c>
      <c r="M147">
        <v>630.72</v>
      </c>
      <c r="N147">
        <v>0.107</v>
      </c>
      <c r="O147">
        <v>23</v>
      </c>
    </row>
    <row r="148" spans="1:15" x14ac:dyDescent="0.3">
      <c r="A148" t="s">
        <v>161</v>
      </c>
      <c r="B148" s="2">
        <v>45911</v>
      </c>
      <c r="C148" s="2">
        <v>45928</v>
      </c>
      <c r="D148" t="s">
        <v>646</v>
      </c>
      <c r="E148" t="s">
        <v>650</v>
      </c>
      <c r="F148" t="s">
        <v>664</v>
      </c>
      <c r="G148" t="s">
        <v>703</v>
      </c>
      <c r="H148" t="s">
        <v>710</v>
      </c>
      <c r="I148" t="s">
        <v>713</v>
      </c>
      <c r="J148" t="s">
        <v>731</v>
      </c>
      <c r="K148" t="s">
        <v>880</v>
      </c>
      <c r="L148">
        <v>891.46</v>
      </c>
      <c r="M148">
        <v>728.61</v>
      </c>
      <c r="N148">
        <v>0.185</v>
      </c>
      <c r="O148">
        <v>6</v>
      </c>
    </row>
    <row r="149" spans="1:15" x14ac:dyDescent="0.3">
      <c r="A149" t="s">
        <v>162</v>
      </c>
      <c r="B149" s="2">
        <v>45386</v>
      </c>
      <c r="C149" s="2">
        <v>45406</v>
      </c>
      <c r="D149" t="s">
        <v>649</v>
      </c>
      <c r="E149" t="s">
        <v>656</v>
      </c>
      <c r="F149" t="s">
        <v>698</v>
      </c>
      <c r="G149" t="s">
        <v>703</v>
      </c>
      <c r="H149" t="s">
        <v>711</v>
      </c>
      <c r="I149" t="s">
        <v>719</v>
      </c>
      <c r="J149" t="s">
        <v>733</v>
      </c>
      <c r="K149" t="s">
        <v>881</v>
      </c>
      <c r="L149">
        <v>683.42</v>
      </c>
      <c r="M149">
        <v>951.51</v>
      </c>
      <c r="N149">
        <v>0</v>
      </c>
      <c r="O149">
        <v>14</v>
      </c>
    </row>
    <row r="150" spans="1:15" x14ac:dyDescent="0.3">
      <c r="A150" t="s">
        <v>163</v>
      </c>
      <c r="B150" s="2">
        <v>45183</v>
      </c>
      <c r="C150" s="2">
        <v>45185</v>
      </c>
      <c r="D150" t="s">
        <v>649</v>
      </c>
      <c r="E150" t="s">
        <v>657</v>
      </c>
      <c r="F150" t="s">
        <v>679</v>
      </c>
      <c r="G150" t="s">
        <v>703</v>
      </c>
      <c r="H150" t="s">
        <v>711</v>
      </c>
      <c r="I150" t="s">
        <v>717</v>
      </c>
      <c r="J150" t="s">
        <v>728</v>
      </c>
      <c r="K150" t="s">
        <v>882</v>
      </c>
      <c r="L150">
        <v>376.83</v>
      </c>
      <c r="M150">
        <v>732.88</v>
      </c>
      <c r="N150">
        <v>0.188</v>
      </c>
      <c r="O150">
        <v>25</v>
      </c>
    </row>
    <row r="151" spans="1:15" x14ac:dyDescent="0.3">
      <c r="A151" t="s">
        <v>164</v>
      </c>
      <c r="B151" s="2">
        <v>45558</v>
      </c>
      <c r="C151" s="2">
        <v>45583</v>
      </c>
      <c r="D151" t="s">
        <v>648</v>
      </c>
      <c r="E151" t="s">
        <v>653</v>
      </c>
      <c r="F151" t="s">
        <v>688</v>
      </c>
      <c r="G151" t="s">
        <v>705</v>
      </c>
      <c r="H151" t="s">
        <v>708</v>
      </c>
      <c r="I151" t="s">
        <v>725</v>
      </c>
      <c r="J151" t="s">
        <v>730</v>
      </c>
      <c r="K151" t="s">
        <v>883</v>
      </c>
      <c r="L151">
        <v>1297</v>
      </c>
      <c r="M151">
        <v>2411.52</v>
      </c>
      <c r="N151">
        <v>2.1000000000000001E-2</v>
      </c>
      <c r="O151">
        <v>18</v>
      </c>
    </row>
    <row r="152" spans="1:15" x14ac:dyDescent="0.3">
      <c r="A152" t="s">
        <v>165</v>
      </c>
      <c r="B152" s="2">
        <v>45763</v>
      </c>
      <c r="C152" s="2">
        <v>45793</v>
      </c>
      <c r="D152" t="s">
        <v>648</v>
      </c>
      <c r="E152" t="s">
        <v>653</v>
      </c>
      <c r="F152" t="s">
        <v>681</v>
      </c>
      <c r="G152" t="s">
        <v>706</v>
      </c>
      <c r="H152" t="s">
        <v>710</v>
      </c>
      <c r="I152" t="s">
        <v>723</v>
      </c>
      <c r="J152" t="s">
        <v>728</v>
      </c>
      <c r="K152" t="s">
        <v>884</v>
      </c>
      <c r="L152">
        <v>763.32</v>
      </c>
      <c r="M152">
        <v>568.29</v>
      </c>
      <c r="N152">
        <v>0.13100000000000001</v>
      </c>
      <c r="O152">
        <v>16</v>
      </c>
    </row>
    <row r="153" spans="1:15" x14ac:dyDescent="0.3">
      <c r="A153" t="s">
        <v>166</v>
      </c>
      <c r="B153" s="2">
        <v>45110</v>
      </c>
      <c r="C153" s="2">
        <v>45130</v>
      </c>
      <c r="D153" t="s">
        <v>646</v>
      </c>
      <c r="E153" t="s">
        <v>661</v>
      </c>
      <c r="F153" t="s">
        <v>682</v>
      </c>
      <c r="G153" t="s">
        <v>705</v>
      </c>
      <c r="H153" t="s">
        <v>710</v>
      </c>
      <c r="I153" t="s">
        <v>721</v>
      </c>
      <c r="J153" t="s">
        <v>731</v>
      </c>
      <c r="K153" t="s">
        <v>885</v>
      </c>
      <c r="L153">
        <v>1001.96</v>
      </c>
      <c r="M153">
        <v>1254.95</v>
      </c>
      <c r="N153">
        <v>4.4999999999999998E-2</v>
      </c>
      <c r="O153">
        <v>18</v>
      </c>
    </row>
    <row r="154" spans="1:15" x14ac:dyDescent="0.3">
      <c r="A154" t="s">
        <v>167</v>
      </c>
      <c r="B154" s="2">
        <v>45267</v>
      </c>
      <c r="C154" s="2">
        <v>45265</v>
      </c>
      <c r="D154" t="s">
        <v>647</v>
      </c>
      <c r="E154" t="s">
        <v>652</v>
      </c>
      <c r="F154" t="s">
        <v>689</v>
      </c>
      <c r="G154" t="s">
        <v>703</v>
      </c>
      <c r="H154" t="s">
        <v>709</v>
      </c>
      <c r="I154" t="s">
        <v>722</v>
      </c>
      <c r="J154" t="s">
        <v>728</v>
      </c>
      <c r="K154" t="s">
        <v>886</v>
      </c>
      <c r="L154">
        <v>1097.5899999999999</v>
      </c>
      <c r="M154">
        <v>845.55</v>
      </c>
      <c r="N154">
        <v>0.184</v>
      </c>
      <c r="O154">
        <v>6</v>
      </c>
    </row>
    <row r="155" spans="1:15" x14ac:dyDescent="0.3">
      <c r="A155" t="s">
        <v>168</v>
      </c>
      <c r="B155" s="2">
        <v>45340</v>
      </c>
      <c r="C155" s="2">
        <v>45355</v>
      </c>
      <c r="D155" t="s">
        <v>646</v>
      </c>
      <c r="E155" t="s">
        <v>650</v>
      </c>
      <c r="F155" t="s">
        <v>662</v>
      </c>
      <c r="G155" t="s">
        <v>702</v>
      </c>
      <c r="H155" t="s">
        <v>711</v>
      </c>
      <c r="I155" t="s">
        <v>723</v>
      </c>
      <c r="J155" t="s">
        <v>728</v>
      </c>
      <c r="K155" t="s">
        <v>887</v>
      </c>
      <c r="L155">
        <v>928.68</v>
      </c>
      <c r="M155">
        <v>2145.17</v>
      </c>
      <c r="N155">
        <v>0.13600000000000001</v>
      </c>
      <c r="O155">
        <v>16</v>
      </c>
    </row>
    <row r="156" spans="1:15" x14ac:dyDescent="0.3">
      <c r="A156" t="s">
        <v>169</v>
      </c>
      <c r="B156" s="2">
        <v>45230</v>
      </c>
      <c r="C156" s="2">
        <v>45232</v>
      </c>
      <c r="D156" t="s">
        <v>646</v>
      </c>
      <c r="E156" t="s">
        <v>650</v>
      </c>
      <c r="F156" t="s">
        <v>662</v>
      </c>
      <c r="G156" t="s">
        <v>702</v>
      </c>
      <c r="H156" t="s">
        <v>707</v>
      </c>
      <c r="I156" t="s">
        <v>719</v>
      </c>
      <c r="J156" t="s">
        <v>733</v>
      </c>
      <c r="K156" t="s">
        <v>888</v>
      </c>
      <c r="L156">
        <v>867.89</v>
      </c>
      <c r="M156">
        <v>1349.94</v>
      </c>
      <c r="N156">
        <v>0.184</v>
      </c>
      <c r="O156">
        <v>10</v>
      </c>
    </row>
    <row r="157" spans="1:15" x14ac:dyDescent="0.3">
      <c r="A157" t="s">
        <v>170</v>
      </c>
      <c r="B157" s="2">
        <v>45511</v>
      </c>
      <c r="C157" s="2">
        <v>45521</v>
      </c>
      <c r="D157" t="s">
        <v>647</v>
      </c>
      <c r="E157" t="s">
        <v>652</v>
      </c>
      <c r="F157" t="s">
        <v>666</v>
      </c>
      <c r="G157" t="s">
        <v>704</v>
      </c>
      <c r="H157" t="s">
        <v>708</v>
      </c>
      <c r="I157" t="s">
        <v>723</v>
      </c>
      <c r="J157" t="s">
        <v>729</v>
      </c>
      <c r="K157" t="s">
        <v>889</v>
      </c>
      <c r="L157">
        <v>436.58</v>
      </c>
      <c r="M157">
        <v>527.48</v>
      </c>
      <c r="N157">
        <v>0.111</v>
      </c>
      <c r="O157">
        <v>19</v>
      </c>
    </row>
    <row r="158" spans="1:15" x14ac:dyDescent="0.3">
      <c r="A158" t="s">
        <v>171</v>
      </c>
      <c r="B158" s="2">
        <v>45323</v>
      </c>
      <c r="C158" s="2">
        <v>45343</v>
      </c>
      <c r="D158" t="s">
        <v>649</v>
      </c>
      <c r="E158" t="s">
        <v>657</v>
      </c>
      <c r="F158" t="s">
        <v>690</v>
      </c>
      <c r="G158" t="s">
        <v>705</v>
      </c>
      <c r="H158" t="s">
        <v>709</v>
      </c>
      <c r="I158" t="s">
        <v>720</v>
      </c>
      <c r="J158" t="s">
        <v>729</v>
      </c>
      <c r="K158" t="s">
        <v>890</v>
      </c>
      <c r="L158">
        <v>656.2</v>
      </c>
      <c r="M158">
        <v>1467.17</v>
      </c>
      <c r="N158">
        <v>1.7999999999999999E-2</v>
      </c>
      <c r="O158">
        <v>5</v>
      </c>
    </row>
    <row r="159" spans="1:15" x14ac:dyDescent="0.3">
      <c r="A159" t="s">
        <v>172</v>
      </c>
      <c r="B159" s="2">
        <v>45531</v>
      </c>
      <c r="C159" s="2">
        <v>45553</v>
      </c>
      <c r="D159" t="s">
        <v>647</v>
      </c>
      <c r="E159" t="s">
        <v>654</v>
      </c>
      <c r="F159" t="s">
        <v>680</v>
      </c>
      <c r="G159" t="s">
        <v>704</v>
      </c>
      <c r="H159" t="s">
        <v>711</v>
      </c>
      <c r="I159" t="s">
        <v>717</v>
      </c>
      <c r="J159" t="s">
        <v>727</v>
      </c>
      <c r="K159" t="s">
        <v>891</v>
      </c>
      <c r="L159">
        <v>896.75</v>
      </c>
      <c r="M159">
        <v>1651.14</v>
      </c>
      <c r="N159">
        <v>2.5000000000000001E-2</v>
      </c>
      <c r="O159">
        <v>15</v>
      </c>
    </row>
    <row r="160" spans="1:15" x14ac:dyDescent="0.3">
      <c r="A160" t="s">
        <v>173</v>
      </c>
      <c r="B160" s="2">
        <v>45703</v>
      </c>
      <c r="C160" s="2">
        <v>45703</v>
      </c>
      <c r="D160" t="s">
        <v>649</v>
      </c>
      <c r="E160" t="s">
        <v>656</v>
      </c>
      <c r="F160" t="s">
        <v>698</v>
      </c>
      <c r="G160" t="s">
        <v>705</v>
      </c>
      <c r="H160" t="s">
        <v>709</v>
      </c>
      <c r="I160" t="s">
        <v>716</v>
      </c>
      <c r="J160" t="s">
        <v>733</v>
      </c>
      <c r="K160" t="s">
        <v>892</v>
      </c>
      <c r="L160">
        <v>815.83</v>
      </c>
      <c r="M160">
        <v>1982.18</v>
      </c>
      <c r="N160">
        <v>0.127</v>
      </c>
      <c r="O160">
        <v>6</v>
      </c>
    </row>
    <row r="161" spans="1:15" x14ac:dyDescent="0.3">
      <c r="A161" t="s">
        <v>174</v>
      </c>
      <c r="B161" s="2">
        <v>45870</v>
      </c>
      <c r="C161" s="2">
        <v>45890</v>
      </c>
      <c r="D161" t="s">
        <v>647</v>
      </c>
      <c r="E161" t="s">
        <v>659</v>
      </c>
      <c r="F161" t="s">
        <v>685</v>
      </c>
      <c r="G161" t="s">
        <v>701</v>
      </c>
      <c r="H161" t="s">
        <v>711</v>
      </c>
      <c r="I161" t="s">
        <v>714</v>
      </c>
      <c r="J161" t="s">
        <v>730</v>
      </c>
      <c r="K161" t="s">
        <v>893</v>
      </c>
      <c r="L161">
        <v>1220.4100000000001</v>
      </c>
      <c r="M161">
        <v>2552.2199999999998</v>
      </c>
      <c r="N161">
        <v>0.18099999999999999</v>
      </c>
      <c r="O161">
        <v>14</v>
      </c>
    </row>
    <row r="162" spans="1:15" x14ac:dyDescent="0.3">
      <c r="A162" t="s">
        <v>175</v>
      </c>
      <c r="B162" s="2">
        <v>44977</v>
      </c>
      <c r="C162" s="2">
        <v>44989</v>
      </c>
      <c r="D162" t="s">
        <v>647</v>
      </c>
      <c r="E162" t="s">
        <v>654</v>
      </c>
      <c r="F162" t="s">
        <v>680</v>
      </c>
      <c r="G162" t="s">
        <v>704</v>
      </c>
      <c r="H162" t="s">
        <v>710</v>
      </c>
      <c r="I162" t="s">
        <v>724</v>
      </c>
      <c r="J162" t="s">
        <v>732</v>
      </c>
      <c r="K162" t="s">
        <v>894</v>
      </c>
      <c r="L162">
        <v>299.75</v>
      </c>
      <c r="M162">
        <v>523.01</v>
      </c>
      <c r="N162">
        <v>0.157</v>
      </c>
      <c r="O162">
        <v>50</v>
      </c>
    </row>
    <row r="163" spans="1:15" x14ac:dyDescent="0.3">
      <c r="A163" t="s">
        <v>176</v>
      </c>
      <c r="B163" s="2">
        <v>45595</v>
      </c>
      <c r="C163" s="2">
        <v>45620</v>
      </c>
      <c r="D163" t="s">
        <v>647</v>
      </c>
      <c r="E163" t="s">
        <v>659</v>
      </c>
      <c r="F163" t="s">
        <v>676</v>
      </c>
      <c r="G163" t="s">
        <v>705</v>
      </c>
      <c r="H163" t="s">
        <v>708</v>
      </c>
      <c r="I163" t="s">
        <v>718</v>
      </c>
      <c r="J163" t="s">
        <v>727</v>
      </c>
      <c r="K163" t="s">
        <v>895</v>
      </c>
      <c r="L163">
        <v>811.05</v>
      </c>
      <c r="M163">
        <v>1217.71</v>
      </c>
      <c r="N163">
        <v>7.1999999999999995E-2</v>
      </c>
      <c r="O163">
        <v>5</v>
      </c>
    </row>
    <row r="164" spans="1:15" x14ac:dyDescent="0.3">
      <c r="A164" t="s">
        <v>177</v>
      </c>
      <c r="B164" s="2">
        <v>45385</v>
      </c>
      <c r="C164" s="2">
        <v>45389</v>
      </c>
      <c r="D164" t="s">
        <v>648</v>
      </c>
      <c r="E164" t="s">
        <v>655</v>
      </c>
      <c r="F164" t="s">
        <v>672</v>
      </c>
      <c r="G164" t="s">
        <v>703</v>
      </c>
      <c r="H164" t="s">
        <v>711</v>
      </c>
      <c r="I164" t="s">
        <v>725</v>
      </c>
      <c r="J164" t="s">
        <v>730</v>
      </c>
      <c r="K164" t="s">
        <v>896</v>
      </c>
      <c r="L164">
        <v>1023.27</v>
      </c>
      <c r="M164">
        <v>1343.64</v>
      </c>
      <c r="N164">
        <v>0.13300000000000001</v>
      </c>
      <c r="O164">
        <v>7</v>
      </c>
    </row>
    <row r="165" spans="1:15" x14ac:dyDescent="0.3">
      <c r="A165" t="s">
        <v>178</v>
      </c>
      <c r="B165" s="2">
        <v>45010</v>
      </c>
      <c r="C165" s="2">
        <v>45011</v>
      </c>
      <c r="D165" t="s">
        <v>647</v>
      </c>
      <c r="E165" t="s">
        <v>652</v>
      </c>
      <c r="F165" t="s">
        <v>666</v>
      </c>
      <c r="G165" t="s">
        <v>705</v>
      </c>
      <c r="H165" t="s">
        <v>710</v>
      </c>
      <c r="I165" t="s">
        <v>714</v>
      </c>
      <c r="J165" t="s">
        <v>732</v>
      </c>
      <c r="K165" t="s">
        <v>897</v>
      </c>
      <c r="L165">
        <v>135.12</v>
      </c>
      <c r="M165">
        <v>301.7</v>
      </c>
      <c r="N165">
        <v>0.14000000000000001</v>
      </c>
      <c r="O165">
        <v>47</v>
      </c>
    </row>
    <row r="166" spans="1:15" x14ac:dyDescent="0.3">
      <c r="A166" t="s">
        <v>179</v>
      </c>
      <c r="B166" s="2">
        <v>45447</v>
      </c>
      <c r="C166" s="2">
        <v>45459</v>
      </c>
      <c r="D166" t="s">
        <v>647</v>
      </c>
      <c r="E166" t="s">
        <v>659</v>
      </c>
      <c r="F166" t="s">
        <v>685</v>
      </c>
      <c r="G166" t="s">
        <v>701</v>
      </c>
      <c r="H166" t="s">
        <v>707</v>
      </c>
      <c r="I166" t="s">
        <v>713</v>
      </c>
      <c r="J166" t="s">
        <v>728</v>
      </c>
      <c r="K166" t="s">
        <v>898</v>
      </c>
      <c r="L166">
        <v>918.42</v>
      </c>
      <c r="M166">
        <v>1511.71</v>
      </c>
      <c r="N166">
        <v>0.02</v>
      </c>
      <c r="O166">
        <v>8</v>
      </c>
    </row>
    <row r="167" spans="1:15" x14ac:dyDescent="0.3">
      <c r="A167" t="s">
        <v>180</v>
      </c>
      <c r="B167" s="2">
        <v>44976</v>
      </c>
      <c r="C167" s="2">
        <v>44997</v>
      </c>
      <c r="D167" t="s">
        <v>649</v>
      </c>
      <c r="E167" t="s">
        <v>656</v>
      </c>
      <c r="F167" t="s">
        <v>671</v>
      </c>
      <c r="G167" t="s">
        <v>705</v>
      </c>
      <c r="H167" t="s">
        <v>711</v>
      </c>
      <c r="I167" t="s">
        <v>716</v>
      </c>
      <c r="J167" t="s">
        <v>732</v>
      </c>
      <c r="K167" t="s">
        <v>899</v>
      </c>
      <c r="L167">
        <v>1234.81</v>
      </c>
      <c r="M167">
        <v>2055.2399999999998</v>
      </c>
      <c r="N167">
        <v>5.2999999999999999E-2</v>
      </c>
      <c r="O167">
        <v>44</v>
      </c>
    </row>
    <row r="168" spans="1:15" x14ac:dyDescent="0.3">
      <c r="A168" t="s">
        <v>181</v>
      </c>
      <c r="B168" s="2">
        <v>45034</v>
      </c>
      <c r="C168" s="2">
        <v>45064</v>
      </c>
      <c r="D168" t="s">
        <v>647</v>
      </c>
      <c r="E168" t="s">
        <v>659</v>
      </c>
      <c r="F168" t="s">
        <v>676</v>
      </c>
      <c r="G168" t="s">
        <v>703</v>
      </c>
      <c r="H168" t="s">
        <v>707</v>
      </c>
      <c r="I168" t="s">
        <v>722</v>
      </c>
      <c r="J168" t="s">
        <v>731</v>
      </c>
      <c r="K168" t="s">
        <v>900</v>
      </c>
      <c r="L168">
        <v>329.03</v>
      </c>
      <c r="M168">
        <v>391.15</v>
      </c>
      <c r="N168">
        <v>0.19700000000000001</v>
      </c>
      <c r="O168">
        <v>46</v>
      </c>
    </row>
    <row r="169" spans="1:15" x14ac:dyDescent="0.3">
      <c r="A169" t="s">
        <v>182</v>
      </c>
      <c r="B169" s="2">
        <v>45435</v>
      </c>
      <c r="C169" s="2">
        <v>45457</v>
      </c>
      <c r="D169" t="s">
        <v>649</v>
      </c>
      <c r="E169" t="s">
        <v>657</v>
      </c>
      <c r="F169" t="s">
        <v>673</v>
      </c>
      <c r="G169" t="s">
        <v>705</v>
      </c>
      <c r="H169" t="s">
        <v>708</v>
      </c>
      <c r="I169" t="s">
        <v>725</v>
      </c>
      <c r="J169" t="s">
        <v>732</v>
      </c>
      <c r="K169" t="s">
        <v>901</v>
      </c>
      <c r="L169">
        <v>1481.74</v>
      </c>
      <c r="M169">
        <v>1848.97</v>
      </c>
      <c r="N169">
        <v>0.254</v>
      </c>
      <c r="O169">
        <v>9</v>
      </c>
    </row>
    <row r="170" spans="1:15" x14ac:dyDescent="0.3">
      <c r="A170" t="s">
        <v>183</v>
      </c>
      <c r="B170" s="2">
        <v>45206</v>
      </c>
      <c r="C170" s="2">
        <v>45222</v>
      </c>
      <c r="D170" t="s">
        <v>647</v>
      </c>
      <c r="E170" t="s">
        <v>654</v>
      </c>
      <c r="F170" t="s">
        <v>696</v>
      </c>
      <c r="G170" t="s">
        <v>704</v>
      </c>
      <c r="H170" t="s">
        <v>707</v>
      </c>
      <c r="I170" t="s">
        <v>715</v>
      </c>
      <c r="J170" t="s">
        <v>732</v>
      </c>
      <c r="K170" t="s">
        <v>902</v>
      </c>
      <c r="L170">
        <v>906.81</v>
      </c>
      <c r="M170">
        <v>1395.56</v>
      </c>
      <c r="N170">
        <v>0.185</v>
      </c>
      <c r="O170">
        <v>6</v>
      </c>
    </row>
    <row r="171" spans="1:15" x14ac:dyDescent="0.3">
      <c r="A171" t="s">
        <v>184</v>
      </c>
      <c r="B171" s="2">
        <v>45574</v>
      </c>
      <c r="C171" s="2">
        <v>45604</v>
      </c>
      <c r="D171" t="s">
        <v>649</v>
      </c>
      <c r="E171" t="s">
        <v>658</v>
      </c>
      <c r="F171" t="s">
        <v>693</v>
      </c>
      <c r="G171" t="s">
        <v>705</v>
      </c>
      <c r="H171" t="s">
        <v>710</v>
      </c>
      <c r="I171" t="s">
        <v>713</v>
      </c>
      <c r="J171" t="s">
        <v>727</v>
      </c>
      <c r="K171" t="s">
        <v>903</v>
      </c>
      <c r="L171">
        <v>343.85</v>
      </c>
      <c r="M171">
        <v>538.04</v>
      </c>
      <c r="N171">
        <v>0.13900000000000001</v>
      </c>
      <c r="O171">
        <v>5</v>
      </c>
    </row>
    <row r="172" spans="1:15" x14ac:dyDescent="0.3">
      <c r="A172" t="s">
        <v>185</v>
      </c>
      <c r="B172" s="2">
        <v>45488</v>
      </c>
      <c r="C172" s="2">
        <v>45488</v>
      </c>
      <c r="D172" t="s">
        <v>647</v>
      </c>
      <c r="E172" t="s">
        <v>652</v>
      </c>
      <c r="F172" t="s">
        <v>689</v>
      </c>
      <c r="G172" t="s">
        <v>705</v>
      </c>
      <c r="H172" t="s">
        <v>709</v>
      </c>
      <c r="I172" t="s">
        <v>715</v>
      </c>
      <c r="J172" t="s">
        <v>733</v>
      </c>
      <c r="K172" t="s">
        <v>904</v>
      </c>
      <c r="L172">
        <v>801.77</v>
      </c>
      <c r="M172">
        <v>1218.92</v>
      </c>
      <c r="N172">
        <v>0.254</v>
      </c>
      <c r="O172">
        <v>16</v>
      </c>
    </row>
    <row r="173" spans="1:15" x14ac:dyDescent="0.3">
      <c r="A173" t="s">
        <v>186</v>
      </c>
      <c r="B173" s="2">
        <v>45190</v>
      </c>
      <c r="C173" s="2">
        <v>45209</v>
      </c>
      <c r="D173" t="s">
        <v>647</v>
      </c>
      <c r="E173" t="s">
        <v>652</v>
      </c>
      <c r="F173" t="s">
        <v>689</v>
      </c>
      <c r="G173" t="s">
        <v>702</v>
      </c>
      <c r="H173" t="s">
        <v>708</v>
      </c>
      <c r="I173" t="s">
        <v>726</v>
      </c>
      <c r="J173" t="s">
        <v>727</v>
      </c>
      <c r="K173" t="s">
        <v>905</v>
      </c>
      <c r="L173">
        <v>845.63</v>
      </c>
      <c r="M173">
        <v>2062.12</v>
      </c>
      <c r="N173">
        <v>0.13400000000000001</v>
      </c>
      <c r="O173">
        <v>5</v>
      </c>
    </row>
    <row r="174" spans="1:15" x14ac:dyDescent="0.3">
      <c r="A174" t="s">
        <v>187</v>
      </c>
      <c r="B174" s="2">
        <v>44981</v>
      </c>
      <c r="C174" s="2">
        <v>44994</v>
      </c>
      <c r="D174" t="s">
        <v>648</v>
      </c>
      <c r="E174" t="s">
        <v>660</v>
      </c>
      <c r="F174" t="s">
        <v>700</v>
      </c>
      <c r="G174" t="s">
        <v>706</v>
      </c>
      <c r="H174" t="s">
        <v>708</v>
      </c>
      <c r="I174" t="s">
        <v>724</v>
      </c>
      <c r="J174" t="s">
        <v>727</v>
      </c>
      <c r="K174" t="s">
        <v>906</v>
      </c>
      <c r="L174">
        <v>6.85</v>
      </c>
      <c r="M174">
        <v>10.18</v>
      </c>
      <c r="N174">
        <v>4.7E-2</v>
      </c>
      <c r="O174">
        <v>10</v>
      </c>
    </row>
    <row r="175" spans="1:15" x14ac:dyDescent="0.3">
      <c r="A175" t="s">
        <v>188</v>
      </c>
      <c r="B175" s="2">
        <v>45798</v>
      </c>
      <c r="C175" s="2">
        <v>45796</v>
      </c>
      <c r="D175" t="s">
        <v>646</v>
      </c>
      <c r="E175" t="s">
        <v>661</v>
      </c>
      <c r="F175" t="s">
        <v>682</v>
      </c>
      <c r="G175" t="s">
        <v>703</v>
      </c>
      <c r="H175" t="s">
        <v>710</v>
      </c>
      <c r="I175" t="s">
        <v>719</v>
      </c>
      <c r="J175" t="s">
        <v>731</v>
      </c>
      <c r="K175" t="s">
        <v>907</v>
      </c>
      <c r="L175">
        <v>1263.8399999999999</v>
      </c>
      <c r="M175">
        <v>2281.7199999999998</v>
      </c>
      <c r="N175">
        <v>7.8E-2</v>
      </c>
      <c r="O175">
        <v>15</v>
      </c>
    </row>
    <row r="176" spans="1:15" x14ac:dyDescent="0.3">
      <c r="A176" t="s">
        <v>189</v>
      </c>
      <c r="B176" s="2">
        <v>45435</v>
      </c>
      <c r="C176" s="2">
        <v>45446</v>
      </c>
      <c r="D176" t="s">
        <v>646</v>
      </c>
      <c r="E176" t="s">
        <v>661</v>
      </c>
      <c r="F176" t="s">
        <v>682</v>
      </c>
      <c r="G176" t="s">
        <v>705</v>
      </c>
      <c r="H176" t="s">
        <v>710</v>
      </c>
      <c r="I176" t="s">
        <v>721</v>
      </c>
      <c r="J176" t="s">
        <v>728</v>
      </c>
      <c r="K176" t="s">
        <v>908</v>
      </c>
      <c r="L176">
        <v>180.89</v>
      </c>
      <c r="M176">
        <v>249.57</v>
      </c>
      <c r="N176">
        <v>2.1999999999999999E-2</v>
      </c>
      <c r="O176">
        <v>8</v>
      </c>
    </row>
    <row r="177" spans="1:15" x14ac:dyDescent="0.3">
      <c r="A177" t="s">
        <v>190</v>
      </c>
      <c r="B177" s="2">
        <v>45761</v>
      </c>
      <c r="C177" s="2">
        <v>45781</v>
      </c>
      <c r="D177" t="s">
        <v>649</v>
      </c>
      <c r="E177" t="s">
        <v>658</v>
      </c>
      <c r="F177" t="s">
        <v>674</v>
      </c>
      <c r="G177" t="s">
        <v>706</v>
      </c>
      <c r="H177" t="s">
        <v>709</v>
      </c>
      <c r="I177" t="s">
        <v>723</v>
      </c>
      <c r="J177" t="s">
        <v>732</v>
      </c>
      <c r="K177" t="s">
        <v>909</v>
      </c>
      <c r="L177">
        <v>1413.87</v>
      </c>
      <c r="M177">
        <v>3275</v>
      </c>
      <c r="N177">
        <v>0.255</v>
      </c>
      <c r="O177">
        <v>38</v>
      </c>
    </row>
    <row r="178" spans="1:15" x14ac:dyDescent="0.3">
      <c r="A178" t="s">
        <v>191</v>
      </c>
      <c r="B178" s="2">
        <v>45165</v>
      </c>
      <c r="C178" s="2">
        <v>45180</v>
      </c>
      <c r="D178" t="s">
        <v>649</v>
      </c>
      <c r="E178" t="s">
        <v>658</v>
      </c>
      <c r="F178" t="s">
        <v>683</v>
      </c>
      <c r="G178" t="s">
        <v>704</v>
      </c>
      <c r="H178" t="s">
        <v>709</v>
      </c>
      <c r="I178" t="s">
        <v>725</v>
      </c>
      <c r="J178" t="s">
        <v>728</v>
      </c>
      <c r="K178" t="s">
        <v>910</v>
      </c>
      <c r="L178">
        <v>943.79</v>
      </c>
      <c r="M178">
        <v>1913.76</v>
      </c>
      <c r="N178">
        <v>9.0999999999999998E-2</v>
      </c>
      <c r="O178">
        <v>9</v>
      </c>
    </row>
    <row r="179" spans="1:15" x14ac:dyDescent="0.3">
      <c r="A179" t="s">
        <v>192</v>
      </c>
      <c r="B179" s="2">
        <v>45325</v>
      </c>
      <c r="C179" s="2">
        <v>45343</v>
      </c>
      <c r="D179" t="s">
        <v>649</v>
      </c>
      <c r="E179" t="s">
        <v>656</v>
      </c>
      <c r="F179" t="s">
        <v>698</v>
      </c>
      <c r="G179" t="s">
        <v>701</v>
      </c>
      <c r="H179" t="s">
        <v>707</v>
      </c>
      <c r="I179" t="s">
        <v>722</v>
      </c>
      <c r="J179" t="s">
        <v>727</v>
      </c>
      <c r="K179" t="s">
        <v>911</v>
      </c>
      <c r="L179">
        <v>39.229999999999997</v>
      </c>
      <c r="M179">
        <v>30.09</v>
      </c>
      <c r="N179">
        <v>0.17699999999999999</v>
      </c>
      <c r="O179">
        <v>13</v>
      </c>
    </row>
    <row r="180" spans="1:15" x14ac:dyDescent="0.3">
      <c r="A180" t="s">
        <v>193</v>
      </c>
      <c r="B180" s="2">
        <v>45021</v>
      </c>
      <c r="C180" s="2">
        <v>45032</v>
      </c>
      <c r="D180" t="s">
        <v>648</v>
      </c>
      <c r="E180" t="s">
        <v>653</v>
      </c>
      <c r="F180" t="s">
        <v>688</v>
      </c>
      <c r="G180" t="s">
        <v>703</v>
      </c>
      <c r="H180" t="s">
        <v>708</v>
      </c>
      <c r="I180" t="s">
        <v>719</v>
      </c>
      <c r="J180" t="s">
        <v>732</v>
      </c>
      <c r="K180" t="s">
        <v>912</v>
      </c>
      <c r="L180">
        <v>213.1</v>
      </c>
      <c r="M180">
        <v>501.31</v>
      </c>
      <c r="N180">
        <v>5.6000000000000001E-2</v>
      </c>
      <c r="O180">
        <v>15</v>
      </c>
    </row>
    <row r="181" spans="1:15" x14ac:dyDescent="0.3">
      <c r="A181" t="s">
        <v>194</v>
      </c>
      <c r="B181" s="2">
        <v>45890</v>
      </c>
      <c r="C181" s="2">
        <v>45912</v>
      </c>
      <c r="D181" t="s">
        <v>647</v>
      </c>
      <c r="E181" t="s">
        <v>659</v>
      </c>
      <c r="F181" t="s">
        <v>676</v>
      </c>
      <c r="G181" t="s">
        <v>702</v>
      </c>
      <c r="H181" t="s">
        <v>707</v>
      </c>
      <c r="I181" t="s">
        <v>717</v>
      </c>
      <c r="J181" t="s">
        <v>728</v>
      </c>
      <c r="K181" t="s">
        <v>913</v>
      </c>
      <c r="L181">
        <v>352.66</v>
      </c>
      <c r="M181">
        <v>411.18</v>
      </c>
      <c r="N181">
        <v>0.17299999999999999</v>
      </c>
      <c r="O181">
        <v>13</v>
      </c>
    </row>
    <row r="182" spans="1:15" x14ac:dyDescent="0.3">
      <c r="A182" t="s">
        <v>195</v>
      </c>
      <c r="B182" s="2">
        <v>45915</v>
      </c>
      <c r="C182" s="2">
        <v>45918</v>
      </c>
      <c r="D182" t="s">
        <v>648</v>
      </c>
      <c r="E182" t="s">
        <v>655</v>
      </c>
      <c r="F182" t="s">
        <v>692</v>
      </c>
      <c r="G182" t="s">
        <v>703</v>
      </c>
      <c r="H182" t="s">
        <v>711</v>
      </c>
      <c r="I182" t="s">
        <v>716</v>
      </c>
      <c r="J182" t="s">
        <v>733</v>
      </c>
      <c r="K182" t="s">
        <v>914</v>
      </c>
      <c r="L182">
        <v>5.5</v>
      </c>
      <c r="M182">
        <v>5.92</v>
      </c>
      <c r="N182">
        <v>0.21199999999999999</v>
      </c>
      <c r="O182">
        <v>4</v>
      </c>
    </row>
    <row r="183" spans="1:15" x14ac:dyDescent="0.3">
      <c r="A183" t="s">
        <v>196</v>
      </c>
      <c r="B183" s="2">
        <v>45568</v>
      </c>
      <c r="C183" s="2">
        <v>45576</v>
      </c>
      <c r="D183" t="s">
        <v>647</v>
      </c>
      <c r="E183" t="s">
        <v>659</v>
      </c>
      <c r="F183" t="s">
        <v>699</v>
      </c>
      <c r="G183" t="s">
        <v>706</v>
      </c>
      <c r="H183" t="s">
        <v>711</v>
      </c>
      <c r="I183" t="s">
        <v>717</v>
      </c>
      <c r="J183" t="s">
        <v>730</v>
      </c>
      <c r="K183" t="s">
        <v>915</v>
      </c>
      <c r="L183">
        <v>1132.6099999999999</v>
      </c>
      <c r="M183">
        <v>2206.63</v>
      </c>
      <c r="N183">
        <v>6.3E-2</v>
      </c>
      <c r="O183">
        <v>20</v>
      </c>
    </row>
    <row r="184" spans="1:15" x14ac:dyDescent="0.3">
      <c r="A184" t="s">
        <v>197</v>
      </c>
      <c r="B184" s="2">
        <v>45690</v>
      </c>
      <c r="C184" s="2">
        <v>45720</v>
      </c>
      <c r="D184" t="s">
        <v>647</v>
      </c>
      <c r="E184" t="s">
        <v>652</v>
      </c>
      <c r="F184" t="s">
        <v>666</v>
      </c>
      <c r="G184" t="s">
        <v>702</v>
      </c>
      <c r="H184" t="s">
        <v>710</v>
      </c>
      <c r="I184" t="s">
        <v>716</v>
      </c>
      <c r="J184" t="s">
        <v>733</v>
      </c>
      <c r="K184" t="s">
        <v>916</v>
      </c>
      <c r="L184">
        <v>766.59</v>
      </c>
      <c r="M184">
        <v>1912.8</v>
      </c>
      <c r="N184">
        <v>0.19600000000000001</v>
      </c>
      <c r="O184">
        <v>5</v>
      </c>
    </row>
    <row r="185" spans="1:15" x14ac:dyDescent="0.3">
      <c r="A185" t="s">
        <v>198</v>
      </c>
      <c r="B185" s="2">
        <v>45157</v>
      </c>
      <c r="C185" s="2">
        <v>45161</v>
      </c>
      <c r="D185" t="s">
        <v>646</v>
      </c>
      <c r="E185" t="s">
        <v>651</v>
      </c>
      <c r="F185" t="s">
        <v>669</v>
      </c>
      <c r="G185" t="s">
        <v>705</v>
      </c>
      <c r="H185" t="s">
        <v>708</v>
      </c>
      <c r="I185" t="s">
        <v>713</v>
      </c>
      <c r="J185" t="s">
        <v>732</v>
      </c>
      <c r="K185" t="s">
        <v>917</v>
      </c>
      <c r="L185">
        <v>790.63</v>
      </c>
      <c r="M185">
        <v>1382.31</v>
      </c>
      <c r="N185">
        <v>0.10100000000000001</v>
      </c>
      <c r="O185">
        <v>7</v>
      </c>
    </row>
    <row r="186" spans="1:15" x14ac:dyDescent="0.3">
      <c r="A186" t="s">
        <v>199</v>
      </c>
      <c r="B186" s="2">
        <v>45587</v>
      </c>
      <c r="C186" s="2">
        <v>45594</v>
      </c>
      <c r="D186" t="s">
        <v>646</v>
      </c>
      <c r="E186" t="s">
        <v>651</v>
      </c>
      <c r="F186" t="s">
        <v>663</v>
      </c>
      <c r="G186" t="s">
        <v>706</v>
      </c>
      <c r="H186" t="s">
        <v>710</v>
      </c>
      <c r="I186" t="s">
        <v>724</v>
      </c>
      <c r="J186" t="s">
        <v>732</v>
      </c>
      <c r="K186" t="s">
        <v>918</v>
      </c>
      <c r="L186">
        <v>1023.06</v>
      </c>
      <c r="M186">
        <v>1355.61</v>
      </c>
      <c r="N186">
        <v>0.153</v>
      </c>
      <c r="O186">
        <v>23</v>
      </c>
    </row>
    <row r="187" spans="1:15" x14ac:dyDescent="0.3">
      <c r="A187" t="s">
        <v>200</v>
      </c>
      <c r="B187" s="2">
        <v>45099</v>
      </c>
      <c r="C187" s="2">
        <v>45128</v>
      </c>
      <c r="D187" t="s">
        <v>649</v>
      </c>
      <c r="E187" t="s">
        <v>657</v>
      </c>
      <c r="F187" t="s">
        <v>679</v>
      </c>
      <c r="G187" t="s">
        <v>701</v>
      </c>
      <c r="H187" t="s">
        <v>707</v>
      </c>
      <c r="I187" t="s">
        <v>713</v>
      </c>
      <c r="J187" t="s">
        <v>733</v>
      </c>
      <c r="K187" t="s">
        <v>919</v>
      </c>
      <c r="L187">
        <v>734.34</v>
      </c>
      <c r="M187">
        <v>887.9</v>
      </c>
      <c r="N187">
        <v>2.5000000000000001E-2</v>
      </c>
      <c r="O187">
        <v>12</v>
      </c>
    </row>
    <row r="188" spans="1:15" x14ac:dyDescent="0.3">
      <c r="A188" t="s">
        <v>201</v>
      </c>
      <c r="B188" s="2">
        <v>45670</v>
      </c>
      <c r="C188" s="2">
        <v>45696</v>
      </c>
      <c r="D188" t="s">
        <v>649</v>
      </c>
      <c r="E188" t="s">
        <v>657</v>
      </c>
      <c r="F188" t="s">
        <v>690</v>
      </c>
      <c r="G188" t="s">
        <v>703</v>
      </c>
      <c r="I188" t="s">
        <v>718</v>
      </c>
      <c r="J188" t="s">
        <v>732</v>
      </c>
      <c r="K188" t="s">
        <v>920</v>
      </c>
      <c r="L188">
        <v>594.74</v>
      </c>
      <c r="M188">
        <v>1020.69</v>
      </c>
      <c r="N188">
        <v>0.21099999999999999</v>
      </c>
      <c r="O188">
        <v>6</v>
      </c>
    </row>
    <row r="189" spans="1:15" x14ac:dyDescent="0.3">
      <c r="A189" t="s">
        <v>144</v>
      </c>
      <c r="B189" s="2">
        <v>44955</v>
      </c>
      <c r="C189" s="2">
        <v>44985</v>
      </c>
      <c r="D189" t="s">
        <v>647</v>
      </c>
      <c r="E189" t="s">
        <v>654</v>
      </c>
      <c r="F189" t="s">
        <v>668</v>
      </c>
      <c r="G189" t="s">
        <v>703</v>
      </c>
      <c r="H189" t="s">
        <v>707</v>
      </c>
      <c r="I189" t="s">
        <v>717</v>
      </c>
      <c r="J189" t="s">
        <v>733</v>
      </c>
      <c r="K189" t="s">
        <v>921</v>
      </c>
      <c r="L189">
        <v>1262.0999999999999</v>
      </c>
      <c r="M189">
        <v>1395.53</v>
      </c>
      <c r="N189">
        <v>0.23300000000000001</v>
      </c>
      <c r="O189">
        <v>25</v>
      </c>
    </row>
    <row r="190" spans="1:15" x14ac:dyDescent="0.3">
      <c r="A190" t="s">
        <v>202</v>
      </c>
      <c r="B190" s="2">
        <v>45126</v>
      </c>
      <c r="C190" s="2">
        <v>45138</v>
      </c>
      <c r="D190" t="s">
        <v>648</v>
      </c>
      <c r="E190" t="s">
        <v>655</v>
      </c>
      <c r="F190" t="s">
        <v>692</v>
      </c>
      <c r="G190" t="s">
        <v>701</v>
      </c>
      <c r="H190" t="s">
        <v>707</v>
      </c>
      <c r="I190" t="s">
        <v>712</v>
      </c>
      <c r="J190" t="s">
        <v>732</v>
      </c>
      <c r="K190" t="s">
        <v>922</v>
      </c>
      <c r="L190">
        <v>1334.64</v>
      </c>
      <c r="M190">
        <v>2273.42</v>
      </c>
      <c r="N190">
        <v>0.11799999999999999</v>
      </c>
      <c r="O190">
        <v>14</v>
      </c>
    </row>
    <row r="191" spans="1:15" x14ac:dyDescent="0.3">
      <c r="A191" t="s">
        <v>203</v>
      </c>
      <c r="B191" s="2">
        <v>45431</v>
      </c>
      <c r="C191" s="2">
        <v>45451</v>
      </c>
      <c r="D191" t="s">
        <v>648</v>
      </c>
      <c r="E191" t="s">
        <v>655</v>
      </c>
      <c r="F191" t="s">
        <v>672</v>
      </c>
      <c r="G191" t="s">
        <v>705</v>
      </c>
      <c r="H191" t="s">
        <v>707</v>
      </c>
      <c r="I191" t="s">
        <v>718</v>
      </c>
      <c r="J191" t="s">
        <v>732</v>
      </c>
      <c r="K191" t="s">
        <v>923</v>
      </c>
      <c r="L191">
        <v>1075.9000000000001</v>
      </c>
      <c r="M191">
        <v>1242.1500000000001</v>
      </c>
      <c r="N191">
        <v>1.2E-2</v>
      </c>
      <c r="O191">
        <v>7</v>
      </c>
    </row>
    <row r="192" spans="1:15" x14ac:dyDescent="0.3">
      <c r="A192" t="s">
        <v>204</v>
      </c>
      <c r="B192" s="2">
        <v>45325</v>
      </c>
      <c r="C192" s="2">
        <v>45341</v>
      </c>
      <c r="D192" t="s">
        <v>647</v>
      </c>
      <c r="E192" t="s">
        <v>659</v>
      </c>
      <c r="F192" t="s">
        <v>676</v>
      </c>
      <c r="G192" t="s">
        <v>705</v>
      </c>
      <c r="H192" t="s">
        <v>708</v>
      </c>
      <c r="I192" t="s">
        <v>722</v>
      </c>
      <c r="J192" t="s">
        <v>731</v>
      </c>
      <c r="K192" t="s">
        <v>924</v>
      </c>
      <c r="L192">
        <v>993.75</v>
      </c>
      <c r="M192">
        <v>1310.29</v>
      </c>
      <c r="N192">
        <v>0.215</v>
      </c>
      <c r="O192">
        <v>19</v>
      </c>
    </row>
    <row r="193" spans="1:15" x14ac:dyDescent="0.3">
      <c r="A193" t="s">
        <v>205</v>
      </c>
      <c r="B193" s="2">
        <v>45146</v>
      </c>
      <c r="C193" s="2">
        <v>45160</v>
      </c>
      <c r="D193" t="s">
        <v>649</v>
      </c>
      <c r="E193" t="s">
        <v>658</v>
      </c>
      <c r="F193" t="s">
        <v>674</v>
      </c>
      <c r="G193" t="s">
        <v>703</v>
      </c>
      <c r="H193" t="s">
        <v>711</v>
      </c>
      <c r="I193" t="s">
        <v>725</v>
      </c>
      <c r="J193" t="s">
        <v>732</v>
      </c>
      <c r="K193" t="s">
        <v>925</v>
      </c>
      <c r="L193">
        <v>446.69</v>
      </c>
      <c r="M193">
        <v>967.25</v>
      </c>
      <c r="N193">
        <v>9.4E-2</v>
      </c>
      <c r="O193">
        <v>10</v>
      </c>
    </row>
    <row r="194" spans="1:15" x14ac:dyDescent="0.3">
      <c r="A194" t="s">
        <v>206</v>
      </c>
      <c r="B194" s="2">
        <v>45516</v>
      </c>
      <c r="C194" s="2">
        <v>45538</v>
      </c>
      <c r="D194" t="s">
        <v>648</v>
      </c>
      <c r="E194" t="s">
        <v>660</v>
      </c>
      <c r="F194" t="s">
        <v>697</v>
      </c>
      <c r="G194" t="s">
        <v>704</v>
      </c>
      <c r="H194" t="s">
        <v>710</v>
      </c>
      <c r="I194" t="s">
        <v>714</v>
      </c>
      <c r="J194" t="s">
        <v>731</v>
      </c>
      <c r="K194" t="s">
        <v>926</v>
      </c>
      <c r="L194">
        <v>797.8</v>
      </c>
      <c r="M194">
        <v>886.22</v>
      </c>
      <c r="N194">
        <v>0.23599999999999999</v>
      </c>
      <c r="O194">
        <v>36</v>
      </c>
    </row>
    <row r="195" spans="1:15" x14ac:dyDescent="0.3">
      <c r="A195" t="s">
        <v>207</v>
      </c>
      <c r="B195" s="2">
        <v>45214</v>
      </c>
      <c r="C195" s="2">
        <v>45243</v>
      </c>
      <c r="D195" t="s">
        <v>647</v>
      </c>
      <c r="E195" t="s">
        <v>659</v>
      </c>
      <c r="F195" t="s">
        <v>676</v>
      </c>
      <c r="G195" t="s">
        <v>703</v>
      </c>
      <c r="H195" t="s">
        <v>710</v>
      </c>
      <c r="I195" t="s">
        <v>713</v>
      </c>
      <c r="J195" t="s">
        <v>728</v>
      </c>
      <c r="K195" t="s">
        <v>927</v>
      </c>
      <c r="L195">
        <v>986.44</v>
      </c>
      <c r="M195">
        <v>790.61</v>
      </c>
      <c r="N195">
        <v>7.1999999999999995E-2</v>
      </c>
      <c r="O195">
        <v>6</v>
      </c>
    </row>
    <row r="196" spans="1:15" x14ac:dyDescent="0.3">
      <c r="A196" t="s">
        <v>208</v>
      </c>
      <c r="B196" s="2">
        <v>45050</v>
      </c>
      <c r="C196" s="2">
        <v>45072</v>
      </c>
      <c r="D196" t="s">
        <v>648</v>
      </c>
      <c r="E196" t="s">
        <v>660</v>
      </c>
      <c r="F196" t="s">
        <v>686</v>
      </c>
      <c r="G196" t="s">
        <v>706</v>
      </c>
      <c r="H196" t="s">
        <v>708</v>
      </c>
      <c r="I196" t="s">
        <v>713</v>
      </c>
      <c r="J196" t="s">
        <v>729</v>
      </c>
      <c r="K196" t="s">
        <v>928</v>
      </c>
      <c r="L196">
        <v>249.71</v>
      </c>
      <c r="M196">
        <v>361.33</v>
      </c>
      <c r="N196">
        <v>9.4E-2</v>
      </c>
      <c r="O196">
        <v>12</v>
      </c>
    </row>
    <row r="197" spans="1:15" x14ac:dyDescent="0.3">
      <c r="A197" t="s">
        <v>209</v>
      </c>
      <c r="B197" s="2">
        <v>45557</v>
      </c>
      <c r="C197" s="2">
        <v>45566</v>
      </c>
      <c r="D197" t="s">
        <v>648</v>
      </c>
      <c r="E197" t="s">
        <v>655</v>
      </c>
      <c r="F197" t="s">
        <v>670</v>
      </c>
      <c r="G197" t="s">
        <v>703</v>
      </c>
      <c r="H197" t="s">
        <v>708</v>
      </c>
      <c r="I197" t="s">
        <v>723</v>
      </c>
      <c r="J197" t="s">
        <v>732</v>
      </c>
      <c r="K197" t="s">
        <v>929</v>
      </c>
      <c r="L197">
        <v>1378.8</v>
      </c>
      <c r="M197">
        <v>1952.04</v>
      </c>
      <c r="N197">
        <v>0.159</v>
      </c>
      <c r="O197">
        <v>19</v>
      </c>
    </row>
    <row r="198" spans="1:15" x14ac:dyDescent="0.3">
      <c r="A198" t="s">
        <v>210</v>
      </c>
      <c r="B198" s="2">
        <v>45588</v>
      </c>
      <c r="C198" s="2">
        <v>45610</v>
      </c>
      <c r="D198" t="s">
        <v>647</v>
      </c>
      <c r="E198" t="s">
        <v>652</v>
      </c>
      <c r="F198" t="s">
        <v>666</v>
      </c>
      <c r="G198" t="s">
        <v>703</v>
      </c>
      <c r="H198" t="s">
        <v>711</v>
      </c>
      <c r="I198" t="s">
        <v>717</v>
      </c>
      <c r="J198" t="s">
        <v>730</v>
      </c>
      <c r="K198" t="s">
        <v>930</v>
      </c>
      <c r="L198">
        <v>1406.4</v>
      </c>
      <c r="M198">
        <v>1564.76</v>
      </c>
      <c r="N198">
        <v>0.185</v>
      </c>
      <c r="O198">
        <v>17</v>
      </c>
    </row>
    <row r="199" spans="1:15" x14ac:dyDescent="0.3">
      <c r="A199" t="s">
        <v>211</v>
      </c>
      <c r="B199" s="2">
        <v>45333</v>
      </c>
      <c r="C199" s="2">
        <v>45354</v>
      </c>
      <c r="D199" t="s">
        <v>646</v>
      </c>
      <c r="E199" t="s">
        <v>650</v>
      </c>
      <c r="F199" t="s">
        <v>662</v>
      </c>
      <c r="G199" t="s">
        <v>706</v>
      </c>
      <c r="H199" t="s">
        <v>708</v>
      </c>
      <c r="I199" t="s">
        <v>717</v>
      </c>
      <c r="J199" t="s">
        <v>730</v>
      </c>
      <c r="K199" t="s">
        <v>931</v>
      </c>
      <c r="L199">
        <v>516.86</v>
      </c>
      <c r="M199">
        <v>852.54</v>
      </c>
      <c r="N199">
        <v>5.0999999999999997E-2</v>
      </c>
      <c r="O199">
        <v>14</v>
      </c>
    </row>
    <row r="200" spans="1:15" x14ac:dyDescent="0.3">
      <c r="A200" t="s">
        <v>212</v>
      </c>
      <c r="B200" s="2">
        <v>44956</v>
      </c>
      <c r="C200" s="2">
        <v>44978</v>
      </c>
      <c r="D200" t="s">
        <v>649</v>
      </c>
      <c r="E200" t="s">
        <v>656</v>
      </c>
      <c r="F200" t="s">
        <v>684</v>
      </c>
      <c r="G200" t="s">
        <v>705</v>
      </c>
      <c r="H200" t="s">
        <v>709</v>
      </c>
      <c r="I200" t="s">
        <v>715</v>
      </c>
      <c r="J200" t="s">
        <v>729</v>
      </c>
      <c r="K200" t="s">
        <v>932</v>
      </c>
      <c r="L200">
        <v>1142.8800000000001</v>
      </c>
      <c r="M200">
        <v>1465.29</v>
      </c>
      <c r="N200">
        <v>0.186</v>
      </c>
      <c r="O200">
        <v>7</v>
      </c>
    </row>
    <row r="201" spans="1:15" x14ac:dyDescent="0.3">
      <c r="A201" t="s">
        <v>213</v>
      </c>
      <c r="B201" s="2">
        <v>45030</v>
      </c>
      <c r="C201" s="2">
        <v>45059</v>
      </c>
      <c r="D201" t="s">
        <v>649</v>
      </c>
      <c r="E201" t="s">
        <v>656</v>
      </c>
      <c r="F201" t="s">
        <v>698</v>
      </c>
      <c r="G201" t="s">
        <v>704</v>
      </c>
      <c r="H201" t="s">
        <v>711</v>
      </c>
      <c r="I201" t="s">
        <v>713</v>
      </c>
      <c r="J201" t="s">
        <v>728</v>
      </c>
      <c r="K201" t="s">
        <v>933</v>
      </c>
      <c r="L201">
        <v>1320.33</v>
      </c>
      <c r="M201">
        <v>2645.23</v>
      </c>
      <c r="N201">
        <v>0.155</v>
      </c>
      <c r="O201">
        <v>25</v>
      </c>
    </row>
    <row r="202" spans="1:15" x14ac:dyDescent="0.3">
      <c r="A202" t="s">
        <v>214</v>
      </c>
      <c r="B202" s="2">
        <v>44939</v>
      </c>
      <c r="C202" s="2">
        <v>44945</v>
      </c>
      <c r="D202" t="s">
        <v>648</v>
      </c>
      <c r="E202" t="s">
        <v>660</v>
      </c>
      <c r="F202" t="s">
        <v>677</v>
      </c>
      <c r="G202" t="s">
        <v>701</v>
      </c>
      <c r="H202" t="s">
        <v>711</v>
      </c>
      <c r="I202" t="s">
        <v>722</v>
      </c>
      <c r="J202" t="s">
        <v>730</v>
      </c>
      <c r="K202" t="s">
        <v>934</v>
      </c>
      <c r="L202">
        <v>833.57</v>
      </c>
      <c r="M202">
        <v>881.57</v>
      </c>
      <c r="N202">
        <v>5.7000000000000002E-2</v>
      </c>
      <c r="O202">
        <v>18</v>
      </c>
    </row>
    <row r="203" spans="1:15" x14ac:dyDescent="0.3">
      <c r="A203" t="s">
        <v>215</v>
      </c>
      <c r="B203" s="2">
        <v>45303</v>
      </c>
      <c r="C203" s="2">
        <v>45320</v>
      </c>
      <c r="D203" t="s">
        <v>648</v>
      </c>
      <c r="E203" t="s">
        <v>660</v>
      </c>
      <c r="F203" t="s">
        <v>677</v>
      </c>
      <c r="G203" t="s">
        <v>702</v>
      </c>
      <c r="H203" t="s">
        <v>710</v>
      </c>
      <c r="I203" t="s">
        <v>720</v>
      </c>
      <c r="J203" t="s">
        <v>728</v>
      </c>
      <c r="K203" t="s">
        <v>935</v>
      </c>
      <c r="L203">
        <v>493.76</v>
      </c>
      <c r="M203">
        <v>625.04</v>
      </c>
      <c r="N203">
        <v>0.25800000000000001</v>
      </c>
      <c r="O203">
        <v>10</v>
      </c>
    </row>
    <row r="204" spans="1:15" x14ac:dyDescent="0.3">
      <c r="A204" t="s">
        <v>216</v>
      </c>
      <c r="B204" s="2">
        <v>45153</v>
      </c>
      <c r="C204" s="2">
        <v>45176</v>
      </c>
      <c r="D204" t="s">
        <v>648</v>
      </c>
      <c r="E204" t="s">
        <v>660</v>
      </c>
      <c r="F204" t="s">
        <v>700</v>
      </c>
      <c r="G204" t="s">
        <v>706</v>
      </c>
      <c r="H204" t="s">
        <v>708</v>
      </c>
      <c r="I204" t="s">
        <v>723</v>
      </c>
      <c r="J204" t="s">
        <v>730</v>
      </c>
      <c r="K204" t="s">
        <v>936</v>
      </c>
      <c r="L204">
        <v>590.33000000000004</v>
      </c>
      <c r="M204">
        <v>973.04</v>
      </c>
      <c r="N204">
        <v>0</v>
      </c>
      <c r="O204">
        <v>26</v>
      </c>
    </row>
    <row r="205" spans="1:15" x14ac:dyDescent="0.3">
      <c r="A205" t="s">
        <v>217</v>
      </c>
      <c r="B205" s="2">
        <v>44946</v>
      </c>
      <c r="C205" s="2">
        <v>44960</v>
      </c>
      <c r="D205" t="s">
        <v>646</v>
      </c>
      <c r="E205" t="s">
        <v>650</v>
      </c>
      <c r="F205" t="s">
        <v>662</v>
      </c>
      <c r="G205" t="s">
        <v>701</v>
      </c>
      <c r="H205" t="s">
        <v>707</v>
      </c>
      <c r="I205" t="s">
        <v>724</v>
      </c>
      <c r="J205" t="s">
        <v>729</v>
      </c>
      <c r="K205" t="s">
        <v>937</v>
      </c>
      <c r="L205">
        <v>884.36</v>
      </c>
      <c r="M205">
        <v>1545.34</v>
      </c>
      <c r="N205">
        <v>0.24299999999999999</v>
      </c>
      <c r="O205">
        <v>41</v>
      </c>
    </row>
    <row r="206" spans="1:15" x14ac:dyDescent="0.3">
      <c r="A206" t="s">
        <v>218</v>
      </c>
      <c r="B206" s="2">
        <v>45692</v>
      </c>
      <c r="C206" s="2">
        <v>45713</v>
      </c>
      <c r="D206" t="s">
        <v>649</v>
      </c>
      <c r="E206" t="s">
        <v>658</v>
      </c>
      <c r="F206" t="s">
        <v>674</v>
      </c>
      <c r="G206" t="s">
        <v>701</v>
      </c>
      <c r="H206" t="s">
        <v>709</v>
      </c>
      <c r="I206" t="s">
        <v>726</v>
      </c>
      <c r="J206" t="s">
        <v>732</v>
      </c>
      <c r="K206" t="s">
        <v>938</v>
      </c>
      <c r="L206">
        <v>1016.32</v>
      </c>
      <c r="M206">
        <v>2253.42</v>
      </c>
      <c r="N206">
        <v>5.5E-2</v>
      </c>
      <c r="O206">
        <v>12</v>
      </c>
    </row>
    <row r="207" spans="1:15" x14ac:dyDescent="0.3">
      <c r="A207" t="s">
        <v>219</v>
      </c>
      <c r="B207" s="2">
        <v>45035</v>
      </c>
      <c r="C207" s="2">
        <v>45044</v>
      </c>
      <c r="D207" t="s">
        <v>649</v>
      </c>
      <c r="E207" t="s">
        <v>656</v>
      </c>
      <c r="F207" t="s">
        <v>671</v>
      </c>
      <c r="G207" t="s">
        <v>702</v>
      </c>
      <c r="H207" t="s">
        <v>708</v>
      </c>
      <c r="I207" t="s">
        <v>718</v>
      </c>
      <c r="J207" t="s">
        <v>732</v>
      </c>
      <c r="K207" t="s">
        <v>939</v>
      </c>
      <c r="L207">
        <v>1178.42</v>
      </c>
      <c r="M207">
        <v>2446.56</v>
      </c>
      <c r="N207">
        <v>2.9000000000000001E-2</v>
      </c>
      <c r="O207">
        <v>11</v>
      </c>
    </row>
    <row r="208" spans="1:15" x14ac:dyDescent="0.3">
      <c r="A208" t="s">
        <v>220</v>
      </c>
      <c r="B208" s="2">
        <v>45109</v>
      </c>
      <c r="C208" s="2">
        <v>45139</v>
      </c>
      <c r="D208" t="s">
        <v>649</v>
      </c>
      <c r="E208" t="s">
        <v>658</v>
      </c>
      <c r="F208" t="s">
        <v>674</v>
      </c>
      <c r="G208" t="s">
        <v>705</v>
      </c>
      <c r="H208" t="s">
        <v>707</v>
      </c>
      <c r="I208" t="s">
        <v>717</v>
      </c>
      <c r="J208" t="s">
        <v>727</v>
      </c>
      <c r="K208" t="s">
        <v>940</v>
      </c>
      <c r="L208">
        <v>137.46</v>
      </c>
      <c r="M208">
        <v>188.3</v>
      </c>
      <c r="N208">
        <v>3.7999999999999999E-2</v>
      </c>
      <c r="O208">
        <v>37</v>
      </c>
    </row>
    <row r="209" spans="1:15" x14ac:dyDescent="0.3">
      <c r="A209" t="s">
        <v>221</v>
      </c>
      <c r="B209" s="2">
        <v>45678</v>
      </c>
      <c r="C209" s="2">
        <v>45702</v>
      </c>
      <c r="D209" t="s">
        <v>646</v>
      </c>
      <c r="E209" t="s">
        <v>650</v>
      </c>
      <c r="F209" t="s">
        <v>664</v>
      </c>
      <c r="G209" t="s">
        <v>705</v>
      </c>
      <c r="H209" t="s">
        <v>707</v>
      </c>
      <c r="I209" t="s">
        <v>713</v>
      </c>
      <c r="J209" t="s">
        <v>733</v>
      </c>
      <c r="K209" t="s">
        <v>941</v>
      </c>
      <c r="L209">
        <v>1030.44</v>
      </c>
      <c r="M209">
        <v>2562.84</v>
      </c>
      <c r="N209">
        <v>0.14799999999999999</v>
      </c>
      <c r="O209">
        <v>13</v>
      </c>
    </row>
    <row r="210" spans="1:15" x14ac:dyDescent="0.3">
      <c r="A210" t="s">
        <v>222</v>
      </c>
      <c r="B210" s="2">
        <v>45545</v>
      </c>
      <c r="C210" s="2">
        <v>45572</v>
      </c>
      <c r="D210" t="s">
        <v>646</v>
      </c>
      <c r="E210" t="s">
        <v>650</v>
      </c>
      <c r="F210" t="s">
        <v>662</v>
      </c>
      <c r="G210" t="s">
        <v>704</v>
      </c>
      <c r="H210" t="s">
        <v>707</v>
      </c>
      <c r="I210" t="s">
        <v>716</v>
      </c>
      <c r="J210" t="s">
        <v>728</v>
      </c>
      <c r="K210" t="s">
        <v>942</v>
      </c>
      <c r="L210">
        <v>1248.3900000000001</v>
      </c>
      <c r="M210">
        <v>1805.11</v>
      </c>
      <c r="N210">
        <v>0.20300000000000001</v>
      </c>
      <c r="O210">
        <v>11</v>
      </c>
    </row>
    <row r="211" spans="1:15" x14ac:dyDescent="0.3">
      <c r="A211" t="s">
        <v>223</v>
      </c>
      <c r="B211" s="2">
        <v>45859</v>
      </c>
      <c r="C211" s="2">
        <v>45876</v>
      </c>
      <c r="D211" t="s">
        <v>646</v>
      </c>
      <c r="E211" t="s">
        <v>651</v>
      </c>
      <c r="F211" t="s">
        <v>665</v>
      </c>
      <c r="G211" t="s">
        <v>706</v>
      </c>
      <c r="H211" t="s">
        <v>711</v>
      </c>
      <c r="I211" t="s">
        <v>724</v>
      </c>
      <c r="J211" t="s">
        <v>733</v>
      </c>
      <c r="K211" t="s">
        <v>943</v>
      </c>
      <c r="L211">
        <v>1204.95</v>
      </c>
      <c r="M211">
        <v>2065.73</v>
      </c>
      <c r="N211">
        <v>0.13600000000000001</v>
      </c>
      <c r="O211">
        <v>10</v>
      </c>
    </row>
    <row r="212" spans="1:15" x14ac:dyDescent="0.3">
      <c r="A212" t="s">
        <v>224</v>
      </c>
      <c r="B212" s="2">
        <v>45567</v>
      </c>
      <c r="C212" s="2">
        <v>45588</v>
      </c>
      <c r="D212" t="s">
        <v>646</v>
      </c>
      <c r="E212" t="s">
        <v>661</v>
      </c>
      <c r="F212" t="s">
        <v>687</v>
      </c>
      <c r="G212" t="s">
        <v>701</v>
      </c>
      <c r="H212" t="s">
        <v>709</v>
      </c>
      <c r="I212" t="s">
        <v>720</v>
      </c>
      <c r="J212" t="s">
        <v>727</v>
      </c>
      <c r="K212" t="s">
        <v>944</v>
      </c>
      <c r="L212">
        <v>1095.6099999999999</v>
      </c>
      <c r="M212">
        <v>2366.5100000000002</v>
      </c>
      <c r="N212">
        <v>0.152</v>
      </c>
      <c r="O212">
        <v>9</v>
      </c>
    </row>
    <row r="213" spans="1:15" x14ac:dyDescent="0.3">
      <c r="A213" t="s">
        <v>225</v>
      </c>
      <c r="B213" s="2">
        <v>45852</v>
      </c>
      <c r="C213" s="2">
        <v>45873</v>
      </c>
      <c r="D213" t="s">
        <v>648</v>
      </c>
      <c r="E213" t="s">
        <v>653</v>
      </c>
      <c r="F213" t="s">
        <v>681</v>
      </c>
      <c r="G213" t="s">
        <v>704</v>
      </c>
      <c r="H213" t="s">
        <v>708</v>
      </c>
      <c r="I213" t="s">
        <v>722</v>
      </c>
      <c r="J213" t="s">
        <v>732</v>
      </c>
      <c r="K213" t="s">
        <v>945</v>
      </c>
      <c r="L213">
        <v>90.3</v>
      </c>
      <c r="M213">
        <v>131.76</v>
      </c>
      <c r="N213">
        <v>0.10199999999999999</v>
      </c>
      <c r="O213">
        <v>15</v>
      </c>
    </row>
    <row r="214" spans="1:15" x14ac:dyDescent="0.3">
      <c r="A214" t="s">
        <v>226</v>
      </c>
      <c r="B214" s="2">
        <v>45544</v>
      </c>
      <c r="C214" s="2">
        <v>45566</v>
      </c>
      <c r="D214" t="s">
        <v>647</v>
      </c>
      <c r="E214" t="s">
        <v>659</v>
      </c>
      <c r="F214" t="s">
        <v>676</v>
      </c>
      <c r="G214" t="s">
        <v>704</v>
      </c>
      <c r="H214" t="s">
        <v>711</v>
      </c>
      <c r="I214" t="s">
        <v>716</v>
      </c>
      <c r="J214" t="s">
        <v>728</v>
      </c>
      <c r="K214" t="s">
        <v>946</v>
      </c>
      <c r="L214">
        <v>1166.18</v>
      </c>
      <c r="M214">
        <v>1335.02</v>
      </c>
      <c r="N214">
        <v>0.128</v>
      </c>
      <c r="O214">
        <v>6</v>
      </c>
    </row>
    <row r="215" spans="1:15" x14ac:dyDescent="0.3">
      <c r="A215" t="s">
        <v>227</v>
      </c>
      <c r="B215" s="2">
        <v>45686</v>
      </c>
      <c r="C215" s="2">
        <v>45694</v>
      </c>
      <c r="D215" t="s">
        <v>646</v>
      </c>
      <c r="E215" t="s">
        <v>650</v>
      </c>
      <c r="F215" t="s">
        <v>662</v>
      </c>
      <c r="G215" t="s">
        <v>702</v>
      </c>
      <c r="H215" t="s">
        <v>707</v>
      </c>
      <c r="I215" t="s">
        <v>717</v>
      </c>
      <c r="J215" t="s">
        <v>730</v>
      </c>
      <c r="K215" t="s">
        <v>947</v>
      </c>
      <c r="L215">
        <v>1445.27</v>
      </c>
      <c r="M215">
        <v>2691.45</v>
      </c>
      <c r="N215">
        <v>0</v>
      </c>
      <c r="O215">
        <v>9</v>
      </c>
    </row>
    <row r="216" spans="1:15" x14ac:dyDescent="0.3">
      <c r="A216" t="s">
        <v>228</v>
      </c>
      <c r="B216" s="2">
        <v>45240</v>
      </c>
      <c r="C216" s="2">
        <v>45258</v>
      </c>
      <c r="D216" t="s">
        <v>648</v>
      </c>
      <c r="E216" t="s">
        <v>655</v>
      </c>
      <c r="F216" t="s">
        <v>672</v>
      </c>
      <c r="G216" t="s">
        <v>702</v>
      </c>
      <c r="H216" t="s">
        <v>709</v>
      </c>
      <c r="I216" t="s">
        <v>716</v>
      </c>
      <c r="J216" t="s">
        <v>733</v>
      </c>
      <c r="K216" t="s">
        <v>948</v>
      </c>
      <c r="L216">
        <v>388.51</v>
      </c>
      <c r="M216">
        <v>776.46</v>
      </c>
      <c r="N216">
        <v>0.157</v>
      </c>
      <c r="O216">
        <v>12</v>
      </c>
    </row>
    <row r="217" spans="1:15" x14ac:dyDescent="0.3">
      <c r="A217" t="s">
        <v>229</v>
      </c>
      <c r="B217" s="2">
        <v>45351</v>
      </c>
      <c r="C217" s="2">
        <v>45381</v>
      </c>
      <c r="D217" t="s">
        <v>647</v>
      </c>
      <c r="E217" t="s">
        <v>652</v>
      </c>
      <c r="F217" t="s">
        <v>694</v>
      </c>
      <c r="G217" t="s">
        <v>705</v>
      </c>
      <c r="H217" t="s">
        <v>711</v>
      </c>
      <c r="I217" t="s">
        <v>714</v>
      </c>
      <c r="J217" t="s">
        <v>729</v>
      </c>
      <c r="K217" t="s">
        <v>949</v>
      </c>
      <c r="L217">
        <v>231.11</v>
      </c>
      <c r="M217">
        <v>318.17</v>
      </c>
      <c r="N217">
        <v>0.20100000000000001</v>
      </c>
      <c r="O217">
        <v>60</v>
      </c>
    </row>
    <row r="218" spans="1:15" x14ac:dyDescent="0.3">
      <c r="A218" t="s">
        <v>230</v>
      </c>
      <c r="B218" s="2">
        <v>45280</v>
      </c>
      <c r="C218" s="2">
        <v>45305</v>
      </c>
      <c r="D218" t="s">
        <v>647</v>
      </c>
      <c r="E218" t="s">
        <v>654</v>
      </c>
      <c r="F218" t="s">
        <v>691</v>
      </c>
      <c r="G218" t="s">
        <v>703</v>
      </c>
      <c r="H218" t="s">
        <v>709</v>
      </c>
      <c r="I218" t="s">
        <v>716</v>
      </c>
      <c r="J218" t="s">
        <v>732</v>
      </c>
      <c r="K218" t="s">
        <v>950</v>
      </c>
      <c r="L218">
        <v>1085.6099999999999</v>
      </c>
      <c r="M218">
        <v>1246.4100000000001</v>
      </c>
      <c r="N218">
        <v>0.113</v>
      </c>
      <c r="O218">
        <v>7</v>
      </c>
    </row>
    <row r="219" spans="1:15" x14ac:dyDescent="0.3">
      <c r="A219" t="s">
        <v>231</v>
      </c>
      <c r="B219" s="2">
        <v>44948</v>
      </c>
      <c r="C219" s="2">
        <v>44947</v>
      </c>
      <c r="D219" t="s">
        <v>649</v>
      </c>
      <c r="E219" t="s">
        <v>656</v>
      </c>
      <c r="F219" t="s">
        <v>684</v>
      </c>
      <c r="G219" t="s">
        <v>701</v>
      </c>
      <c r="H219" t="s">
        <v>711</v>
      </c>
      <c r="I219" t="s">
        <v>721</v>
      </c>
      <c r="J219" t="s">
        <v>732</v>
      </c>
      <c r="K219" t="s">
        <v>951</v>
      </c>
      <c r="L219">
        <v>150.86000000000001</v>
      </c>
      <c r="M219">
        <v>346.96</v>
      </c>
      <c r="N219">
        <v>0.19600000000000001</v>
      </c>
      <c r="O219">
        <v>8</v>
      </c>
    </row>
    <row r="220" spans="1:15" x14ac:dyDescent="0.3">
      <c r="A220" t="s">
        <v>232</v>
      </c>
      <c r="B220" s="2">
        <v>45576</v>
      </c>
      <c r="C220" s="2">
        <v>45605</v>
      </c>
      <c r="D220" t="s">
        <v>647</v>
      </c>
      <c r="E220" t="s">
        <v>659</v>
      </c>
      <c r="F220" t="s">
        <v>685</v>
      </c>
      <c r="G220" t="s">
        <v>703</v>
      </c>
      <c r="H220" t="s">
        <v>708</v>
      </c>
      <c r="I220" t="s">
        <v>721</v>
      </c>
      <c r="J220" t="s">
        <v>728</v>
      </c>
      <c r="K220" t="s">
        <v>952</v>
      </c>
      <c r="L220">
        <v>391.64</v>
      </c>
      <c r="M220">
        <v>504.76</v>
      </c>
      <c r="N220">
        <v>4.0000000000000001E-3</v>
      </c>
      <c r="O220">
        <v>13</v>
      </c>
    </row>
    <row r="221" spans="1:15" x14ac:dyDescent="0.3">
      <c r="A221" t="s">
        <v>233</v>
      </c>
      <c r="B221" s="2">
        <v>45554</v>
      </c>
      <c r="C221" s="2">
        <v>45579</v>
      </c>
      <c r="D221" t="s">
        <v>648</v>
      </c>
      <c r="E221" t="s">
        <v>655</v>
      </c>
      <c r="F221" t="s">
        <v>692</v>
      </c>
      <c r="G221" t="s">
        <v>705</v>
      </c>
      <c r="H221" t="s">
        <v>707</v>
      </c>
      <c r="I221" t="s">
        <v>723</v>
      </c>
      <c r="J221" t="s">
        <v>728</v>
      </c>
      <c r="K221" t="s">
        <v>953</v>
      </c>
      <c r="L221">
        <v>386.96</v>
      </c>
      <c r="M221">
        <v>937.46</v>
      </c>
      <c r="N221">
        <v>0.26600000000000001</v>
      </c>
      <c r="O221">
        <v>41</v>
      </c>
    </row>
    <row r="222" spans="1:15" x14ac:dyDescent="0.3">
      <c r="A222" t="s">
        <v>234</v>
      </c>
      <c r="B222" s="2">
        <v>45894</v>
      </c>
      <c r="C222" s="2">
        <v>45924</v>
      </c>
      <c r="D222" t="s">
        <v>646</v>
      </c>
      <c r="E222" t="s">
        <v>650</v>
      </c>
      <c r="F222" t="s">
        <v>664</v>
      </c>
      <c r="G222" t="s">
        <v>704</v>
      </c>
      <c r="H222" t="s">
        <v>711</v>
      </c>
      <c r="I222" t="s">
        <v>717</v>
      </c>
      <c r="J222" t="s">
        <v>727</v>
      </c>
      <c r="K222" t="s">
        <v>954</v>
      </c>
      <c r="L222">
        <v>589.14</v>
      </c>
      <c r="M222">
        <v>1300.58</v>
      </c>
      <c r="N222">
        <v>5.5E-2</v>
      </c>
      <c r="O222">
        <v>11</v>
      </c>
    </row>
    <row r="223" spans="1:15" x14ac:dyDescent="0.3">
      <c r="A223" t="s">
        <v>235</v>
      </c>
      <c r="B223" s="2">
        <v>45194</v>
      </c>
      <c r="C223" s="2">
        <v>45201</v>
      </c>
      <c r="D223" t="s">
        <v>648</v>
      </c>
      <c r="E223" t="s">
        <v>660</v>
      </c>
      <c r="F223" t="s">
        <v>700</v>
      </c>
      <c r="G223" t="s">
        <v>702</v>
      </c>
      <c r="H223" t="s">
        <v>709</v>
      </c>
      <c r="I223" t="s">
        <v>714</v>
      </c>
      <c r="J223" t="s">
        <v>733</v>
      </c>
      <c r="K223" t="s">
        <v>955</v>
      </c>
      <c r="L223">
        <v>145.58000000000001</v>
      </c>
      <c r="M223">
        <v>228.15</v>
      </c>
      <c r="N223">
        <v>0.20399999999999999</v>
      </c>
      <c r="O223">
        <v>5</v>
      </c>
    </row>
    <row r="224" spans="1:15" x14ac:dyDescent="0.3">
      <c r="A224" t="s">
        <v>236</v>
      </c>
      <c r="B224" s="2">
        <v>45164</v>
      </c>
      <c r="C224" s="2">
        <v>45179</v>
      </c>
      <c r="D224" t="s">
        <v>646</v>
      </c>
      <c r="E224" t="s">
        <v>661</v>
      </c>
      <c r="F224" t="s">
        <v>695</v>
      </c>
      <c r="G224" t="s">
        <v>703</v>
      </c>
      <c r="H224" t="s">
        <v>711</v>
      </c>
      <c r="I224" t="s">
        <v>725</v>
      </c>
      <c r="J224" t="s">
        <v>727</v>
      </c>
      <c r="K224" t="s">
        <v>956</v>
      </c>
      <c r="L224">
        <v>241.14</v>
      </c>
      <c r="M224">
        <v>496.52</v>
      </c>
      <c r="N224">
        <v>9.2999999999999999E-2</v>
      </c>
      <c r="O224">
        <v>10</v>
      </c>
    </row>
    <row r="225" spans="1:15" x14ac:dyDescent="0.3">
      <c r="A225" t="s">
        <v>237</v>
      </c>
      <c r="B225" s="2">
        <v>45854</v>
      </c>
      <c r="C225" s="2">
        <v>45855</v>
      </c>
      <c r="D225" t="s">
        <v>646</v>
      </c>
      <c r="E225" t="s">
        <v>661</v>
      </c>
      <c r="F225" t="s">
        <v>687</v>
      </c>
      <c r="G225" t="s">
        <v>705</v>
      </c>
      <c r="H225" t="s">
        <v>710</v>
      </c>
      <c r="I225" t="s">
        <v>717</v>
      </c>
      <c r="J225" t="s">
        <v>729</v>
      </c>
      <c r="K225" t="s">
        <v>957</v>
      </c>
      <c r="L225">
        <v>1198.9000000000001</v>
      </c>
      <c r="M225">
        <v>2941.2</v>
      </c>
      <c r="N225">
        <v>5.0999999999999997E-2</v>
      </c>
      <c r="O225">
        <v>24</v>
      </c>
    </row>
    <row r="226" spans="1:15" x14ac:dyDescent="0.3">
      <c r="A226" t="s">
        <v>238</v>
      </c>
      <c r="B226" s="2">
        <v>45035</v>
      </c>
      <c r="C226" s="2">
        <v>45053</v>
      </c>
      <c r="D226" t="s">
        <v>649</v>
      </c>
      <c r="E226" t="s">
        <v>658</v>
      </c>
      <c r="F226" t="s">
        <v>674</v>
      </c>
      <c r="G226" t="s">
        <v>706</v>
      </c>
      <c r="H226" t="s">
        <v>707</v>
      </c>
      <c r="I226" t="s">
        <v>725</v>
      </c>
      <c r="J226" t="s">
        <v>731</v>
      </c>
      <c r="K226" t="s">
        <v>958</v>
      </c>
      <c r="L226">
        <v>1089.1500000000001</v>
      </c>
      <c r="M226">
        <v>1088.2</v>
      </c>
      <c r="N226">
        <v>5.0999999999999997E-2</v>
      </c>
      <c r="O226">
        <v>15</v>
      </c>
    </row>
    <row r="227" spans="1:15" x14ac:dyDescent="0.3">
      <c r="A227" t="s">
        <v>239</v>
      </c>
      <c r="B227" s="2">
        <v>45279</v>
      </c>
      <c r="C227" s="2">
        <v>45280</v>
      </c>
      <c r="D227" t="s">
        <v>648</v>
      </c>
      <c r="E227" t="s">
        <v>655</v>
      </c>
      <c r="F227" t="s">
        <v>692</v>
      </c>
      <c r="G227" t="s">
        <v>704</v>
      </c>
      <c r="H227" t="s">
        <v>710</v>
      </c>
      <c r="I227" t="s">
        <v>713</v>
      </c>
      <c r="J227" t="s">
        <v>730</v>
      </c>
      <c r="K227" t="s">
        <v>959</v>
      </c>
      <c r="L227">
        <v>1080.43</v>
      </c>
      <c r="M227">
        <v>2529.15</v>
      </c>
      <c r="N227">
        <v>0.14699999999999999</v>
      </c>
      <c r="O227">
        <v>10</v>
      </c>
    </row>
    <row r="228" spans="1:15" x14ac:dyDescent="0.3">
      <c r="A228" t="s">
        <v>240</v>
      </c>
      <c r="B228" s="2">
        <v>45137</v>
      </c>
      <c r="C228" s="2">
        <v>45145</v>
      </c>
      <c r="D228" t="s">
        <v>647</v>
      </c>
      <c r="E228" t="s">
        <v>652</v>
      </c>
      <c r="F228" t="s">
        <v>694</v>
      </c>
      <c r="G228" t="s">
        <v>702</v>
      </c>
      <c r="H228" t="s">
        <v>709</v>
      </c>
      <c r="I228" t="s">
        <v>720</v>
      </c>
      <c r="J228" t="s">
        <v>729</v>
      </c>
      <c r="K228" t="s">
        <v>960</v>
      </c>
      <c r="L228">
        <v>1352.44</v>
      </c>
      <c r="M228">
        <v>2698.01</v>
      </c>
      <c r="N228">
        <v>0.13100000000000001</v>
      </c>
      <c r="O228">
        <v>13</v>
      </c>
    </row>
    <row r="229" spans="1:15" x14ac:dyDescent="0.3">
      <c r="A229" t="s">
        <v>241</v>
      </c>
      <c r="B229" s="2">
        <v>45203</v>
      </c>
      <c r="C229" s="2">
        <v>45228</v>
      </c>
      <c r="D229" t="s">
        <v>648</v>
      </c>
      <c r="E229" t="s">
        <v>660</v>
      </c>
      <c r="F229" t="s">
        <v>686</v>
      </c>
      <c r="G229" t="s">
        <v>705</v>
      </c>
      <c r="H229" t="s">
        <v>710</v>
      </c>
      <c r="I229" t="s">
        <v>719</v>
      </c>
      <c r="J229" t="s">
        <v>733</v>
      </c>
      <c r="K229" t="s">
        <v>961</v>
      </c>
      <c r="L229">
        <v>1239.8399999999999</v>
      </c>
      <c r="M229">
        <v>1482.75</v>
      </c>
      <c r="N229">
        <v>6.7000000000000004E-2</v>
      </c>
      <c r="O229">
        <v>4</v>
      </c>
    </row>
    <row r="230" spans="1:15" x14ac:dyDescent="0.3">
      <c r="A230" t="s">
        <v>242</v>
      </c>
      <c r="B230" s="2">
        <v>45879</v>
      </c>
      <c r="C230" s="2">
        <v>45899</v>
      </c>
      <c r="D230" t="s">
        <v>648</v>
      </c>
      <c r="E230" t="s">
        <v>660</v>
      </c>
      <c r="F230" t="s">
        <v>686</v>
      </c>
      <c r="G230" t="s">
        <v>701</v>
      </c>
      <c r="H230" t="s">
        <v>709</v>
      </c>
      <c r="I230" t="s">
        <v>723</v>
      </c>
      <c r="J230" t="s">
        <v>728</v>
      </c>
      <c r="K230" t="s">
        <v>962</v>
      </c>
      <c r="L230">
        <v>933.29</v>
      </c>
      <c r="M230">
        <v>1456.81</v>
      </c>
      <c r="N230">
        <v>0.123</v>
      </c>
      <c r="O230">
        <v>13</v>
      </c>
    </row>
    <row r="231" spans="1:15" x14ac:dyDescent="0.3">
      <c r="A231" t="s">
        <v>243</v>
      </c>
      <c r="B231" s="2">
        <v>44992</v>
      </c>
      <c r="C231" s="2">
        <v>45017</v>
      </c>
      <c r="D231" t="s">
        <v>646</v>
      </c>
      <c r="E231" t="s">
        <v>650</v>
      </c>
      <c r="F231" t="s">
        <v>664</v>
      </c>
      <c r="G231" t="s">
        <v>704</v>
      </c>
      <c r="H231" t="s">
        <v>709</v>
      </c>
      <c r="I231" t="s">
        <v>726</v>
      </c>
      <c r="J231" t="s">
        <v>728</v>
      </c>
      <c r="K231" t="s">
        <v>963</v>
      </c>
      <c r="L231">
        <v>1024.0999999999999</v>
      </c>
      <c r="M231">
        <v>918.19</v>
      </c>
      <c r="N231">
        <v>0.189</v>
      </c>
      <c r="O231">
        <v>10</v>
      </c>
    </row>
    <row r="232" spans="1:15" x14ac:dyDescent="0.3">
      <c r="A232" t="s">
        <v>244</v>
      </c>
      <c r="B232" s="2">
        <v>45069</v>
      </c>
      <c r="C232" s="2">
        <v>45087</v>
      </c>
      <c r="D232" t="s">
        <v>647</v>
      </c>
      <c r="E232" t="s">
        <v>659</v>
      </c>
      <c r="F232" t="s">
        <v>685</v>
      </c>
      <c r="G232" t="s">
        <v>701</v>
      </c>
      <c r="H232" t="s">
        <v>710</v>
      </c>
      <c r="I232" t="s">
        <v>718</v>
      </c>
      <c r="J232" t="s">
        <v>727</v>
      </c>
      <c r="K232" t="s">
        <v>964</v>
      </c>
      <c r="L232">
        <v>54.62</v>
      </c>
      <c r="M232">
        <v>48.94</v>
      </c>
      <c r="N232">
        <v>0.14799999999999999</v>
      </c>
      <c r="O232">
        <v>16</v>
      </c>
    </row>
    <row r="233" spans="1:15" x14ac:dyDescent="0.3">
      <c r="A233" t="s">
        <v>245</v>
      </c>
      <c r="B233" s="2">
        <v>45771</v>
      </c>
      <c r="C233" s="2">
        <v>45783</v>
      </c>
      <c r="D233" t="s">
        <v>648</v>
      </c>
      <c r="E233" t="s">
        <v>655</v>
      </c>
      <c r="F233" t="s">
        <v>672</v>
      </c>
      <c r="G233" t="s">
        <v>704</v>
      </c>
      <c r="H233" t="s">
        <v>708</v>
      </c>
      <c r="I233" t="s">
        <v>712</v>
      </c>
      <c r="J233" t="s">
        <v>730</v>
      </c>
      <c r="K233" t="s">
        <v>965</v>
      </c>
      <c r="L233">
        <v>394.13</v>
      </c>
      <c r="M233">
        <v>932.29</v>
      </c>
      <c r="N233">
        <v>0.109</v>
      </c>
      <c r="O233">
        <v>7</v>
      </c>
    </row>
    <row r="234" spans="1:15" x14ac:dyDescent="0.3">
      <c r="A234" t="s">
        <v>246</v>
      </c>
      <c r="B234" s="2">
        <v>45538</v>
      </c>
      <c r="C234" s="2">
        <v>45543</v>
      </c>
      <c r="D234" t="s">
        <v>646</v>
      </c>
      <c r="E234" t="s">
        <v>651</v>
      </c>
      <c r="F234" t="s">
        <v>665</v>
      </c>
      <c r="G234" t="s">
        <v>705</v>
      </c>
      <c r="H234" t="s">
        <v>711</v>
      </c>
      <c r="I234" t="s">
        <v>723</v>
      </c>
      <c r="J234" t="s">
        <v>728</v>
      </c>
      <c r="K234" t="s">
        <v>966</v>
      </c>
      <c r="L234">
        <v>197.63</v>
      </c>
      <c r="M234">
        <v>325.79000000000002</v>
      </c>
      <c r="N234">
        <v>0.11600000000000001</v>
      </c>
      <c r="O234">
        <v>10</v>
      </c>
    </row>
    <row r="235" spans="1:15" x14ac:dyDescent="0.3">
      <c r="A235" t="s">
        <v>247</v>
      </c>
      <c r="B235" s="2">
        <v>45540</v>
      </c>
      <c r="C235" s="2">
        <v>45560</v>
      </c>
      <c r="D235" t="s">
        <v>647</v>
      </c>
      <c r="E235" t="s">
        <v>652</v>
      </c>
      <c r="F235" t="s">
        <v>666</v>
      </c>
      <c r="G235" t="s">
        <v>706</v>
      </c>
      <c r="H235" t="s">
        <v>710</v>
      </c>
      <c r="I235" t="s">
        <v>726</v>
      </c>
      <c r="J235" t="s">
        <v>732</v>
      </c>
      <c r="K235" t="s">
        <v>967</v>
      </c>
      <c r="L235">
        <v>195.54</v>
      </c>
      <c r="M235">
        <v>405.97</v>
      </c>
      <c r="N235">
        <v>0.187</v>
      </c>
      <c r="O235">
        <v>16</v>
      </c>
    </row>
    <row r="236" spans="1:15" x14ac:dyDescent="0.3">
      <c r="A236" t="s">
        <v>248</v>
      </c>
      <c r="B236" s="2">
        <v>44999</v>
      </c>
      <c r="C236" s="2">
        <v>45015</v>
      </c>
      <c r="D236" t="s">
        <v>646</v>
      </c>
      <c r="E236" t="s">
        <v>661</v>
      </c>
      <c r="F236" t="s">
        <v>695</v>
      </c>
      <c r="G236" t="s">
        <v>704</v>
      </c>
      <c r="H236" t="s">
        <v>710</v>
      </c>
      <c r="I236" t="s">
        <v>723</v>
      </c>
      <c r="J236" t="s">
        <v>727</v>
      </c>
      <c r="K236" t="s">
        <v>968</v>
      </c>
      <c r="L236">
        <v>1309.77</v>
      </c>
      <c r="M236">
        <v>1589.07</v>
      </c>
      <c r="N236">
        <v>0.10199999999999999</v>
      </c>
      <c r="O236">
        <v>10</v>
      </c>
    </row>
    <row r="237" spans="1:15" x14ac:dyDescent="0.3">
      <c r="A237" t="s">
        <v>249</v>
      </c>
      <c r="B237" s="2">
        <v>45302</v>
      </c>
      <c r="C237" s="2">
        <v>45324</v>
      </c>
      <c r="D237" t="s">
        <v>647</v>
      </c>
      <c r="E237" t="s">
        <v>652</v>
      </c>
      <c r="F237" t="s">
        <v>694</v>
      </c>
      <c r="G237" t="s">
        <v>705</v>
      </c>
      <c r="H237" t="s">
        <v>708</v>
      </c>
      <c r="J237" t="s">
        <v>728</v>
      </c>
      <c r="K237" t="s">
        <v>969</v>
      </c>
      <c r="L237">
        <v>1237.68</v>
      </c>
      <c r="M237">
        <v>1432.8</v>
      </c>
      <c r="N237">
        <v>6.8000000000000005E-2</v>
      </c>
      <c r="O237">
        <v>13</v>
      </c>
    </row>
    <row r="238" spans="1:15" x14ac:dyDescent="0.3">
      <c r="A238" t="s">
        <v>250</v>
      </c>
      <c r="B238" s="2">
        <v>45548</v>
      </c>
      <c r="C238" s="2">
        <v>45567</v>
      </c>
      <c r="D238" t="s">
        <v>646</v>
      </c>
      <c r="E238" t="s">
        <v>650</v>
      </c>
      <c r="F238" t="s">
        <v>675</v>
      </c>
      <c r="G238" t="s">
        <v>705</v>
      </c>
      <c r="H238" t="s">
        <v>707</v>
      </c>
      <c r="I238" t="s">
        <v>724</v>
      </c>
      <c r="J238" t="s">
        <v>730</v>
      </c>
      <c r="K238" t="s">
        <v>970</v>
      </c>
      <c r="L238">
        <v>1338.99</v>
      </c>
      <c r="M238">
        <v>1765.76</v>
      </c>
      <c r="N238">
        <v>0.126</v>
      </c>
      <c r="O238">
        <v>24</v>
      </c>
    </row>
    <row r="239" spans="1:15" x14ac:dyDescent="0.3">
      <c r="A239" t="s">
        <v>251</v>
      </c>
      <c r="B239" s="2">
        <v>45855</v>
      </c>
      <c r="C239" s="2">
        <v>45861</v>
      </c>
      <c r="D239" t="s">
        <v>648</v>
      </c>
      <c r="E239" t="s">
        <v>653</v>
      </c>
      <c r="F239" t="s">
        <v>688</v>
      </c>
      <c r="G239" t="s">
        <v>704</v>
      </c>
      <c r="H239" t="s">
        <v>708</v>
      </c>
      <c r="I239" t="s">
        <v>722</v>
      </c>
      <c r="J239" t="s">
        <v>727</v>
      </c>
      <c r="K239" t="s">
        <v>971</v>
      </c>
      <c r="L239">
        <v>1364.89</v>
      </c>
      <c r="M239">
        <v>2757.54</v>
      </c>
      <c r="N239">
        <v>0.17199999999999999</v>
      </c>
      <c r="O239">
        <v>61</v>
      </c>
    </row>
    <row r="240" spans="1:15" x14ac:dyDescent="0.3">
      <c r="A240" t="s">
        <v>252</v>
      </c>
      <c r="B240" s="2">
        <v>45258</v>
      </c>
      <c r="C240" s="2">
        <v>45267</v>
      </c>
      <c r="D240" t="s">
        <v>647</v>
      </c>
      <c r="E240" t="s">
        <v>654</v>
      </c>
      <c r="F240" t="s">
        <v>680</v>
      </c>
      <c r="G240" t="s">
        <v>706</v>
      </c>
      <c r="H240" t="s">
        <v>709</v>
      </c>
      <c r="I240" t="s">
        <v>716</v>
      </c>
      <c r="J240" t="s">
        <v>730</v>
      </c>
      <c r="K240" t="s">
        <v>972</v>
      </c>
      <c r="L240">
        <v>699.33</v>
      </c>
      <c r="M240">
        <v>873.75</v>
      </c>
      <c r="N240">
        <v>0.23499999999999999</v>
      </c>
      <c r="O240">
        <v>10</v>
      </c>
    </row>
    <row r="241" spans="1:15" x14ac:dyDescent="0.3">
      <c r="A241" t="s">
        <v>253</v>
      </c>
      <c r="B241" s="2">
        <v>45381</v>
      </c>
      <c r="C241" s="2">
        <v>45406</v>
      </c>
      <c r="D241" t="s">
        <v>648</v>
      </c>
      <c r="E241" t="s">
        <v>660</v>
      </c>
      <c r="F241" t="s">
        <v>697</v>
      </c>
      <c r="G241" t="s">
        <v>703</v>
      </c>
      <c r="H241" t="s">
        <v>708</v>
      </c>
      <c r="I241" t="s">
        <v>715</v>
      </c>
      <c r="J241" t="s">
        <v>731</v>
      </c>
      <c r="K241" t="s">
        <v>973</v>
      </c>
      <c r="L241">
        <v>160.82</v>
      </c>
      <c r="M241">
        <v>258.52</v>
      </c>
      <c r="N241">
        <v>0.13</v>
      </c>
      <c r="O241">
        <v>17</v>
      </c>
    </row>
    <row r="242" spans="1:15" x14ac:dyDescent="0.3">
      <c r="A242" t="s">
        <v>254</v>
      </c>
      <c r="B242" s="2">
        <v>45188</v>
      </c>
      <c r="C242" s="2">
        <v>45207</v>
      </c>
      <c r="D242" t="s">
        <v>647</v>
      </c>
      <c r="E242" t="s">
        <v>654</v>
      </c>
      <c r="F242" t="s">
        <v>668</v>
      </c>
      <c r="G242" t="s">
        <v>702</v>
      </c>
      <c r="H242" t="s">
        <v>711</v>
      </c>
      <c r="I242" t="s">
        <v>713</v>
      </c>
      <c r="J242" t="s">
        <v>728</v>
      </c>
      <c r="K242" t="s">
        <v>974</v>
      </c>
      <c r="L242">
        <v>385.32</v>
      </c>
      <c r="M242">
        <v>606.76</v>
      </c>
      <c r="N242">
        <v>8.5999999999999993E-2</v>
      </c>
      <c r="O242">
        <v>8</v>
      </c>
    </row>
    <row r="243" spans="1:15" x14ac:dyDescent="0.3">
      <c r="A243" t="s">
        <v>255</v>
      </c>
      <c r="B243" s="2">
        <v>45793</v>
      </c>
      <c r="C243" s="2">
        <v>45804</v>
      </c>
      <c r="D243" t="s">
        <v>647</v>
      </c>
      <c r="E243" t="s">
        <v>659</v>
      </c>
      <c r="F243" t="s">
        <v>699</v>
      </c>
      <c r="G243" t="s">
        <v>706</v>
      </c>
      <c r="H243" t="s">
        <v>708</v>
      </c>
      <c r="I243" t="s">
        <v>721</v>
      </c>
      <c r="J243" t="s">
        <v>730</v>
      </c>
      <c r="K243" t="s">
        <v>975</v>
      </c>
      <c r="L243">
        <v>918.12</v>
      </c>
      <c r="M243">
        <v>1337.69</v>
      </c>
      <c r="N243">
        <v>9.5000000000000001E-2</v>
      </c>
      <c r="O243">
        <v>8</v>
      </c>
    </row>
    <row r="244" spans="1:15" x14ac:dyDescent="0.3">
      <c r="A244" t="s">
        <v>256</v>
      </c>
      <c r="B244" s="2">
        <v>45871</v>
      </c>
      <c r="C244" s="2">
        <v>45877</v>
      </c>
      <c r="D244" t="s">
        <v>647</v>
      </c>
      <c r="E244" t="s">
        <v>652</v>
      </c>
      <c r="F244" t="s">
        <v>666</v>
      </c>
      <c r="G244" t="s">
        <v>704</v>
      </c>
      <c r="H244" t="s">
        <v>711</v>
      </c>
      <c r="I244" t="s">
        <v>725</v>
      </c>
      <c r="J244" t="s">
        <v>731</v>
      </c>
      <c r="K244" t="s">
        <v>976</v>
      </c>
      <c r="L244">
        <v>1225.94</v>
      </c>
      <c r="M244">
        <v>1793.08</v>
      </c>
      <c r="N244">
        <v>0.13600000000000001</v>
      </c>
      <c r="O244">
        <v>22</v>
      </c>
    </row>
    <row r="245" spans="1:15" x14ac:dyDescent="0.3">
      <c r="A245" t="s">
        <v>257</v>
      </c>
      <c r="B245" s="2">
        <v>45630</v>
      </c>
      <c r="C245" s="2">
        <v>45638</v>
      </c>
      <c r="D245" t="s">
        <v>649</v>
      </c>
      <c r="E245" t="s">
        <v>656</v>
      </c>
      <c r="F245" t="s">
        <v>698</v>
      </c>
      <c r="G245" t="s">
        <v>706</v>
      </c>
      <c r="H245" t="s">
        <v>709</v>
      </c>
      <c r="I245" t="s">
        <v>717</v>
      </c>
      <c r="J245" t="s">
        <v>728</v>
      </c>
      <c r="K245" t="s">
        <v>977</v>
      </c>
      <c r="L245">
        <v>72.06</v>
      </c>
      <c r="M245">
        <v>122.74</v>
      </c>
      <c r="N245">
        <v>0.23799999999999999</v>
      </c>
      <c r="O245">
        <v>8</v>
      </c>
    </row>
    <row r="246" spans="1:15" x14ac:dyDescent="0.3">
      <c r="A246" t="s">
        <v>258</v>
      </c>
      <c r="B246" s="2">
        <v>45035</v>
      </c>
      <c r="C246" s="2">
        <v>45044</v>
      </c>
      <c r="D246" t="s">
        <v>648</v>
      </c>
      <c r="E246" t="s">
        <v>655</v>
      </c>
      <c r="F246" t="s">
        <v>692</v>
      </c>
      <c r="G246" t="s">
        <v>701</v>
      </c>
      <c r="H246" t="s">
        <v>710</v>
      </c>
      <c r="I246" t="s">
        <v>724</v>
      </c>
      <c r="J246" t="s">
        <v>730</v>
      </c>
      <c r="K246" t="s">
        <v>978</v>
      </c>
      <c r="L246">
        <v>1013.54</v>
      </c>
      <c r="M246">
        <v>927.93</v>
      </c>
      <c r="N246">
        <v>0.17499999999999999</v>
      </c>
      <c r="O246">
        <v>16</v>
      </c>
    </row>
    <row r="247" spans="1:15" x14ac:dyDescent="0.3">
      <c r="A247" t="s">
        <v>259</v>
      </c>
      <c r="B247" s="2">
        <v>45357</v>
      </c>
      <c r="C247" s="2">
        <v>45377</v>
      </c>
      <c r="D247" t="s">
        <v>646</v>
      </c>
      <c r="E247" t="s">
        <v>651</v>
      </c>
      <c r="F247" t="s">
        <v>663</v>
      </c>
      <c r="G247" t="s">
        <v>704</v>
      </c>
      <c r="H247" t="s">
        <v>709</v>
      </c>
      <c r="I247" t="s">
        <v>714</v>
      </c>
      <c r="J247" t="s">
        <v>730</v>
      </c>
      <c r="K247" t="s">
        <v>979</v>
      </c>
      <c r="L247">
        <v>65.64</v>
      </c>
      <c r="M247">
        <v>151.88</v>
      </c>
      <c r="N247">
        <v>0.16700000000000001</v>
      </c>
      <c r="O247">
        <v>23</v>
      </c>
    </row>
    <row r="248" spans="1:15" x14ac:dyDescent="0.3">
      <c r="A248" t="s">
        <v>260</v>
      </c>
      <c r="B248" s="2">
        <v>45338</v>
      </c>
      <c r="C248" s="2">
        <v>45355</v>
      </c>
      <c r="D248" t="s">
        <v>648</v>
      </c>
      <c r="E248" t="s">
        <v>653</v>
      </c>
      <c r="F248" t="s">
        <v>681</v>
      </c>
      <c r="G248" t="s">
        <v>703</v>
      </c>
      <c r="H248" t="s">
        <v>707</v>
      </c>
      <c r="I248" t="s">
        <v>726</v>
      </c>
      <c r="J248" t="s">
        <v>731</v>
      </c>
      <c r="K248" t="s">
        <v>980</v>
      </c>
      <c r="L248">
        <v>1350.98</v>
      </c>
      <c r="M248">
        <v>2210.4</v>
      </c>
      <c r="N248">
        <v>0.26300000000000001</v>
      </c>
      <c r="O248">
        <v>6</v>
      </c>
    </row>
    <row r="249" spans="1:15" x14ac:dyDescent="0.3">
      <c r="A249" t="s">
        <v>261</v>
      </c>
      <c r="B249" s="2">
        <v>45769</v>
      </c>
      <c r="C249" s="2">
        <v>45779</v>
      </c>
      <c r="D249" t="s">
        <v>649</v>
      </c>
      <c r="E249" t="s">
        <v>656</v>
      </c>
      <c r="F249" t="s">
        <v>671</v>
      </c>
      <c r="G249" t="s">
        <v>701</v>
      </c>
      <c r="H249" t="s">
        <v>709</v>
      </c>
      <c r="I249" t="s">
        <v>712</v>
      </c>
      <c r="J249" t="s">
        <v>732</v>
      </c>
      <c r="K249" t="s">
        <v>981</v>
      </c>
      <c r="L249">
        <v>20.149999999999999</v>
      </c>
      <c r="M249">
        <v>39.74</v>
      </c>
      <c r="N249">
        <v>0.151</v>
      </c>
      <c r="O249">
        <v>18</v>
      </c>
    </row>
    <row r="250" spans="1:15" x14ac:dyDescent="0.3">
      <c r="A250" t="s">
        <v>262</v>
      </c>
      <c r="B250" s="2">
        <v>45604</v>
      </c>
      <c r="C250" s="2">
        <v>45604</v>
      </c>
      <c r="D250" t="s">
        <v>646</v>
      </c>
      <c r="E250" t="s">
        <v>650</v>
      </c>
      <c r="F250" t="s">
        <v>678</v>
      </c>
      <c r="G250" t="s">
        <v>706</v>
      </c>
      <c r="H250" t="s">
        <v>709</v>
      </c>
      <c r="I250" t="s">
        <v>724</v>
      </c>
      <c r="J250" t="s">
        <v>729</v>
      </c>
      <c r="K250" t="s">
        <v>982</v>
      </c>
      <c r="L250">
        <v>803.28</v>
      </c>
      <c r="M250">
        <v>1009</v>
      </c>
      <c r="N250">
        <v>0.11</v>
      </c>
      <c r="O250">
        <v>4</v>
      </c>
    </row>
    <row r="251" spans="1:15" x14ac:dyDescent="0.3">
      <c r="A251" t="s">
        <v>263</v>
      </c>
      <c r="B251" s="2">
        <v>45912</v>
      </c>
      <c r="C251" s="2">
        <v>45930</v>
      </c>
      <c r="D251" t="s">
        <v>647</v>
      </c>
      <c r="E251" t="s">
        <v>652</v>
      </c>
      <c r="F251" t="s">
        <v>694</v>
      </c>
      <c r="G251" t="s">
        <v>703</v>
      </c>
      <c r="H251" t="s">
        <v>709</v>
      </c>
      <c r="I251" t="s">
        <v>721</v>
      </c>
      <c r="J251" t="s">
        <v>732</v>
      </c>
      <c r="K251" t="s">
        <v>983</v>
      </c>
      <c r="L251">
        <v>1212.99</v>
      </c>
      <c r="M251">
        <v>1653.64</v>
      </c>
      <c r="N251">
        <v>0.107</v>
      </c>
      <c r="O251">
        <v>8</v>
      </c>
    </row>
    <row r="252" spans="1:15" x14ac:dyDescent="0.3">
      <c r="A252" t="s">
        <v>264</v>
      </c>
      <c r="B252" s="2">
        <v>45537</v>
      </c>
      <c r="C252" s="2">
        <v>45543</v>
      </c>
      <c r="D252" t="s">
        <v>648</v>
      </c>
      <c r="E252" t="s">
        <v>660</v>
      </c>
      <c r="F252" t="s">
        <v>697</v>
      </c>
      <c r="G252" t="s">
        <v>704</v>
      </c>
      <c r="H252" t="s">
        <v>711</v>
      </c>
      <c r="I252" t="s">
        <v>722</v>
      </c>
      <c r="J252" t="s">
        <v>727</v>
      </c>
      <c r="K252" t="s">
        <v>984</v>
      </c>
      <c r="L252">
        <v>462.94</v>
      </c>
      <c r="M252">
        <v>1015.7</v>
      </c>
      <c r="N252">
        <v>0.14299999999999999</v>
      </c>
      <c r="O252">
        <v>14</v>
      </c>
    </row>
    <row r="253" spans="1:15" x14ac:dyDescent="0.3">
      <c r="A253" t="s">
        <v>265</v>
      </c>
      <c r="B253" s="2">
        <v>44989</v>
      </c>
      <c r="C253" s="2">
        <v>45009</v>
      </c>
      <c r="D253" t="s">
        <v>648</v>
      </c>
      <c r="E253" t="s">
        <v>653</v>
      </c>
      <c r="F253" t="s">
        <v>681</v>
      </c>
      <c r="G253" t="s">
        <v>704</v>
      </c>
      <c r="H253" t="s">
        <v>710</v>
      </c>
      <c r="I253" t="s">
        <v>714</v>
      </c>
      <c r="J253" t="s">
        <v>731</v>
      </c>
      <c r="K253" t="s">
        <v>985</v>
      </c>
      <c r="L253">
        <v>481.71</v>
      </c>
      <c r="M253">
        <v>912.45</v>
      </c>
      <c r="N253">
        <v>0.20300000000000001</v>
      </c>
      <c r="O253">
        <v>24</v>
      </c>
    </row>
    <row r="254" spans="1:15" x14ac:dyDescent="0.3">
      <c r="A254" t="s">
        <v>266</v>
      </c>
      <c r="B254" s="2">
        <v>45366</v>
      </c>
      <c r="C254" s="2">
        <v>45391</v>
      </c>
      <c r="D254" t="s">
        <v>648</v>
      </c>
      <c r="E254" t="s">
        <v>653</v>
      </c>
      <c r="F254" t="s">
        <v>688</v>
      </c>
      <c r="G254" t="s">
        <v>704</v>
      </c>
      <c r="H254" t="s">
        <v>708</v>
      </c>
      <c r="I254" t="s">
        <v>721</v>
      </c>
      <c r="J254" t="s">
        <v>732</v>
      </c>
      <c r="K254" t="s">
        <v>986</v>
      </c>
      <c r="L254">
        <v>648.64</v>
      </c>
      <c r="M254">
        <v>815.19</v>
      </c>
      <c r="N254">
        <v>0.22500000000000001</v>
      </c>
      <c r="O254">
        <v>28</v>
      </c>
    </row>
    <row r="255" spans="1:15" x14ac:dyDescent="0.3">
      <c r="A255" t="s">
        <v>267</v>
      </c>
      <c r="B255" s="2">
        <v>45502</v>
      </c>
      <c r="C255" s="2">
        <v>45504</v>
      </c>
      <c r="D255" t="s">
        <v>648</v>
      </c>
      <c r="E255" t="s">
        <v>660</v>
      </c>
      <c r="F255" t="s">
        <v>700</v>
      </c>
      <c r="G255" t="s">
        <v>702</v>
      </c>
      <c r="H255" t="s">
        <v>709</v>
      </c>
      <c r="I255" t="s">
        <v>714</v>
      </c>
      <c r="J255" t="s">
        <v>728</v>
      </c>
      <c r="K255" t="s">
        <v>987</v>
      </c>
      <c r="L255">
        <v>798.97</v>
      </c>
      <c r="M255">
        <v>1814.06</v>
      </c>
      <c r="N255">
        <v>0.122</v>
      </c>
      <c r="O255">
        <v>16</v>
      </c>
    </row>
    <row r="256" spans="1:15" x14ac:dyDescent="0.3">
      <c r="A256" t="s">
        <v>268</v>
      </c>
      <c r="B256" s="2">
        <v>45592</v>
      </c>
      <c r="C256" s="2">
        <v>45616</v>
      </c>
      <c r="D256" t="s">
        <v>647</v>
      </c>
      <c r="E256" t="s">
        <v>652</v>
      </c>
      <c r="F256" t="s">
        <v>694</v>
      </c>
      <c r="G256" t="s">
        <v>703</v>
      </c>
      <c r="H256" t="s">
        <v>708</v>
      </c>
      <c r="I256" t="s">
        <v>722</v>
      </c>
      <c r="J256" t="s">
        <v>732</v>
      </c>
      <c r="K256" t="s">
        <v>988</v>
      </c>
      <c r="L256">
        <v>317.25</v>
      </c>
      <c r="M256">
        <v>758.92</v>
      </c>
      <c r="N256">
        <v>5.2999999999999999E-2</v>
      </c>
      <c r="O256">
        <v>9</v>
      </c>
    </row>
    <row r="257" spans="1:15" x14ac:dyDescent="0.3">
      <c r="A257" t="s">
        <v>269</v>
      </c>
      <c r="B257" s="2">
        <v>45411</v>
      </c>
      <c r="C257" s="2">
        <v>45431</v>
      </c>
      <c r="D257" t="s">
        <v>649</v>
      </c>
      <c r="E257" t="s">
        <v>656</v>
      </c>
      <c r="F257" t="s">
        <v>698</v>
      </c>
      <c r="G257" t="s">
        <v>706</v>
      </c>
      <c r="H257" t="s">
        <v>709</v>
      </c>
      <c r="I257" t="s">
        <v>712</v>
      </c>
      <c r="J257" t="s">
        <v>731</v>
      </c>
      <c r="K257" t="s">
        <v>989</v>
      </c>
      <c r="L257">
        <v>668.97</v>
      </c>
      <c r="M257">
        <v>1667.44</v>
      </c>
      <c r="N257">
        <v>3.4000000000000002E-2</v>
      </c>
      <c r="O257">
        <v>15</v>
      </c>
    </row>
    <row r="258" spans="1:15" x14ac:dyDescent="0.3">
      <c r="A258" t="s">
        <v>270</v>
      </c>
      <c r="B258" s="2">
        <v>45204</v>
      </c>
      <c r="C258" s="2">
        <v>45205</v>
      </c>
      <c r="D258" t="s">
        <v>647</v>
      </c>
      <c r="E258" t="s">
        <v>654</v>
      </c>
      <c r="F258" t="s">
        <v>668</v>
      </c>
      <c r="G258" t="s">
        <v>703</v>
      </c>
      <c r="H258" t="s">
        <v>708</v>
      </c>
      <c r="I258" t="s">
        <v>714</v>
      </c>
      <c r="J258" t="s">
        <v>727</v>
      </c>
      <c r="K258" t="s">
        <v>990</v>
      </c>
      <c r="L258">
        <v>1470.26</v>
      </c>
      <c r="M258">
        <v>2562.5500000000002</v>
      </c>
      <c r="N258">
        <v>0.17299999999999999</v>
      </c>
      <c r="O258">
        <v>9</v>
      </c>
    </row>
    <row r="259" spans="1:15" x14ac:dyDescent="0.3">
      <c r="A259" t="s">
        <v>271</v>
      </c>
      <c r="B259" s="2">
        <v>45035</v>
      </c>
      <c r="C259" s="2">
        <v>45053</v>
      </c>
      <c r="D259" t="s">
        <v>649</v>
      </c>
      <c r="E259" t="s">
        <v>658</v>
      </c>
      <c r="F259" t="s">
        <v>683</v>
      </c>
      <c r="G259" t="s">
        <v>703</v>
      </c>
      <c r="H259" t="s">
        <v>711</v>
      </c>
      <c r="I259" t="s">
        <v>722</v>
      </c>
      <c r="J259" t="s">
        <v>729</v>
      </c>
      <c r="K259" t="s">
        <v>991</v>
      </c>
      <c r="L259">
        <v>516.96</v>
      </c>
      <c r="M259">
        <v>745.38</v>
      </c>
      <c r="N259">
        <v>0.19700000000000001</v>
      </c>
      <c r="O259">
        <v>4</v>
      </c>
    </row>
    <row r="260" spans="1:15" x14ac:dyDescent="0.3">
      <c r="A260" t="s">
        <v>272</v>
      </c>
      <c r="B260" s="2">
        <v>45835</v>
      </c>
      <c r="C260" s="2">
        <v>45843</v>
      </c>
      <c r="D260" t="s">
        <v>649</v>
      </c>
      <c r="E260" t="s">
        <v>656</v>
      </c>
      <c r="F260" t="s">
        <v>684</v>
      </c>
      <c r="G260" t="s">
        <v>705</v>
      </c>
      <c r="H260" t="s">
        <v>711</v>
      </c>
      <c r="I260" t="s">
        <v>715</v>
      </c>
      <c r="J260" t="s">
        <v>732</v>
      </c>
      <c r="K260" t="s">
        <v>992</v>
      </c>
      <c r="L260">
        <v>314.93</v>
      </c>
      <c r="M260">
        <v>687.95</v>
      </c>
      <c r="N260">
        <v>0.20499999999999999</v>
      </c>
      <c r="O260">
        <v>8</v>
      </c>
    </row>
    <row r="261" spans="1:15" x14ac:dyDescent="0.3">
      <c r="A261" t="s">
        <v>273</v>
      </c>
      <c r="B261" s="2">
        <v>45210</v>
      </c>
      <c r="C261" s="2">
        <v>45212</v>
      </c>
      <c r="D261" t="s">
        <v>648</v>
      </c>
      <c r="E261" t="s">
        <v>655</v>
      </c>
      <c r="F261" t="s">
        <v>672</v>
      </c>
      <c r="G261" t="s">
        <v>704</v>
      </c>
      <c r="H261" t="s">
        <v>710</v>
      </c>
      <c r="J261" t="s">
        <v>733</v>
      </c>
      <c r="K261" t="s">
        <v>993</v>
      </c>
      <c r="L261">
        <v>715.94</v>
      </c>
      <c r="M261">
        <v>550.07000000000005</v>
      </c>
      <c r="N261">
        <v>0.14000000000000001</v>
      </c>
      <c r="O261">
        <v>16</v>
      </c>
    </row>
    <row r="262" spans="1:15" x14ac:dyDescent="0.3">
      <c r="A262" t="s">
        <v>274</v>
      </c>
      <c r="B262" s="2">
        <v>45066</v>
      </c>
      <c r="C262" s="2">
        <v>45084</v>
      </c>
      <c r="D262" t="s">
        <v>646</v>
      </c>
      <c r="E262" t="s">
        <v>651</v>
      </c>
      <c r="F262" t="s">
        <v>663</v>
      </c>
      <c r="G262" t="s">
        <v>706</v>
      </c>
      <c r="H262" t="s">
        <v>710</v>
      </c>
      <c r="I262" t="s">
        <v>718</v>
      </c>
      <c r="J262" t="s">
        <v>727</v>
      </c>
      <c r="K262" t="s">
        <v>994</v>
      </c>
      <c r="L262">
        <v>1120.06</v>
      </c>
      <c r="M262">
        <v>2068.21</v>
      </c>
      <c r="N262">
        <v>7.8E-2</v>
      </c>
      <c r="O262">
        <v>12</v>
      </c>
    </row>
    <row r="263" spans="1:15" x14ac:dyDescent="0.3">
      <c r="A263" t="s">
        <v>275</v>
      </c>
      <c r="B263" s="2">
        <v>45073</v>
      </c>
      <c r="C263" s="2">
        <v>45096</v>
      </c>
      <c r="D263" t="s">
        <v>649</v>
      </c>
      <c r="E263" t="s">
        <v>656</v>
      </c>
      <c r="F263" t="s">
        <v>671</v>
      </c>
      <c r="G263" t="s">
        <v>702</v>
      </c>
      <c r="H263" t="s">
        <v>707</v>
      </c>
      <c r="I263" t="s">
        <v>719</v>
      </c>
      <c r="J263" t="s">
        <v>733</v>
      </c>
      <c r="K263" t="s">
        <v>995</v>
      </c>
      <c r="L263">
        <v>1471.58</v>
      </c>
      <c r="M263">
        <v>2576.65</v>
      </c>
      <c r="N263">
        <v>4.0000000000000001E-3</v>
      </c>
      <c r="O263">
        <v>7</v>
      </c>
    </row>
    <row r="264" spans="1:15" x14ac:dyDescent="0.3">
      <c r="A264" t="s">
        <v>276</v>
      </c>
      <c r="B264" s="2">
        <v>45142</v>
      </c>
      <c r="C264" s="2">
        <v>45162</v>
      </c>
      <c r="D264" t="s">
        <v>648</v>
      </c>
      <c r="E264" t="s">
        <v>655</v>
      </c>
      <c r="F264" t="s">
        <v>672</v>
      </c>
      <c r="G264" t="s">
        <v>703</v>
      </c>
      <c r="H264" t="s">
        <v>711</v>
      </c>
      <c r="J264" t="s">
        <v>729</v>
      </c>
      <c r="K264" t="s">
        <v>996</v>
      </c>
      <c r="L264">
        <v>582.88</v>
      </c>
      <c r="M264">
        <v>1044.1400000000001</v>
      </c>
      <c r="N264">
        <v>0.216</v>
      </c>
      <c r="O264">
        <v>10</v>
      </c>
    </row>
    <row r="265" spans="1:15" x14ac:dyDescent="0.3">
      <c r="A265" t="s">
        <v>277</v>
      </c>
      <c r="B265" s="2">
        <v>45829</v>
      </c>
      <c r="C265" s="2">
        <v>45835</v>
      </c>
      <c r="D265" t="s">
        <v>646</v>
      </c>
      <c r="E265" t="s">
        <v>661</v>
      </c>
      <c r="F265" t="s">
        <v>687</v>
      </c>
      <c r="G265" t="s">
        <v>706</v>
      </c>
      <c r="H265" t="s">
        <v>710</v>
      </c>
      <c r="I265" t="s">
        <v>725</v>
      </c>
      <c r="J265" t="s">
        <v>730</v>
      </c>
      <c r="K265" t="s">
        <v>997</v>
      </c>
      <c r="L265">
        <v>93.91</v>
      </c>
      <c r="M265">
        <v>99.04</v>
      </c>
      <c r="N265">
        <v>5.7000000000000002E-2</v>
      </c>
      <c r="O265">
        <v>6</v>
      </c>
    </row>
    <row r="266" spans="1:15" x14ac:dyDescent="0.3">
      <c r="A266" t="s">
        <v>278</v>
      </c>
      <c r="B266" s="2">
        <v>45763</v>
      </c>
      <c r="C266" s="2">
        <v>45773</v>
      </c>
      <c r="D266" t="s">
        <v>646</v>
      </c>
      <c r="E266" t="s">
        <v>651</v>
      </c>
      <c r="F266" t="s">
        <v>663</v>
      </c>
      <c r="G266" t="s">
        <v>706</v>
      </c>
      <c r="H266" t="s">
        <v>709</v>
      </c>
      <c r="I266" t="s">
        <v>721</v>
      </c>
      <c r="J266" t="s">
        <v>731</v>
      </c>
      <c r="K266" t="s">
        <v>998</v>
      </c>
      <c r="L266">
        <v>1457.44</v>
      </c>
      <c r="M266">
        <v>1996.81</v>
      </c>
      <c r="N266">
        <v>0.126</v>
      </c>
      <c r="O266">
        <v>23</v>
      </c>
    </row>
    <row r="267" spans="1:15" x14ac:dyDescent="0.3">
      <c r="A267" t="s">
        <v>279</v>
      </c>
      <c r="B267" s="2">
        <v>45902</v>
      </c>
      <c r="C267" s="2">
        <v>45911</v>
      </c>
      <c r="D267" t="s">
        <v>648</v>
      </c>
      <c r="E267" t="s">
        <v>653</v>
      </c>
      <c r="F267" t="s">
        <v>667</v>
      </c>
      <c r="G267" t="s">
        <v>701</v>
      </c>
      <c r="H267" t="s">
        <v>710</v>
      </c>
      <c r="I267" t="s">
        <v>724</v>
      </c>
      <c r="J267" t="s">
        <v>728</v>
      </c>
      <c r="K267" t="s">
        <v>999</v>
      </c>
      <c r="L267">
        <v>1207.6300000000001</v>
      </c>
      <c r="M267">
        <v>921.68</v>
      </c>
      <c r="N267">
        <v>0.19600000000000001</v>
      </c>
      <c r="O267">
        <v>17</v>
      </c>
    </row>
    <row r="268" spans="1:15" x14ac:dyDescent="0.3">
      <c r="A268" t="s">
        <v>280</v>
      </c>
      <c r="B268" s="2">
        <v>45573</v>
      </c>
      <c r="C268" s="2">
        <v>45573</v>
      </c>
      <c r="D268" t="s">
        <v>649</v>
      </c>
      <c r="E268" t="s">
        <v>658</v>
      </c>
      <c r="F268" t="s">
        <v>683</v>
      </c>
      <c r="G268" t="s">
        <v>701</v>
      </c>
      <c r="H268" t="s">
        <v>708</v>
      </c>
      <c r="I268" t="s">
        <v>718</v>
      </c>
      <c r="J268" t="s">
        <v>732</v>
      </c>
      <c r="K268" t="s">
        <v>1000</v>
      </c>
      <c r="L268">
        <v>1108.1099999999999</v>
      </c>
      <c r="M268">
        <v>2503.79</v>
      </c>
      <c r="N268">
        <v>0.184</v>
      </c>
      <c r="O268">
        <v>19</v>
      </c>
    </row>
    <row r="269" spans="1:15" x14ac:dyDescent="0.3">
      <c r="A269" t="s">
        <v>281</v>
      </c>
      <c r="B269" s="2">
        <v>45053</v>
      </c>
      <c r="C269" s="2">
        <v>45051</v>
      </c>
      <c r="D269" t="s">
        <v>646</v>
      </c>
      <c r="E269" t="s">
        <v>651</v>
      </c>
      <c r="F269" t="s">
        <v>663</v>
      </c>
      <c r="G269" t="s">
        <v>703</v>
      </c>
      <c r="H269" t="s">
        <v>709</v>
      </c>
      <c r="I269" t="s">
        <v>720</v>
      </c>
      <c r="J269" t="s">
        <v>727</v>
      </c>
      <c r="K269" t="s">
        <v>1001</v>
      </c>
      <c r="L269">
        <v>1269.6500000000001</v>
      </c>
      <c r="M269">
        <v>2462.77</v>
      </c>
      <c r="N269">
        <v>0.107</v>
      </c>
      <c r="O269">
        <v>8</v>
      </c>
    </row>
    <row r="270" spans="1:15" x14ac:dyDescent="0.3">
      <c r="A270" t="s">
        <v>282</v>
      </c>
      <c r="B270" s="2">
        <v>45284</v>
      </c>
      <c r="C270" s="2">
        <v>45292</v>
      </c>
      <c r="D270" t="s">
        <v>648</v>
      </c>
      <c r="E270" t="s">
        <v>655</v>
      </c>
      <c r="F270" t="s">
        <v>670</v>
      </c>
      <c r="G270" t="s">
        <v>702</v>
      </c>
      <c r="H270" t="s">
        <v>711</v>
      </c>
      <c r="I270" t="s">
        <v>712</v>
      </c>
      <c r="J270" t="s">
        <v>730</v>
      </c>
      <c r="K270" t="s">
        <v>1002</v>
      </c>
      <c r="L270">
        <v>526.49</v>
      </c>
      <c r="M270">
        <v>496.2</v>
      </c>
      <c r="N270">
        <v>0</v>
      </c>
      <c r="O270">
        <v>14</v>
      </c>
    </row>
    <row r="271" spans="1:15" x14ac:dyDescent="0.3">
      <c r="A271" t="s">
        <v>283</v>
      </c>
      <c r="B271" s="2">
        <v>45301</v>
      </c>
      <c r="C271" s="2">
        <v>45314</v>
      </c>
      <c r="D271" t="s">
        <v>649</v>
      </c>
      <c r="E271" t="s">
        <v>657</v>
      </c>
      <c r="F271" t="s">
        <v>673</v>
      </c>
      <c r="G271" t="s">
        <v>701</v>
      </c>
      <c r="H271" t="s">
        <v>711</v>
      </c>
      <c r="I271" t="s">
        <v>720</v>
      </c>
      <c r="J271" t="s">
        <v>728</v>
      </c>
      <c r="K271" t="s">
        <v>1003</v>
      </c>
      <c r="L271">
        <v>720</v>
      </c>
      <c r="M271">
        <v>907.59</v>
      </c>
      <c r="N271">
        <v>0.154</v>
      </c>
      <c r="O271">
        <v>10</v>
      </c>
    </row>
    <row r="272" spans="1:15" x14ac:dyDescent="0.3">
      <c r="A272" t="s">
        <v>284</v>
      </c>
      <c r="B272" s="2">
        <v>45141</v>
      </c>
      <c r="C272" s="2">
        <v>45152</v>
      </c>
      <c r="D272" t="s">
        <v>648</v>
      </c>
      <c r="E272" t="s">
        <v>655</v>
      </c>
      <c r="F272" t="s">
        <v>672</v>
      </c>
      <c r="G272" t="s">
        <v>701</v>
      </c>
      <c r="H272" t="s">
        <v>711</v>
      </c>
      <c r="I272" t="s">
        <v>713</v>
      </c>
      <c r="J272" t="s">
        <v>733</v>
      </c>
      <c r="K272" t="s">
        <v>1004</v>
      </c>
      <c r="L272">
        <v>232.73</v>
      </c>
      <c r="M272">
        <v>334.19</v>
      </c>
      <c r="N272">
        <v>0.13400000000000001</v>
      </c>
      <c r="O272">
        <v>25</v>
      </c>
    </row>
    <row r="273" spans="1:15" x14ac:dyDescent="0.3">
      <c r="A273" t="s">
        <v>285</v>
      </c>
      <c r="B273" s="2">
        <v>45707</v>
      </c>
      <c r="C273" s="2">
        <v>45725</v>
      </c>
      <c r="D273" t="s">
        <v>647</v>
      </c>
      <c r="E273" t="s">
        <v>654</v>
      </c>
      <c r="F273" t="s">
        <v>680</v>
      </c>
      <c r="G273" t="s">
        <v>705</v>
      </c>
      <c r="H273" t="s">
        <v>711</v>
      </c>
      <c r="I273" t="s">
        <v>719</v>
      </c>
      <c r="J273" t="s">
        <v>732</v>
      </c>
      <c r="K273" t="s">
        <v>1005</v>
      </c>
      <c r="L273">
        <v>325.87</v>
      </c>
      <c r="M273">
        <v>538.79</v>
      </c>
      <c r="N273">
        <v>0.17399999999999999</v>
      </c>
      <c r="O273">
        <v>16</v>
      </c>
    </row>
    <row r="274" spans="1:15" x14ac:dyDescent="0.3">
      <c r="A274" t="s">
        <v>286</v>
      </c>
      <c r="B274" s="2">
        <v>45382</v>
      </c>
      <c r="C274" s="2">
        <v>45399</v>
      </c>
      <c r="D274" t="s">
        <v>649</v>
      </c>
      <c r="E274" t="s">
        <v>656</v>
      </c>
      <c r="F274" t="s">
        <v>698</v>
      </c>
      <c r="G274" t="s">
        <v>702</v>
      </c>
      <c r="H274" t="s">
        <v>711</v>
      </c>
      <c r="I274" t="s">
        <v>722</v>
      </c>
      <c r="J274" t="s">
        <v>732</v>
      </c>
      <c r="K274" t="s">
        <v>1006</v>
      </c>
      <c r="L274">
        <v>1025.51</v>
      </c>
      <c r="M274">
        <v>1436.54</v>
      </c>
      <c r="N274">
        <v>0.13900000000000001</v>
      </c>
      <c r="O274">
        <v>28</v>
      </c>
    </row>
    <row r="275" spans="1:15" x14ac:dyDescent="0.3">
      <c r="A275" t="s">
        <v>287</v>
      </c>
      <c r="B275" s="2">
        <v>45131</v>
      </c>
      <c r="C275" s="2">
        <v>45151</v>
      </c>
      <c r="D275" t="s">
        <v>648</v>
      </c>
      <c r="E275" t="s">
        <v>653</v>
      </c>
      <c r="F275" t="s">
        <v>681</v>
      </c>
      <c r="G275" t="s">
        <v>702</v>
      </c>
      <c r="H275" t="s">
        <v>711</v>
      </c>
      <c r="I275" t="s">
        <v>712</v>
      </c>
      <c r="J275" t="s">
        <v>732</v>
      </c>
      <c r="K275" t="s">
        <v>1007</v>
      </c>
      <c r="L275">
        <v>1082.3800000000001</v>
      </c>
      <c r="M275">
        <v>1766.55</v>
      </c>
      <c r="N275">
        <v>0.16400000000000001</v>
      </c>
      <c r="O275">
        <v>20</v>
      </c>
    </row>
    <row r="276" spans="1:15" x14ac:dyDescent="0.3">
      <c r="A276" t="s">
        <v>288</v>
      </c>
      <c r="B276" s="2">
        <v>45367</v>
      </c>
      <c r="C276" s="2">
        <v>45395</v>
      </c>
      <c r="D276" t="s">
        <v>649</v>
      </c>
      <c r="E276" t="s">
        <v>657</v>
      </c>
      <c r="F276" t="s">
        <v>690</v>
      </c>
      <c r="G276" t="s">
        <v>705</v>
      </c>
      <c r="H276" t="s">
        <v>708</v>
      </c>
      <c r="I276" t="s">
        <v>723</v>
      </c>
      <c r="J276" t="s">
        <v>728</v>
      </c>
      <c r="K276" t="s">
        <v>1008</v>
      </c>
      <c r="L276">
        <v>287.61</v>
      </c>
      <c r="M276">
        <v>628.54</v>
      </c>
      <c r="N276">
        <v>0.13500000000000001</v>
      </c>
      <c r="O276">
        <v>21</v>
      </c>
    </row>
    <row r="277" spans="1:15" x14ac:dyDescent="0.3">
      <c r="A277" t="s">
        <v>289</v>
      </c>
      <c r="B277" s="2">
        <v>45316</v>
      </c>
      <c r="C277" s="2">
        <v>45318</v>
      </c>
      <c r="D277" t="s">
        <v>648</v>
      </c>
      <c r="E277" t="s">
        <v>655</v>
      </c>
      <c r="F277" t="s">
        <v>670</v>
      </c>
      <c r="G277" t="s">
        <v>703</v>
      </c>
      <c r="H277" t="s">
        <v>709</v>
      </c>
      <c r="I277" t="s">
        <v>725</v>
      </c>
      <c r="J277" t="s">
        <v>731</v>
      </c>
      <c r="K277" t="s">
        <v>1009</v>
      </c>
      <c r="L277">
        <v>1410.97</v>
      </c>
      <c r="M277">
        <v>1650.75</v>
      </c>
      <c r="N277">
        <v>0.13500000000000001</v>
      </c>
      <c r="O277">
        <v>6</v>
      </c>
    </row>
    <row r="278" spans="1:15" x14ac:dyDescent="0.3">
      <c r="A278" t="s">
        <v>290</v>
      </c>
      <c r="B278" s="2">
        <v>45378</v>
      </c>
      <c r="C278" s="2">
        <v>45393</v>
      </c>
      <c r="D278" t="s">
        <v>648</v>
      </c>
      <c r="E278" t="s">
        <v>660</v>
      </c>
      <c r="F278" t="s">
        <v>686</v>
      </c>
      <c r="G278" t="s">
        <v>705</v>
      </c>
      <c r="H278" t="s">
        <v>711</v>
      </c>
      <c r="I278" t="s">
        <v>719</v>
      </c>
      <c r="J278" t="s">
        <v>729</v>
      </c>
      <c r="K278" t="s">
        <v>1010</v>
      </c>
      <c r="L278">
        <v>1338.35</v>
      </c>
      <c r="M278">
        <v>2247.14</v>
      </c>
      <c r="N278">
        <v>0.115</v>
      </c>
      <c r="O278">
        <v>40</v>
      </c>
    </row>
    <row r="279" spans="1:15" x14ac:dyDescent="0.3">
      <c r="A279" t="s">
        <v>291</v>
      </c>
      <c r="B279" s="2">
        <v>45832</v>
      </c>
      <c r="C279" s="2">
        <v>45852</v>
      </c>
      <c r="D279" t="s">
        <v>649</v>
      </c>
      <c r="E279" t="s">
        <v>656</v>
      </c>
      <c r="F279" t="s">
        <v>671</v>
      </c>
      <c r="G279" t="s">
        <v>701</v>
      </c>
      <c r="H279" t="s">
        <v>711</v>
      </c>
      <c r="I279" t="s">
        <v>719</v>
      </c>
      <c r="J279" t="s">
        <v>733</v>
      </c>
      <c r="K279" t="s">
        <v>1011</v>
      </c>
      <c r="L279">
        <v>385.08</v>
      </c>
      <c r="M279">
        <v>893.19</v>
      </c>
      <c r="N279">
        <v>0.151</v>
      </c>
      <c r="O279">
        <v>8</v>
      </c>
    </row>
    <row r="280" spans="1:15" x14ac:dyDescent="0.3">
      <c r="A280" t="s">
        <v>292</v>
      </c>
      <c r="B280" s="2">
        <v>45459</v>
      </c>
      <c r="C280" s="2">
        <v>45476</v>
      </c>
      <c r="D280" t="s">
        <v>646</v>
      </c>
      <c r="E280" t="s">
        <v>661</v>
      </c>
      <c r="F280" t="s">
        <v>682</v>
      </c>
      <c r="G280" t="s">
        <v>706</v>
      </c>
      <c r="H280" t="s">
        <v>709</v>
      </c>
      <c r="I280" t="s">
        <v>721</v>
      </c>
      <c r="J280" t="s">
        <v>730</v>
      </c>
      <c r="K280" t="s">
        <v>1012</v>
      </c>
      <c r="L280">
        <v>1173.83</v>
      </c>
      <c r="M280">
        <v>2328.9</v>
      </c>
      <c r="N280">
        <v>0.12</v>
      </c>
      <c r="O280">
        <v>17</v>
      </c>
    </row>
    <row r="281" spans="1:15" x14ac:dyDescent="0.3">
      <c r="A281" t="s">
        <v>293</v>
      </c>
      <c r="B281" s="2">
        <v>45229</v>
      </c>
      <c r="C281" s="2">
        <v>45244</v>
      </c>
      <c r="D281" t="s">
        <v>647</v>
      </c>
      <c r="E281" t="s">
        <v>654</v>
      </c>
      <c r="F281" t="s">
        <v>668</v>
      </c>
      <c r="G281" t="s">
        <v>701</v>
      </c>
      <c r="H281" t="s">
        <v>708</v>
      </c>
      <c r="I281" t="s">
        <v>721</v>
      </c>
      <c r="J281" t="s">
        <v>731</v>
      </c>
      <c r="K281" t="s">
        <v>1013</v>
      </c>
      <c r="L281">
        <v>953.46</v>
      </c>
      <c r="M281">
        <v>2066.75</v>
      </c>
      <c r="N281">
        <v>0.13800000000000001</v>
      </c>
      <c r="O281">
        <v>5</v>
      </c>
    </row>
    <row r="282" spans="1:15" x14ac:dyDescent="0.3">
      <c r="A282" t="s">
        <v>294</v>
      </c>
      <c r="B282" s="2">
        <v>45092</v>
      </c>
      <c r="C282" s="2">
        <v>45100</v>
      </c>
      <c r="D282" t="s">
        <v>648</v>
      </c>
      <c r="E282" t="s">
        <v>660</v>
      </c>
      <c r="F282" t="s">
        <v>686</v>
      </c>
      <c r="G282" t="s">
        <v>704</v>
      </c>
      <c r="H282" t="s">
        <v>710</v>
      </c>
      <c r="I282" t="s">
        <v>719</v>
      </c>
      <c r="J282" t="s">
        <v>732</v>
      </c>
      <c r="K282" t="s">
        <v>1014</v>
      </c>
      <c r="L282">
        <v>1097.0899999999999</v>
      </c>
      <c r="M282">
        <v>2182.31</v>
      </c>
      <c r="N282">
        <v>0.112</v>
      </c>
      <c r="O282">
        <v>9</v>
      </c>
    </row>
    <row r="283" spans="1:15" x14ac:dyDescent="0.3">
      <c r="A283" t="s">
        <v>295</v>
      </c>
      <c r="B283" s="2">
        <v>45730</v>
      </c>
      <c r="C283" s="2">
        <v>45745</v>
      </c>
      <c r="D283" t="s">
        <v>647</v>
      </c>
      <c r="E283" t="s">
        <v>652</v>
      </c>
      <c r="F283" t="s">
        <v>689</v>
      </c>
      <c r="G283" t="s">
        <v>703</v>
      </c>
      <c r="H283" t="s">
        <v>711</v>
      </c>
      <c r="I283" t="s">
        <v>722</v>
      </c>
      <c r="J283" t="s">
        <v>729</v>
      </c>
      <c r="K283" t="s">
        <v>1015</v>
      </c>
      <c r="L283">
        <v>1106.96</v>
      </c>
      <c r="M283">
        <v>2726.62</v>
      </c>
      <c r="N283">
        <v>0.317</v>
      </c>
      <c r="O283">
        <v>7</v>
      </c>
    </row>
    <row r="284" spans="1:15" x14ac:dyDescent="0.3">
      <c r="A284" t="s">
        <v>296</v>
      </c>
      <c r="B284" s="2">
        <v>45153</v>
      </c>
      <c r="C284" s="2">
        <v>45163</v>
      </c>
      <c r="D284" t="s">
        <v>646</v>
      </c>
      <c r="E284" t="s">
        <v>650</v>
      </c>
      <c r="F284" t="s">
        <v>664</v>
      </c>
      <c r="G284" t="s">
        <v>705</v>
      </c>
      <c r="H284" t="s">
        <v>707</v>
      </c>
      <c r="I284" t="s">
        <v>725</v>
      </c>
      <c r="J284" t="s">
        <v>730</v>
      </c>
      <c r="K284" t="s">
        <v>1016</v>
      </c>
      <c r="L284">
        <v>91.85</v>
      </c>
      <c r="M284">
        <v>111.29</v>
      </c>
      <c r="N284">
        <v>0</v>
      </c>
      <c r="O284">
        <v>6</v>
      </c>
    </row>
    <row r="285" spans="1:15" x14ac:dyDescent="0.3">
      <c r="A285" t="s">
        <v>297</v>
      </c>
      <c r="B285" s="2">
        <v>45794</v>
      </c>
      <c r="C285" s="2">
        <v>45805</v>
      </c>
      <c r="D285" t="s">
        <v>647</v>
      </c>
      <c r="E285" t="s">
        <v>654</v>
      </c>
      <c r="F285" t="s">
        <v>668</v>
      </c>
      <c r="G285" t="s">
        <v>701</v>
      </c>
      <c r="H285" t="s">
        <v>710</v>
      </c>
      <c r="I285" t="s">
        <v>717</v>
      </c>
      <c r="J285" t="s">
        <v>731</v>
      </c>
      <c r="K285" t="s">
        <v>1017</v>
      </c>
      <c r="L285">
        <v>623.4</v>
      </c>
      <c r="M285">
        <v>1100.0899999999999</v>
      </c>
      <c r="N285">
        <v>0.114</v>
      </c>
      <c r="O285">
        <v>12</v>
      </c>
    </row>
    <row r="286" spans="1:15" x14ac:dyDescent="0.3">
      <c r="A286" t="s">
        <v>298</v>
      </c>
      <c r="B286" s="2">
        <v>45304</v>
      </c>
      <c r="C286" s="2">
        <v>45327</v>
      </c>
      <c r="D286" t="s">
        <v>649</v>
      </c>
      <c r="E286" t="s">
        <v>656</v>
      </c>
      <c r="F286" t="s">
        <v>698</v>
      </c>
      <c r="G286" t="s">
        <v>702</v>
      </c>
      <c r="H286" t="s">
        <v>711</v>
      </c>
      <c r="I286" t="s">
        <v>717</v>
      </c>
      <c r="J286" t="s">
        <v>731</v>
      </c>
      <c r="K286" t="s">
        <v>1018</v>
      </c>
      <c r="L286">
        <v>1017.93</v>
      </c>
      <c r="M286">
        <v>1529.14</v>
      </c>
      <c r="N286">
        <v>0.155</v>
      </c>
      <c r="O286">
        <v>12</v>
      </c>
    </row>
    <row r="287" spans="1:15" x14ac:dyDescent="0.3">
      <c r="A287" t="s">
        <v>299</v>
      </c>
      <c r="B287" s="2">
        <v>45101</v>
      </c>
      <c r="C287" s="2">
        <v>45128</v>
      </c>
      <c r="D287" t="s">
        <v>647</v>
      </c>
      <c r="E287" t="s">
        <v>652</v>
      </c>
      <c r="F287" t="s">
        <v>694</v>
      </c>
      <c r="G287" t="s">
        <v>704</v>
      </c>
      <c r="H287" t="s">
        <v>709</v>
      </c>
      <c r="I287" t="s">
        <v>713</v>
      </c>
      <c r="J287" t="s">
        <v>730</v>
      </c>
      <c r="K287" t="s">
        <v>1019</v>
      </c>
      <c r="L287">
        <v>554.76</v>
      </c>
      <c r="M287">
        <v>728.69</v>
      </c>
      <c r="N287">
        <v>0.22</v>
      </c>
      <c r="O287">
        <v>7</v>
      </c>
    </row>
    <row r="288" spans="1:15" x14ac:dyDescent="0.3">
      <c r="A288" t="s">
        <v>300</v>
      </c>
      <c r="B288" s="2">
        <v>45751</v>
      </c>
      <c r="C288" s="2">
        <v>45760</v>
      </c>
      <c r="D288" t="s">
        <v>649</v>
      </c>
      <c r="E288" t="s">
        <v>656</v>
      </c>
      <c r="F288" t="s">
        <v>684</v>
      </c>
      <c r="G288" t="s">
        <v>704</v>
      </c>
      <c r="H288" t="s">
        <v>709</v>
      </c>
      <c r="I288" t="s">
        <v>721</v>
      </c>
      <c r="J288" t="s">
        <v>730</v>
      </c>
      <c r="K288" t="s">
        <v>1020</v>
      </c>
      <c r="L288">
        <v>7.02</v>
      </c>
      <c r="M288">
        <v>6.28</v>
      </c>
      <c r="N288">
        <v>0.13400000000000001</v>
      </c>
      <c r="O288">
        <v>14</v>
      </c>
    </row>
    <row r="289" spans="1:15" x14ac:dyDescent="0.3">
      <c r="A289" t="s">
        <v>301</v>
      </c>
      <c r="B289" s="2">
        <v>45542</v>
      </c>
      <c r="C289" s="2">
        <v>45542</v>
      </c>
      <c r="D289" t="s">
        <v>647</v>
      </c>
      <c r="E289" t="s">
        <v>654</v>
      </c>
      <c r="F289" t="s">
        <v>691</v>
      </c>
      <c r="G289" t="s">
        <v>702</v>
      </c>
      <c r="H289" t="s">
        <v>710</v>
      </c>
      <c r="I289" t="s">
        <v>717</v>
      </c>
      <c r="J289" t="s">
        <v>729</v>
      </c>
      <c r="K289" t="s">
        <v>1021</v>
      </c>
      <c r="L289">
        <v>1066.6500000000001</v>
      </c>
      <c r="M289">
        <v>2569.77</v>
      </c>
      <c r="N289">
        <v>0.13400000000000001</v>
      </c>
      <c r="O289">
        <v>9</v>
      </c>
    </row>
    <row r="290" spans="1:15" x14ac:dyDescent="0.3">
      <c r="A290" t="s">
        <v>302</v>
      </c>
      <c r="B290" s="2">
        <v>45319</v>
      </c>
      <c r="C290" s="2">
        <v>45321</v>
      </c>
      <c r="D290" t="s">
        <v>646</v>
      </c>
      <c r="E290" t="s">
        <v>661</v>
      </c>
      <c r="F290" t="s">
        <v>695</v>
      </c>
      <c r="G290" t="s">
        <v>704</v>
      </c>
      <c r="H290" t="s">
        <v>711</v>
      </c>
      <c r="I290" t="s">
        <v>721</v>
      </c>
      <c r="J290" t="s">
        <v>733</v>
      </c>
      <c r="K290" t="s">
        <v>1022</v>
      </c>
      <c r="L290">
        <v>798.45</v>
      </c>
      <c r="M290">
        <v>1592.02</v>
      </c>
      <c r="N290">
        <v>6.6000000000000003E-2</v>
      </c>
      <c r="O290">
        <v>18</v>
      </c>
    </row>
    <row r="291" spans="1:15" x14ac:dyDescent="0.3">
      <c r="A291" t="s">
        <v>303</v>
      </c>
      <c r="B291" s="2">
        <v>45125</v>
      </c>
      <c r="C291" s="2">
        <v>45148</v>
      </c>
      <c r="D291" t="s">
        <v>646</v>
      </c>
      <c r="E291" t="s">
        <v>661</v>
      </c>
      <c r="F291" t="s">
        <v>682</v>
      </c>
      <c r="G291" t="s">
        <v>705</v>
      </c>
      <c r="H291" t="s">
        <v>707</v>
      </c>
      <c r="I291" t="s">
        <v>716</v>
      </c>
      <c r="J291" t="s">
        <v>727</v>
      </c>
      <c r="K291" t="s">
        <v>1023</v>
      </c>
      <c r="L291">
        <v>1271.56</v>
      </c>
      <c r="M291">
        <v>995.47</v>
      </c>
      <c r="N291">
        <v>0.192</v>
      </c>
      <c r="O291">
        <v>13</v>
      </c>
    </row>
    <row r="292" spans="1:15" x14ac:dyDescent="0.3">
      <c r="A292" t="s">
        <v>304</v>
      </c>
      <c r="B292" s="2">
        <v>45897</v>
      </c>
      <c r="C292" s="2">
        <v>45895</v>
      </c>
      <c r="D292" t="s">
        <v>646</v>
      </c>
      <c r="E292" t="s">
        <v>651</v>
      </c>
      <c r="F292" t="s">
        <v>663</v>
      </c>
      <c r="G292" t="s">
        <v>705</v>
      </c>
      <c r="H292" t="s">
        <v>707</v>
      </c>
      <c r="I292" t="s">
        <v>720</v>
      </c>
      <c r="J292" t="s">
        <v>733</v>
      </c>
      <c r="K292" t="s">
        <v>1024</v>
      </c>
      <c r="L292">
        <v>521.05999999999995</v>
      </c>
      <c r="M292">
        <v>1240.31</v>
      </c>
      <c r="N292">
        <v>0.14599999999999999</v>
      </c>
      <c r="O292">
        <v>18</v>
      </c>
    </row>
    <row r="293" spans="1:15" x14ac:dyDescent="0.3">
      <c r="A293" t="s">
        <v>305</v>
      </c>
      <c r="B293" s="2">
        <v>45746</v>
      </c>
      <c r="C293" s="2">
        <v>45754</v>
      </c>
      <c r="D293" t="s">
        <v>648</v>
      </c>
      <c r="E293" t="s">
        <v>655</v>
      </c>
      <c r="F293" t="s">
        <v>670</v>
      </c>
      <c r="G293" t="s">
        <v>703</v>
      </c>
      <c r="H293" t="s">
        <v>711</v>
      </c>
      <c r="I293" t="s">
        <v>716</v>
      </c>
      <c r="J293" t="s">
        <v>728</v>
      </c>
      <c r="K293" t="s">
        <v>1025</v>
      </c>
      <c r="L293">
        <v>71.62</v>
      </c>
      <c r="M293">
        <v>118.37</v>
      </c>
      <c r="N293">
        <v>0.156</v>
      </c>
      <c r="O293">
        <v>11</v>
      </c>
    </row>
    <row r="294" spans="1:15" x14ac:dyDescent="0.3">
      <c r="A294" t="s">
        <v>306</v>
      </c>
      <c r="B294" s="2">
        <v>45220</v>
      </c>
      <c r="C294" s="2">
        <v>45239</v>
      </c>
      <c r="D294" t="s">
        <v>649</v>
      </c>
      <c r="E294" t="s">
        <v>658</v>
      </c>
      <c r="F294" t="s">
        <v>683</v>
      </c>
      <c r="G294" t="s">
        <v>703</v>
      </c>
      <c r="H294" t="s">
        <v>711</v>
      </c>
      <c r="I294" t="s">
        <v>720</v>
      </c>
      <c r="J294" t="s">
        <v>733</v>
      </c>
      <c r="K294" t="s">
        <v>1026</v>
      </c>
      <c r="L294">
        <v>1142.48</v>
      </c>
      <c r="M294">
        <v>2105.5300000000002</v>
      </c>
      <c r="N294">
        <v>0.20699999999999999</v>
      </c>
      <c r="O294">
        <v>14</v>
      </c>
    </row>
    <row r="295" spans="1:15" x14ac:dyDescent="0.3">
      <c r="A295" t="s">
        <v>307</v>
      </c>
      <c r="B295" s="2">
        <v>45161</v>
      </c>
      <c r="C295" s="2">
        <v>45191</v>
      </c>
      <c r="D295" t="s">
        <v>649</v>
      </c>
      <c r="E295" t="s">
        <v>658</v>
      </c>
      <c r="F295" t="s">
        <v>683</v>
      </c>
      <c r="G295" t="s">
        <v>704</v>
      </c>
      <c r="H295" t="s">
        <v>710</v>
      </c>
      <c r="I295" t="s">
        <v>719</v>
      </c>
      <c r="J295" t="s">
        <v>733</v>
      </c>
      <c r="K295" t="s">
        <v>1027</v>
      </c>
      <c r="L295">
        <v>209.81</v>
      </c>
      <c r="M295">
        <v>523</v>
      </c>
      <c r="N295">
        <v>5.8999999999999997E-2</v>
      </c>
      <c r="O295">
        <v>15</v>
      </c>
    </row>
    <row r="296" spans="1:15" x14ac:dyDescent="0.3">
      <c r="A296" t="s">
        <v>308</v>
      </c>
      <c r="B296" s="2">
        <v>45758</v>
      </c>
      <c r="C296" s="2">
        <v>45781</v>
      </c>
      <c r="D296" t="s">
        <v>647</v>
      </c>
      <c r="E296" t="s">
        <v>652</v>
      </c>
      <c r="F296" t="s">
        <v>666</v>
      </c>
      <c r="G296" t="s">
        <v>705</v>
      </c>
      <c r="H296" t="s">
        <v>708</v>
      </c>
      <c r="I296" t="s">
        <v>724</v>
      </c>
      <c r="J296" t="s">
        <v>727</v>
      </c>
      <c r="K296" t="s">
        <v>1028</v>
      </c>
      <c r="L296">
        <v>786.2</v>
      </c>
      <c r="M296">
        <v>1075.3</v>
      </c>
      <c r="N296">
        <v>0.08</v>
      </c>
      <c r="O296">
        <v>9</v>
      </c>
    </row>
    <row r="297" spans="1:15" x14ac:dyDescent="0.3">
      <c r="A297" t="s">
        <v>309</v>
      </c>
      <c r="B297" s="2">
        <v>45809</v>
      </c>
      <c r="C297" s="2">
        <v>45835</v>
      </c>
      <c r="D297" t="s">
        <v>649</v>
      </c>
      <c r="E297" t="s">
        <v>656</v>
      </c>
      <c r="F297" t="s">
        <v>684</v>
      </c>
      <c r="G297" t="s">
        <v>704</v>
      </c>
      <c r="H297" t="s">
        <v>710</v>
      </c>
      <c r="I297" t="s">
        <v>718</v>
      </c>
      <c r="J297" t="s">
        <v>731</v>
      </c>
      <c r="K297" t="s">
        <v>1029</v>
      </c>
      <c r="L297">
        <v>1362.31</v>
      </c>
      <c r="M297">
        <v>3294.57</v>
      </c>
      <c r="N297">
        <v>0.113</v>
      </c>
      <c r="O297">
        <v>7</v>
      </c>
    </row>
    <row r="298" spans="1:15" x14ac:dyDescent="0.3">
      <c r="A298" t="s">
        <v>310</v>
      </c>
      <c r="B298" s="2">
        <v>45353</v>
      </c>
      <c r="C298" s="2">
        <v>45367</v>
      </c>
      <c r="D298" t="s">
        <v>648</v>
      </c>
      <c r="E298" t="s">
        <v>653</v>
      </c>
      <c r="F298" t="s">
        <v>688</v>
      </c>
      <c r="G298" t="s">
        <v>703</v>
      </c>
      <c r="H298" t="s">
        <v>711</v>
      </c>
      <c r="I298" t="s">
        <v>719</v>
      </c>
      <c r="J298" t="s">
        <v>728</v>
      </c>
      <c r="K298" t="s">
        <v>1030</v>
      </c>
      <c r="L298">
        <v>248.24</v>
      </c>
      <c r="M298">
        <v>464.05</v>
      </c>
      <c r="N298">
        <v>0.16900000000000001</v>
      </c>
      <c r="O298">
        <v>11</v>
      </c>
    </row>
    <row r="299" spans="1:15" x14ac:dyDescent="0.3">
      <c r="A299" t="s">
        <v>311</v>
      </c>
      <c r="B299" s="2">
        <v>45097</v>
      </c>
      <c r="C299" s="2">
        <v>45115</v>
      </c>
      <c r="D299" t="s">
        <v>648</v>
      </c>
      <c r="E299" t="s">
        <v>660</v>
      </c>
      <c r="F299" t="s">
        <v>697</v>
      </c>
      <c r="G299" t="s">
        <v>703</v>
      </c>
      <c r="H299" t="s">
        <v>711</v>
      </c>
      <c r="I299" t="s">
        <v>721</v>
      </c>
      <c r="J299" t="s">
        <v>732</v>
      </c>
      <c r="K299" t="s">
        <v>1031</v>
      </c>
      <c r="L299">
        <v>337</v>
      </c>
      <c r="M299">
        <v>511.03</v>
      </c>
      <c r="N299">
        <v>0.108</v>
      </c>
      <c r="O299">
        <v>7</v>
      </c>
    </row>
    <row r="300" spans="1:15" x14ac:dyDescent="0.3">
      <c r="A300" t="s">
        <v>312</v>
      </c>
      <c r="B300" s="2">
        <v>45377</v>
      </c>
      <c r="C300" s="2">
        <v>45387</v>
      </c>
      <c r="D300" t="s">
        <v>648</v>
      </c>
      <c r="E300" t="s">
        <v>660</v>
      </c>
      <c r="F300" t="s">
        <v>697</v>
      </c>
      <c r="G300" t="s">
        <v>704</v>
      </c>
      <c r="H300" t="s">
        <v>711</v>
      </c>
      <c r="I300" t="s">
        <v>713</v>
      </c>
      <c r="J300" t="s">
        <v>732</v>
      </c>
      <c r="K300" t="s">
        <v>1032</v>
      </c>
      <c r="L300">
        <v>5.66</v>
      </c>
      <c r="M300">
        <v>4.22</v>
      </c>
      <c r="N300">
        <v>0.11899999999999999</v>
      </c>
      <c r="O300">
        <v>18</v>
      </c>
    </row>
    <row r="301" spans="1:15" x14ac:dyDescent="0.3">
      <c r="A301" t="s">
        <v>313</v>
      </c>
      <c r="B301" s="2">
        <v>45679</v>
      </c>
      <c r="C301" s="2">
        <v>45679</v>
      </c>
      <c r="D301" t="s">
        <v>649</v>
      </c>
      <c r="E301" t="s">
        <v>657</v>
      </c>
      <c r="F301" t="s">
        <v>679</v>
      </c>
      <c r="G301" t="s">
        <v>705</v>
      </c>
      <c r="H301" t="s">
        <v>708</v>
      </c>
      <c r="I301" t="s">
        <v>717</v>
      </c>
      <c r="J301" t="s">
        <v>733</v>
      </c>
      <c r="K301" t="s">
        <v>1033</v>
      </c>
      <c r="L301">
        <v>591.72</v>
      </c>
      <c r="M301">
        <v>577.24</v>
      </c>
      <c r="N301">
        <v>0</v>
      </c>
      <c r="O301">
        <v>22</v>
      </c>
    </row>
    <row r="302" spans="1:15" x14ac:dyDescent="0.3">
      <c r="A302" t="s">
        <v>314</v>
      </c>
      <c r="B302" s="2">
        <v>45787</v>
      </c>
      <c r="C302" s="2">
        <v>45804</v>
      </c>
      <c r="D302" t="s">
        <v>648</v>
      </c>
      <c r="E302" t="s">
        <v>653</v>
      </c>
      <c r="F302" t="s">
        <v>688</v>
      </c>
      <c r="G302" t="s">
        <v>702</v>
      </c>
      <c r="H302" t="s">
        <v>711</v>
      </c>
      <c r="I302" t="s">
        <v>712</v>
      </c>
      <c r="J302" t="s">
        <v>727</v>
      </c>
      <c r="K302" t="s">
        <v>1034</v>
      </c>
      <c r="L302">
        <v>862.89</v>
      </c>
      <c r="M302">
        <v>1426.03</v>
      </c>
      <c r="N302">
        <v>5.6000000000000001E-2</v>
      </c>
      <c r="O302">
        <v>19</v>
      </c>
    </row>
    <row r="303" spans="1:15" x14ac:dyDescent="0.3">
      <c r="A303" t="s">
        <v>315</v>
      </c>
      <c r="B303" s="2">
        <v>45204</v>
      </c>
      <c r="C303" s="2">
        <v>45230</v>
      </c>
      <c r="D303" t="s">
        <v>647</v>
      </c>
      <c r="E303" t="s">
        <v>659</v>
      </c>
      <c r="F303" t="s">
        <v>685</v>
      </c>
      <c r="G303" t="s">
        <v>704</v>
      </c>
      <c r="I303" t="s">
        <v>713</v>
      </c>
      <c r="J303" t="s">
        <v>728</v>
      </c>
      <c r="K303" t="s">
        <v>1035</v>
      </c>
      <c r="L303">
        <v>649.91</v>
      </c>
      <c r="M303">
        <v>1360.12</v>
      </c>
      <c r="N303">
        <v>0.19400000000000001</v>
      </c>
      <c r="O303">
        <v>9</v>
      </c>
    </row>
    <row r="304" spans="1:15" x14ac:dyDescent="0.3">
      <c r="A304" t="s">
        <v>316</v>
      </c>
      <c r="B304" s="2">
        <v>45125</v>
      </c>
      <c r="C304" s="2">
        <v>45129</v>
      </c>
      <c r="D304" t="s">
        <v>648</v>
      </c>
      <c r="E304" t="s">
        <v>655</v>
      </c>
      <c r="F304" t="s">
        <v>670</v>
      </c>
      <c r="G304" t="s">
        <v>704</v>
      </c>
      <c r="H304" t="s">
        <v>711</v>
      </c>
      <c r="I304" t="s">
        <v>721</v>
      </c>
      <c r="J304" t="s">
        <v>729</v>
      </c>
      <c r="K304" t="s">
        <v>1036</v>
      </c>
      <c r="L304">
        <v>1269.55</v>
      </c>
      <c r="M304">
        <v>2071.1</v>
      </c>
      <c r="N304">
        <v>0.129</v>
      </c>
      <c r="O304">
        <v>22</v>
      </c>
    </row>
    <row r="305" spans="1:15" x14ac:dyDescent="0.3">
      <c r="A305" t="s">
        <v>317</v>
      </c>
      <c r="B305" s="2">
        <v>45830</v>
      </c>
      <c r="C305" s="2">
        <v>45846</v>
      </c>
      <c r="D305" t="s">
        <v>649</v>
      </c>
      <c r="E305" t="s">
        <v>658</v>
      </c>
      <c r="F305" t="s">
        <v>683</v>
      </c>
      <c r="G305" t="s">
        <v>702</v>
      </c>
      <c r="H305" t="s">
        <v>711</v>
      </c>
      <c r="I305" t="s">
        <v>720</v>
      </c>
      <c r="J305" t="s">
        <v>730</v>
      </c>
      <c r="K305" t="s">
        <v>1037</v>
      </c>
      <c r="L305">
        <v>892.73</v>
      </c>
      <c r="M305">
        <v>979.84</v>
      </c>
      <c r="N305">
        <v>0.17399999999999999</v>
      </c>
      <c r="O305">
        <v>10</v>
      </c>
    </row>
    <row r="306" spans="1:15" x14ac:dyDescent="0.3">
      <c r="A306" t="s">
        <v>318</v>
      </c>
      <c r="B306" s="2">
        <v>45462</v>
      </c>
      <c r="C306" s="2">
        <v>45463</v>
      </c>
      <c r="D306" t="s">
        <v>646</v>
      </c>
      <c r="E306" t="s">
        <v>650</v>
      </c>
      <c r="F306" t="s">
        <v>662</v>
      </c>
      <c r="G306" t="s">
        <v>705</v>
      </c>
      <c r="H306" t="s">
        <v>711</v>
      </c>
      <c r="I306" t="s">
        <v>713</v>
      </c>
      <c r="J306" t="s">
        <v>731</v>
      </c>
      <c r="K306" t="s">
        <v>1038</v>
      </c>
      <c r="L306">
        <v>231.63</v>
      </c>
      <c r="M306">
        <v>537.39</v>
      </c>
      <c r="N306">
        <v>0.08</v>
      </c>
      <c r="O306">
        <v>12</v>
      </c>
    </row>
    <row r="307" spans="1:15" x14ac:dyDescent="0.3">
      <c r="A307" t="s">
        <v>319</v>
      </c>
      <c r="B307" s="2">
        <v>45756</v>
      </c>
      <c r="C307" s="2">
        <v>45759</v>
      </c>
      <c r="D307" t="s">
        <v>649</v>
      </c>
      <c r="E307" t="s">
        <v>657</v>
      </c>
      <c r="F307" t="s">
        <v>679</v>
      </c>
      <c r="G307" t="s">
        <v>705</v>
      </c>
      <c r="H307" t="s">
        <v>710</v>
      </c>
      <c r="I307" t="s">
        <v>722</v>
      </c>
      <c r="J307" t="s">
        <v>732</v>
      </c>
      <c r="K307" t="s">
        <v>1039</v>
      </c>
      <c r="L307">
        <v>86.68</v>
      </c>
      <c r="M307">
        <v>213.32</v>
      </c>
      <c r="N307">
        <v>3.7999999999999999E-2</v>
      </c>
      <c r="O307">
        <v>8</v>
      </c>
    </row>
    <row r="308" spans="1:15" x14ac:dyDescent="0.3">
      <c r="A308" t="s">
        <v>320</v>
      </c>
      <c r="B308" s="2">
        <v>45741</v>
      </c>
      <c r="C308" s="2">
        <v>45742</v>
      </c>
      <c r="D308" t="s">
        <v>646</v>
      </c>
      <c r="E308" t="s">
        <v>651</v>
      </c>
      <c r="F308" t="s">
        <v>665</v>
      </c>
      <c r="G308" t="s">
        <v>702</v>
      </c>
      <c r="H308" t="s">
        <v>710</v>
      </c>
      <c r="I308" t="s">
        <v>715</v>
      </c>
      <c r="J308" t="s">
        <v>733</v>
      </c>
      <c r="K308" t="s">
        <v>1040</v>
      </c>
      <c r="L308">
        <v>1450.43</v>
      </c>
      <c r="M308">
        <v>1994.67</v>
      </c>
      <c r="N308">
        <v>0.1</v>
      </c>
      <c r="O308">
        <v>24</v>
      </c>
    </row>
    <row r="309" spans="1:15" x14ac:dyDescent="0.3">
      <c r="A309" t="s">
        <v>321</v>
      </c>
      <c r="B309" s="2">
        <v>45795</v>
      </c>
      <c r="C309" s="2">
        <v>45817</v>
      </c>
      <c r="D309" t="s">
        <v>648</v>
      </c>
      <c r="E309" t="s">
        <v>660</v>
      </c>
      <c r="F309" t="s">
        <v>700</v>
      </c>
      <c r="G309" t="s">
        <v>704</v>
      </c>
      <c r="H309" t="s">
        <v>707</v>
      </c>
      <c r="I309" t="s">
        <v>722</v>
      </c>
      <c r="J309" t="s">
        <v>729</v>
      </c>
      <c r="K309" t="s">
        <v>1041</v>
      </c>
      <c r="L309">
        <v>382.96</v>
      </c>
      <c r="M309">
        <v>552.84</v>
      </c>
      <c r="N309">
        <v>0.17599999999999999</v>
      </c>
      <c r="O309">
        <v>8</v>
      </c>
    </row>
    <row r="310" spans="1:15" x14ac:dyDescent="0.3">
      <c r="A310" t="s">
        <v>322</v>
      </c>
      <c r="B310" s="2">
        <v>45679</v>
      </c>
      <c r="C310" s="2">
        <v>45692</v>
      </c>
      <c r="D310" t="s">
        <v>647</v>
      </c>
      <c r="E310" t="s">
        <v>652</v>
      </c>
      <c r="F310" t="s">
        <v>689</v>
      </c>
      <c r="G310" t="s">
        <v>705</v>
      </c>
      <c r="H310" t="s">
        <v>710</v>
      </c>
      <c r="I310" t="s">
        <v>716</v>
      </c>
      <c r="J310" t="s">
        <v>728</v>
      </c>
      <c r="K310" t="s">
        <v>1042</v>
      </c>
      <c r="L310">
        <v>122.29</v>
      </c>
      <c r="M310">
        <v>224.95</v>
      </c>
      <c r="N310">
        <v>0.153</v>
      </c>
      <c r="O310">
        <v>28</v>
      </c>
    </row>
    <row r="311" spans="1:15" x14ac:dyDescent="0.3">
      <c r="A311" t="s">
        <v>323</v>
      </c>
      <c r="B311" s="2">
        <v>44936</v>
      </c>
      <c r="C311" s="2">
        <v>44955</v>
      </c>
      <c r="D311" t="s">
        <v>649</v>
      </c>
      <c r="E311" t="s">
        <v>657</v>
      </c>
      <c r="F311" t="s">
        <v>679</v>
      </c>
      <c r="G311" t="s">
        <v>703</v>
      </c>
      <c r="H311" t="s">
        <v>711</v>
      </c>
      <c r="I311" t="s">
        <v>726</v>
      </c>
      <c r="J311" t="s">
        <v>731</v>
      </c>
      <c r="K311" t="s">
        <v>1043</v>
      </c>
      <c r="L311">
        <v>401.66</v>
      </c>
      <c r="M311">
        <v>772.09</v>
      </c>
      <c r="N311">
        <v>8.8999999999999996E-2</v>
      </c>
      <c r="O311">
        <v>14</v>
      </c>
    </row>
    <row r="312" spans="1:15" x14ac:dyDescent="0.3">
      <c r="A312" t="s">
        <v>324</v>
      </c>
      <c r="B312" s="2">
        <v>45655</v>
      </c>
      <c r="C312" s="2">
        <v>45669</v>
      </c>
      <c r="D312" t="s">
        <v>649</v>
      </c>
      <c r="E312" t="s">
        <v>658</v>
      </c>
      <c r="F312" t="s">
        <v>693</v>
      </c>
      <c r="G312" t="s">
        <v>701</v>
      </c>
      <c r="H312" t="s">
        <v>711</v>
      </c>
      <c r="I312" t="s">
        <v>717</v>
      </c>
      <c r="J312" t="s">
        <v>732</v>
      </c>
      <c r="K312" t="s">
        <v>1044</v>
      </c>
      <c r="L312">
        <v>1399.72</v>
      </c>
      <c r="M312">
        <v>3149.21</v>
      </c>
      <c r="N312">
        <v>0.185</v>
      </c>
      <c r="O312">
        <v>12</v>
      </c>
    </row>
    <row r="313" spans="1:15" x14ac:dyDescent="0.3">
      <c r="A313" t="s">
        <v>325</v>
      </c>
      <c r="B313" s="2">
        <v>45435</v>
      </c>
      <c r="C313" s="2">
        <v>45449</v>
      </c>
      <c r="D313" t="s">
        <v>648</v>
      </c>
      <c r="E313" t="s">
        <v>655</v>
      </c>
      <c r="F313" t="s">
        <v>692</v>
      </c>
      <c r="G313" t="s">
        <v>703</v>
      </c>
      <c r="H313" t="s">
        <v>708</v>
      </c>
      <c r="I313" t="s">
        <v>714</v>
      </c>
      <c r="J313" t="s">
        <v>729</v>
      </c>
      <c r="K313" t="s">
        <v>1045</v>
      </c>
      <c r="L313">
        <v>51.13</v>
      </c>
      <c r="M313">
        <v>57.53</v>
      </c>
      <c r="N313">
        <v>4.4999999999999998E-2</v>
      </c>
      <c r="O313">
        <v>16</v>
      </c>
    </row>
    <row r="314" spans="1:15" x14ac:dyDescent="0.3">
      <c r="A314" t="s">
        <v>326</v>
      </c>
      <c r="B314" s="2">
        <v>45101</v>
      </c>
      <c r="C314" s="2">
        <v>45099</v>
      </c>
      <c r="D314" t="s">
        <v>648</v>
      </c>
      <c r="E314" t="s">
        <v>653</v>
      </c>
      <c r="F314" t="s">
        <v>667</v>
      </c>
      <c r="G314" t="s">
        <v>703</v>
      </c>
      <c r="H314" t="s">
        <v>707</v>
      </c>
      <c r="I314" t="s">
        <v>724</v>
      </c>
      <c r="J314" t="s">
        <v>733</v>
      </c>
      <c r="K314" t="s">
        <v>1046</v>
      </c>
      <c r="L314">
        <v>471.42</v>
      </c>
      <c r="M314">
        <v>824.81</v>
      </c>
      <c r="N314">
        <v>8.7999999999999995E-2</v>
      </c>
      <c r="O314">
        <v>15</v>
      </c>
    </row>
    <row r="315" spans="1:15" x14ac:dyDescent="0.3">
      <c r="A315" t="s">
        <v>327</v>
      </c>
      <c r="B315" s="2">
        <v>45600</v>
      </c>
      <c r="C315" s="2">
        <v>45601</v>
      </c>
      <c r="D315" t="s">
        <v>649</v>
      </c>
      <c r="E315" t="s">
        <v>658</v>
      </c>
      <c r="F315" t="s">
        <v>683</v>
      </c>
      <c r="G315" t="s">
        <v>701</v>
      </c>
      <c r="H315" t="s">
        <v>707</v>
      </c>
      <c r="I315" t="s">
        <v>724</v>
      </c>
      <c r="J315" t="s">
        <v>728</v>
      </c>
      <c r="K315" t="s">
        <v>1047</v>
      </c>
      <c r="L315">
        <v>840.68</v>
      </c>
      <c r="M315">
        <v>1493.53</v>
      </c>
      <c r="N315">
        <v>0</v>
      </c>
      <c r="O315">
        <v>27</v>
      </c>
    </row>
    <row r="316" spans="1:15" x14ac:dyDescent="0.3">
      <c r="A316" t="s">
        <v>328</v>
      </c>
      <c r="B316" s="2">
        <v>45451</v>
      </c>
      <c r="C316" s="2">
        <v>45467</v>
      </c>
      <c r="D316" t="s">
        <v>646</v>
      </c>
      <c r="E316" t="s">
        <v>661</v>
      </c>
      <c r="F316" t="s">
        <v>687</v>
      </c>
      <c r="G316" t="s">
        <v>702</v>
      </c>
      <c r="H316" t="s">
        <v>710</v>
      </c>
      <c r="I316" t="s">
        <v>722</v>
      </c>
      <c r="J316" t="s">
        <v>732</v>
      </c>
      <c r="K316" t="s">
        <v>1048</v>
      </c>
      <c r="L316">
        <v>597.85</v>
      </c>
      <c r="M316">
        <v>741.92</v>
      </c>
      <c r="N316">
        <v>3.1E-2</v>
      </c>
      <c r="O316">
        <v>7</v>
      </c>
    </row>
    <row r="317" spans="1:15" x14ac:dyDescent="0.3">
      <c r="A317" t="s">
        <v>329</v>
      </c>
      <c r="B317" s="2">
        <v>45809</v>
      </c>
      <c r="C317" s="2">
        <v>45814</v>
      </c>
      <c r="D317" t="s">
        <v>649</v>
      </c>
      <c r="E317" t="s">
        <v>657</v>
      </c>
      <c r="F317" t="s">
        <v>690</v>
      </c>
      <c r="G317" t="s">
        <v>704</v>
      </c>
      <c r="H317" t="s">
        <v>710</v>
      </c>
      <c r="I317" t="s">
        <v>715</v>
      </c>
      <c r="J317" t="s">
        <v>727</v>
      </c>
      <c r="K317" t="s">
        <v>1049</v>
      </c>
      <c r="L317">
        <v>379.45</v>
      </c>
      <c r="M317">
        <v>742.23</v>
      </c>
      <c r="N317">
        <v>0.09</v>
      </c>
      <c r="O317">
        <v>13</v>
      </c>
    </row>
    <row r="318" spans="1:15" x14ac:dyDescent="0.3">
      <c r="A318" t="s">
        <v>330</v>
      </c>
      <c r="B318" s="2">
        <v>45052</v>
      </c>
      <c r="C318" s="2">
        <v>45060</v>
      </c>
      <c r="D318" t="s">
        <v>647</v>
      </c>
      <c r="E318" t="s">
        <v>652</v>
      </c>
      <c r="F318" t="s">
        <v>666</v>
      </c>
      <c r="G318" t="s">
        <v>706</v>
      </c>
      <c r="H318" t="s">
        <v>709</v>
      </c>
      <c r="I318" t="s">
        <v>717</v>
      </c>
      <c r="J318" t="s">
        <v>730</v>
      </c>
      <c r="K318" t="s">
        <v>1050</v>
      </c>
      <c r="L318">
        <v>291.18</v>
      </c>
      <c r="M318">
        <v>479.54</v>
      </c>
      <c r="N318">
        <v>0.14099999999999999</v>
      </c>
      <c r="O318">
        <v>22</v>
      </c>
    </row>
    <row r="319" spans="1:15" x14ac:dyDescent="0.3">
      <c r="A319" t="s">
        <v>331</v>
      </c>
      <c r="B319" s="2">
        <v>45244</v>
      </c>
      <c r="C319" s="2">
        <v>45260</v>
      </c>
      <c r="D319" t="s">
        <v>648</v>
      </c>
      <c r="E319" t="s">
        <v>655</v>
      </c>
      <c r="F319" t="s">
        <v>670</v>
      </c>
      <c r="G319" t="s">
        <v>706</v>
      </c>
      <c r="H319" t="s">
        <v>711</v>
      </c>
      <c r="I319" t="s">
        <v>723</v>
      </c>
      <c r="J319" t="s">
        <v>729</v>
      </c>
      <c r="K319" t="s">
        <v>1051</v>
      </c>
      <c r="L319">
        <v>1017.92</v>
      </c>
      <c r="M319">
        <v>1175.25</v>
      </c>
      <c r="N319">
        <v>7.4999999999999997E-2</v>
      </c>
      <c r="O319">
        <v>15</v>
      </c>
    </row>
    <row r="320" spans="1:15" x14ac:dyDescent="0.3">
      <c r="A320" t="s">
        <v>332</v>
      </c>
      <c r="B320" s="2">
        <v>45748</v>
      </c>
      <c r="C320" s="2">
        <v>45774</v>
      </c>
      <c r="D320" t="s">
        <v>648</v>
      </c>
      <c r="E320" t="s">
        <v>660</v>
      </c>
      <c r="F320" t="s">
        <v>686</v>
      </c>
      <c r="G320" t="s">
        <v>701</v>
      </c>
      <c r="H320" t="s">
        <v>711</v>
      </c>
      <c r="I320" t="s">
        <v>714</v>
      </c>
      <c r="J320" t="s">
        <v>732</v>
      </c>
      <c r="K320" t="s">
        <v>1052</v>
      </c>
      <c r="L320">
        <v>156.55000000000001</v>
      </c>
      <c r="M320">
        <v>227.45</v>
      </c>
      <c r="N320">
        <v>1.4E-2</v>
      </c>
      <c r="O320">
        <v>13</v>
      </c>
    </row>
    <row r="321" spans="1:15" x14ac:dyDescent="0.3">
      <c r="A321" t="s">
        <v>333</v>
      </c>
      <c r="B321" s="2">
        <v>45008</v>
      </c>
      <c r="C321" s="2">
        <v>45031</v>
      </c>
      <c r="D321" t="s">
        <v>646</v>
      </c>
      <c r="E321" t="s">
        <v>650</v>
      </c>
      <c r="F321" t="s">
        <v>675</v>
      </c>
      <c r="G321" t="s">
        <v>705</v>
      </c>
      <c r="H321" t="s">
        <v>707</v>
      </c>
      <c r="I321" t="s">
        <v>712</v>
      </c>
      <c r="J321" t="s">
        <v>733</v>
      </c>
      <c r="K321" t="s">
        <v>1053</v>
      </c>
      <c r="L321">
        <v>875.36</v>
      </c>
      <c r="M321">
        <v>1178.6199999999999</v>
      </c>
      <c r="N321">
        <v>0.151</v>
      </c>
      <c r="O321">
        <v>53</v>
      </c>
    </row>
    <row r="322" spans="1:15" x14ac:dyDescent="0.3">
      <c r="A322" t="s">
        <v>334</v>
      </c>
      <c r="B322" s="2">
        <v>45440</v>
      </c>
      <c r="C322" s="2">
        <v>45461</v>
      </c>
      <c r="D322" t="s">
        <v>649</v>
      </c>
      <c r="E322" t="s">
        <v>656</v>
      </c>
      <c r="F322" t="s">
        <v>698</v>
      </c>
      <c r="G322" t="s">
        <v>705</v>
      </c>
      <c r="H322" t="s">
        <v>708</v>
      </c>
      <c r="I322" t="s">
        <v>718</v>
      </c>
      <c r="J322" t="s">
        <v>730</v>
      </c>
      <c r="K322" t="s">
        <v>1054</v>
      </c>
      <c r="L322">
        <v>986.85</v>
      </c>
      <c r="M322">
        <v>2422.1</v>
      </c>
      <c r="N322">
        <v>7.5999999999999998E-2</v>
      </c>
      <c r="O322">
        <v>10</v>
      </c>
    </row>
    <row r="323" spans="1:15" x14ac:dyDescent="0.3">
      <c r="A323" t="s">
        <v>335</v>
      </c>
      <c r="B323" s="2">
        <v>45293</v>
      </c>
      <c r="C323" s="2">
        <v>45292</v>
      </c>
      <c r="D323" t="s">
        <v>648</v>
      </c>
      <c r="E323" t="s">
        <v>660</v>
      </c>
      <c r="F323" t="s">
        <v>677</v>
      </c>
      <c r="G323" t="s">
        <v>702</v>
      </c>
      <c r="H323" t="s">
        <v>709</v>
      </c>
      <c r="I323" t="s">
        <v>717</v>
      </c>
      <c r="J323" t="s">
        <v>729</v>
      </c>
      <c r="K323" t="s">
        <v>1055</v>
      </c>
      <c r="L323">
        <v>404.77</v>
      </c>
      <c r="M323">
        <v>433.88</v>
      </c>
      <c r="N323">
        <v>0.215</v>
      </c>
      <c r="O323">
        <v>22</v>
      </c>
    </row>
    <row r="324" spans="1:15" x14ac:dyDescent="0.3">
      <c r="A324" t="s">
        <v>336</v>
      </c>
      <c r="B324" s="2">
        <v>44985</v>
      </c>
      <c r="C324" s="2">
        <v>44984</v>
      </c>
      <c r="D324" t="s">
        <v>649</v>
      </c>
      <c r="E324" t="s">
        <v>657</v>
      </c>
      <c r="F324" t="s">
        <v>673</v>
      </c>
      <c r="G324" t="s">
        <v>701</v>
      </c>
      <c r="H324" t="s">
        <v>707</v>
      </c>
      <c r="I324" t="s">
        <v>723</v>
      </c>
      <c r="J324" t="s">
        <v>729</v>
      </c>
      <c r="K324" t="s">
        <v>1056</v>
      </c>
      <c r="L324">
        <v>1299.81</v>
      </c>
      <c r="M324">
        <v>3149.13</v>
      </c>
      <c r="N324">
        <v>0.10299999999999999</v>
      </c>
      <c r="O324">
        <v>14</v>
      </c>
    </row>
    <row r="325" spans="1:15" x14ac:dyDescent="0.3">
      <c r="A325" t="s">
        <v>337</v>
      </c>
      <c r="B325" s="2">
        <v>45340</v>
      </c>
      <c r="C325" s="2">
        <v>45362</v>
      </c>
      <c r="D325" t="s">
        <v>648</v>
      </c>
      <c r="E325" t="s">
        <v>655</v>
      </c>
      <c r="F325" t="s">
        <v>670</v>
      </c>
      <c r="G325" t="s">
        <v>704</v>
      </c>
      <c r="H325" t="s">
        <v>708</v>
      </c>
      <c r="I325" t="s">
        <v>720</v>
      </c>
      <c r="J325" t="s">
        <v>727</v>
      </c>
      <c r="K325" t="s">
        <v>1057</v>
      </c>
      <c r="L325">
        <v>80.48</v>
      </c>
      <c r="M325">
        <v>65.650000000000006</v>
      </c>
      <c r="N325">
        <v>0.17599999999999999</v>
      </c>
      <c r="O325">
        <v>13</v>
      </c>
    </row>
    <row r="326" spans="1:15" x14ac:dyDescent="0.3">
      <c r="A326" t="s">
        <v>338</v>
      </c>
      <c r="B326" s="2">
        <v>45544</v>
      </c>
      <c r="C326" s="2">
        <v>45573</v>
      </c>
      <c r="D326" t="s">
        <v>648</v>
      </c>
      <c r="E326" t="s">
        <v>655</v>
      </c>
      <c r="F326" t="s">
        <v>670</v>
      </c>
      <c r="G326" t="s">
        <v>702</v>
      </c>
      <c r="H326" t="s">
        <v>711</v>
      </c>
      <c r="I326" t="s">
        <v>713</v>
      </c>
      <c r="J326" t="s">
        <v>727</v>
      </c>
      <c r="K326" t="s">
        <v>1058</v>
      </c>
      <c r="L326">
        <v>1010.33</v>
      </c>
      <c r="M326">
        <v>2492.14</v>
      </c>
      <c r="N326">
        <v>5.0999999999999997E-2</v>
      </c>
      <c r="O326">
        <v>11</v>
      </c>
    </row>
    <row r="327" spans="1:15" x14ac:dyDescent="0.3">
      <c r="A327" t="s">
        <v>339</v>
      </c>
      <c r="B327" s="2">
        <v>45053</v>
      </c>
      <c r="C327" s="2">
        <v>45075</v>
      </c>
      <c r="D327" t="s">
        <v>646</v>
      </c>
      <c r="E327" t="s">
        <v>661</v>
      </c>
      <c r="F327" t="s">
        <v>687</v>
      </c>
      <c r="G327" t="s">
        <v>702</v>
      </c>
      <c r="H327" t="s">
        <v>710</v>
      </c>
      <c r="I327" t="s">
        <v>723</v>
      </c>
      <c r="J327" t="s">
        <v>733</v>
      </c>
      <c r="K327" t="s">
        <v>1059</v>
      </c>
      <c r="L327">
        <v>653.86</v>
      </c>
      <c r="M327">
        <v>931.84</v>
      </c>
      <c r="N327">
        <v>0.121</v>
      </c>
      <c r="O327">
        <v>12</v>
      </c>
    </row>
    <row r="328" spans="1:15" x14ac:dyDescent="0.3">
      <c r="A328" t="s">
        <v>340</v>
      </c>
      <c r="B328" s="2">
        <v>45303</v>
      </c>
      <c r="C328" s="2">
        <v>45320</v>
      </c>
      <c r="D328" t="s">
        <v>647</v>
      </c>
      <c r="E328" t="s">
        <v>654</v>
      </c>
      <c r="F328" t="s">
        <v>696</v>
      </c>
      <c r="G328" t="s">
        <v>705</v>
      </c>
      <c r="H328" t="s">
        <v>711</v>
      </c>
      <c r="I328" t="s">
        <v>717</v>
      </c>
      <c r="J328" t="s">
        <v>727</v>
      </c>
      <c r="K328" t="s">
        <v>1060</v>
      </c>
      <c r="L328">
        <v>310.02</v>
      </c>
      <c r="M328">
        <v>619.51</v>
      </c>
      <c r="N328">
        <v>4.2000000000000003E-2</v>
      </c>
      <c r="O328">
        <v>4</v>
      </c>
    </row>
    <row r="329" spans="1:15" x14ac:dyDescent="0.3">
      <c r="A329" t="s">
        <v>341</v>
      </c>
      <c r="B329" s="2">
        <v>45087</v>
      </c>
      <c r="C329" s="2">
        <v>45095</v>
      </c>
      <c r="D329" t="s">
        <v>646</v>
      </c>
      <c r="E329" t="s">
        <v>650</v>
      </c>
      <c r="F329" t="s">
        <v>678</v>
      </c>
      <c r="G329" t="s">
        <v>706</v>
      </c>
      <c r="H329" t="s">
        <v>711</v>
      </c>
      <c r="I329" t="s">
        <v>722</v>
      </c>
      <c r="J329" t="s">
        <v>730</v>
      </c>
      <c r="K329" t="s">
        <v>1061</v>
      </c>
      <c r="L329">
        <v>894.23</v>
      </c>
      <c r="M329">
        <v>1421.55</v>
      </c>
      <c r="N329">
        <v>0.109</v>
      </c>
      <c r="O329">
        <v>3</v>
      </c>
    </row>
    <row r="330" spans="1:15" x14ac:dyDescent="0.3">
      <c r="A330" t="s">
        <v>342</v>
      </c>
      <c r="B330" s="2">
        <v>45796</v>
      </c>
      <c r="C330" s="2">
        <v>45794</v>
      </c>
      <c r="D330" t="s">
        <v>648</v>
      </c>
      <c r="E330" t="s">
        <v>655</v>
      </c>
      <c r="F330" t="s">
        <v>670</v>
      </c>
      <c r="G330" t="s">
        <v>705</v>
      </c>
      <c r="H330" t="s">
        <v>710</v>
      </c>
      <c r="I330" t="s">
        <v>716</v>
      </c>
      <c r="J330" t="s">
        <v>732</v>
      </c>
      <c r="K330" t="s">
        <v>1062</v>
      </c>
      <c r="L330">
        <v>383.77</v>
      </c>
      <c r="M330">
        <v>952.56</v>
      </c>
      <c r="N330">
        <v>0.34599999999999997</v>
      </c>
      <c r="O330">
        <v>10</v>
      </c>
    </row>
    <row r="331" spans="1:15" x14ac:dyDescent="0.3">
      <c r="A331" t="s">
        <v>343</v>
      </c>
      <c r="B331" s="2">
        <v>45221</v>
      </c>
      <c r="C331" s="2">
        <v>45246</v>
      </c>
      <c r="D331" t="s">
        <v>648</v>
      </c>
      <c r="E331" t="s">
        <v>653</v>
      </c>
      <c r="F331" t="s">
        <v>667</v>
      </c>
      <c r="G331" t="s">
        <v>705</v>
      </c>
      <c r="H331" t="s">
        <v>709</v>
      </c>
      <c r="I331" t="s">
        <v>714</v>
      </c>
      <c r="J331" t="s">
        <v>731</v>
      </c>
      <c r="K331" t="s">
        <v>1063</v>
      </c>
      <c r="L331">
        <v>1373.31</v>
      </c>
      <c r="M331">
        <v>3154.14</v>
      </c>
      <c r="N331">
        <v>0.2</v>
      </c>
      <c r="O331">
        <v>11</v>
      </c>
    </row>
    <row r="332" spans="1:15" x14ac:dyDescent="0.3">
      <c r="A332" t="s">
        <v>344</v>
      </c>
      <c r="B332" s="2">
        <v>45668</v>
      </c>
      <c r="C332" s="2">
        <v>45680</v>
      </c>
      <c r="D332" t="s">
        <v>648</v>
      </c>
      <c r="E332" t="s">
        <v>660</v>
      </c>
      <c r="F332" t="s">
        <v>697</v>
      </c>
      <c r="G332" t="s">
        <v>704</v>
      </c>
      <c r="H332" t="s">
        <v>710</v>
      </c>
      <c r="I332" t="s">
        <v>722</v>
      </c>
      <c r="J332" t="s">
        <v>730</v>
      </c>
      <c r="K332" t="s">
        <v>1064</v>
      </c>
      <c r="L332">
        <v>100.69</v>
      </c>
      <c r="M332">
        <v>226.14</v>
      </c>
      <c r="N332">
        <v>6.5000000000000002E-2</v>
      </c>
      <c r="O332">
        <v>12</v>
      </c>
    </row>
    <row r="333" spans="1:15" x14ac:dyDescent="0.3">
      <c r="A333" t="s">
        <v>345</v>
      </c>
      <c r="B333" s="2">
        <v>45914</v>
      </c>
      <c r="C333" s="2">
        <v>45926</v>
      </c>
      <c r="D333" t="s">
        <v>649</v>
      </c>
      <c r="E333" t="s">
        <v>658</v>
      </c>
      <c r="F333" t="s">
        <v>683</v>
      </c>
      <c r="G333" t="s">
        <v>705</v>
      </c>
      <c r="H333" t="s">
        <v>711</v>
      </c>
      <c r="I333" t="s">
        <v>725</v>
      </c>
      <c r="J333" t="s">
        <v>729</v>
      </c>
      <c r="K333" t="s">
        <v>1065</v>
      </c>
      <c r="L333">
        <v>425.15</v>
      </c>
      <c r="M333">
        <v>885.92</v>
      </c>
      <c r="N333">
        <v>0.23899999999999999</v>
      </c>
      <c r="O333">
        <v>13</v>
      </c>
    </row>
    <row r="334" spans="1:15" x14ac:dyDescent="0.3">
      <c r="A334" t="s">
        <v>346</v>
      </c>
      <c r="B334" s="2">
        <v>45168</v>
      </c>
      <c r="C334" s="2">
        <v>45172</v>
      </c>
      <c r="D334" t="s">
        <v>647</v>
      </c>
      <c r="E334" t="s">
        <v>654</v>
      </c>
      <c r="F334" t="s">
        <v>680</v>
      </c>
      <c r="G334" t="s">
        <v>705</v>
      </c>
      <c r="H334" t="s">
        <v>709</v>
      </c>
      <c r="I334" t="s">
        <v>716</v>
      </c>
      <c r="J334" t="s">
        <v>733</v>
      </c>
      <c r="K334" t="s">
        <v>1066</v>
      </c>
      <c r="L334">
        <v>1082.25</v>
      </c>
      <c r="M334">
        <v>2433.34</v>
      </c>
      <c r="N334">
        <v>0.27</v>
      </c>
      <c r="O334">
        <v>4</v>
      </c>
    </row>
    <row r="335" spans="1:15" x14ac:dyDescent="0.3">
      <c r="A335" t="s">
        <v>347</v>
      </c>
      <c r="B335" s="2">
        <v>45245</v>
      </c>
      <c r="C335" s="2">
        <v>45266</v>
      </c>
      <c r="D335" t="s">
        <v>649</v>
      </c>
      <c r="E335" t="s">
        <v>658</v>
      </c>
      <c r="F335" t="s">
        <v>693</v>
      </c>
      <c r="G335" t="s">
        <v>702</v>
      </c>
      <c r="H335" t="s">
        <v>711</v>
      </c>
      <c r="I335" t="s">
        <v>722</v>
      </c>
      <c r="J335" t="s">
        <v>733</v>
      </c>
      <c r="K335" t="s">
        <v>1067</v>
      </c>
      <c r="L335">
        <v>1184.99</v>
      </c>
      <c r="M335">
        <v>1154.3399999999999</v>
      </c>
      <c r="N335">
        <v>2.8000000000000001E-2</v>
      </c>
      <c r="O335">
        <v>5</v>
      </c>
    </row>
    <row r="336" spans="1:15" x14ac:dyDescent="0.3">
      <c r="A336" t="s">
        <v>348</v>
      </c>
      <c r="B336" s="2">
        <v>45774</v>
      </c>
      <c r="C336" s="2">
        <v>45804</v>
      </c>
      <c r="D336" t="s">
        <v>647</v>
      </c>
      <c r="E336" t="s">
        <v>654</v>
      </c>
      <c r="G336" t="s">
        <v>706</v>
      </c>
      <c r="H336" t="s">
        <v>709</v>
      </c>
      <c r="I336" t="s">
        <v>722</v>
      </c>
      <c r="J336" t="s">
        <v>730</v>
      </c>
      <c r="K336" t="s">
        <v>1068</v>
      </c>
      <c r="L336">
        <v>481.32</v>
      </c>
      <c r="M336">
        <v>1135.99</v>
      </c>
      <c r="N336">
        <v>0.14499999999999999</v>
      </c>
      <c r="O336">
        <v>5</v>
      </c>
    </row>
    <row r="337" spans="1:15" x14ac:dyDescent="0.3">
      <c r="A337" t="s">
        <v>349</v>
      </c>
      <c r="B337" s="2">
        <v>45391</v>
      </c>
      <c r="C337" s="2">
        <v>45400</v>
      </c>
      <c r="D337" t="s">
        <v>649</v>
      </c>
      <c r="E337" t="s">
        <v>657</v>
      </c>
      <c r="F337" t="s">
        <v>679</v>
      </c>
      <c r="G337" t="s">
        <v>704</v>
      </c>
      <c r="H337" t="s">
        <v>708</v>
      </c>
      <c r="I337" t="s">
        <v>718</v>
      </c>
      <c r="J337" t="s">
        <v>728</v>
      </c>
      <c r="K337" t="s">
        <v>1069</v>
      </c>
      <c r="L337">
        <v>1288.8499999999999</v>
      </c>
      <c r="M337">
        <v>2751.84</v>
      </c>
      <c r="N337">
        <v>0.158</v>
      </c>
      <c r="O337">
        <v>7</v>
      </c>
    </row>
    <row r="338" spans="1:15" x14ac:dyDescent="0.3">
      <c r="A338" t="s">
        <v>350</v>
      </c>
      <c r="B338" s="2">
        <v>45484</v>
      </c>
      <c r="C338" s="2">
        <v>45504</v>
      </c>
      <c r="D338" t="s">
        <v>647</v>
      </c>
      <c r="E338" t="s">
        <v>659</v>
      </c>
      <c r="F338" t="s">
        <v>676</v>
      </c>
      <c r="G338" t="s">
        <v>704</v>
      </c>
      <c r="H338" t="s">
        <v>708</v>
      </c>
      <c r="I338" t="s">
        <v>715</v>
      </c>
      <c r="J338" t="s">
        <v>730</v>
      </c>
      <c r="K338" t="s">
        <v>1070</v>
      </c>
      <c r="L338">
        <v>647.26</v>
      </c>
      <c r="M338">
        <v>1374.72</v>
      </c>
      <c r="N338">
        <v>6.6000000000000003E-2</v>
      </c>
      <c r="O338">
        <v>22</v>
      </c>
    </row>
    <row r="339" spans="1:15" x14ac:dyDescent="0.3">
      <c r="A339" t="s">
        <v>351</v>
      </c>
      <c r="B339" s="2">
        <v>45340</v>
      </c>
      <c r="C339" s="2">
        <v>45354</v>
      </c>
      <c r="D339" t="s">
        <v>648</v>
      </c>
      <c r="E339" t="s">
        <v>655</v>
      </c>
      <c r="G339" t="s">
        <v>706</v>
      </c>
      <c r="H339" t="s">
        <v>710</v>
      </c>
      <c r="I339" t="s">
        <v>720</v>
      </c>
      <c r="J339" t="s">
        <v>728</v>
      </c>
      <c r="K339" t="s">
        <v>1071</v>
      </c>
      <c r="L339">
        <v>624.23</v>
      </c>
      <c r="M339">
        <v>1318.37</v>
      </c>
      <c r="N339">
        <v>0.21</v>
      </c>
      <c r="O339">
        <v>37</v>
      </c>
    </row>
    <row r="340" spans="1:15" x14ac:dyDescent="0.3">
      <c r="A340" t="s">
        <v>352</v>
      </c>
      <c r="B340" s="2">
        <v>45132</v>
      </c>
      <c r="C340" s="2">
        <v>45148</v>
      </c>
      <c r="D340" t="s">
        <v>646</v>
      </c>
      <c r="E340" t="s">
        <v>651</v>
      </c>
      <c r="F340" t="s">
        <v>663</v>
      </c>
      <c r="G340" t="s">
        <v>701</v>
      </c>
      <c r="H340" t="s">
        <v>710</v>
      </c>
      <c r="I340" t="s">
        <v>714</v>
      </c>
      <c r="J340" t="s">
        <v>733</v>
      </c>
      <c r="K340" t="s">
        <v>1072</v>
      </c>
      <c r="L340">
        <v>506.83</v>
      </c>
      <c r="M340">
        <v>441.74</v>
      </c>
      <c r="N340">
        <v>0.24</v>
      </c>
      <c r="O340">
        <v>9</v>
      </c>
    </row>
    <row r="341" spans="1:15" x14ac:dyDescent="0.3">
      <c r="A341" t="s">
        <v>353</v>
      </c>
      <c r="B341" s="2">
        <v>45121</v>
      </c>
      <c r="C341" s="2">
        <v>45128</v>
      </c>
      <c r="D341" t="s">
        <v>646</v>
      </c>
      <c r="E341" t="s">
        <v>661</v>
      </c>
      <c r="F341" t="s">
        <v>687</v>
      </c>
      <c r="G341" t="s">
        <v>706</v>
      </c>
      <c r="H341" t="s">
        <v>709</v>
      </c>
      <c r="J341" t="s">
        <v>732</v>
      </c>
      <c r="K341" t="s">
        <v>1073</v>
      </c>
      <c r="L341">
        <v>620.74</v>
      </c>
      <c r="M341">
        <v>1330.07</v>
      </c>
      <c r="N341">
        <v>0.29899999999999999</v>
      </c>
      <c r="O341">
        <v>28</v>
      </c>
    </row>
    <row r="342" spans="1:15" x14ac:dyDescent="0.3">
      <c r="A342" t="s">
        <v>354</v>
      </c>
      <c r="B342" s="2">
        <v>45131</v>
      </c>
      <c r="C342" s="2">
        <v>45157</v>
      </c>
      <c r="D342" t="s">
        <v>646</v>
      </c>
      <c r="E342" t="s">
        <v>650</v>
      </c>
      <c r="F342" t="s">
        <v>664</v>
      </c>
      <c r="G342" t="s">
        <v>706</v>
      </c>
      <c r="H342" t="s">
        <v>710</v>
      </c>
      <c r="I342" t="s">
        <v>724</v>
      </c>
      <c r="J342" t="s">
        <v>733</v>
      </c>
      <c r="K342" t="s">
        <v>1074</v>
      </c>
      <c r="L342">
        <v>661.45</v>
      </c>
      <c r="M342">
        <v>1634.86</v>
      </c>
      <c r="N342">
        <v>0.56499999999999995</v>
      </c>
      <c r="O342">
        <v>24</v>
      </c>
    </row>
    <row r="343" spans="1:15" x14ac:dyDescent="0.3">
      <c r="A343" t="s">
        <v>355</v>
      </c>
      <c r="B343" s="2">
        <v>45029</v>
      </c>
      <c r="C343" s="2">
        <v>45027</v>
      </c>
      <c r="D343" t="s">
        <v>648</v>
      </c>
      <c r="E343" t="s">
        <v>660</v>
      </c>
      <c r="F343" t="s">
        <v>686</v>
      </c>
      <c r="G343" t="s">
        <v>702</v>
      </c>
      <c r="H343" t="s">
        <v>709</v>
      </c>
      <c r="I343" t="s">
        <v>715</v>
      </c>
      <c r="J343" t="s">
        <v>729</v>
      </c>
      <c r="K343" t="s">
        <v>1075</v>
      </c>
      <c r="L343">
        <v>32.1</v>
      </c>
      <c r="M343">
        <v>70.599999999999994</v>
      </c>
      <c r="N343">
        <v>0.28199999999999997</v>
      </c>
      <c r="O343">
        <v>22</v>
      </c>
    </row>
    <row r="344" spans="1:15" x14ac:dyDescent="0.3">
      <c r="A344" t="s">
        <v>356</v>
      </c>
      <c r="B344" s="2">
        <v>45594</v>
      </c>
      <c r="C344" s="2">
        <v>45600</v>
      </c>
      <c r="D344" t="s">
        <v>646</v>
      </c>
      <c r="E344" t="s">
        <v>650</v>
      </c>
      <c r="F344" t="s">
        <v>664</v>
      </c>
      <c r="G344" t="s">
        <v>701</v>
      </c>
      <c r="H344" t="s">
        <v>710</v>
      </c>
      <c r="I344" t="s">
        <v>724</v>
      </c>
      <c r="J344" t="s">
        <v>728</v>
      </c>
      <c r="K344" t="s">
        <v>1076</v>
      </c>
      <c r="L344">
        <v>805.81</v>
      </c>
      <c r="M344">
        <v>1823.04</v>
      </c>
      <c r="N344">
        <v>0</v>
      </c>
      <c r="O344">
        <v>11</v>
      </c>
    </row>
    <row r="345" spans="1:15" x14ac:dyDescent="0.3">
      <c r="A345" t="s">
        <v>357</v>
      </c>
      <c r="B345" s="2">
        <v>45339</v>
      </c>
      <c r="C345" s="2">
        <v>45355</v>
      </c>
      <c r="D345" t="s">
        <v>647</v>
      </c>
      <c r="E345" t="s">
        <v>654</v>
      </c>
      <c r="F345" t="s">
        <v>680</v>
      </c>
      <c r="G345" t="s">
        <v>705</v>
      </c>
      <c r="H345" t="s">
        <v>709</v>
      </c>
      <c r="I345" t="s">
        <v>721</v>
      </c>
      <c r="J345" t="s">
        <v>730</v>
      </c>
      <c r="K345" t="s">
        <v>1077</v>
      </c>
      <c r="L345">
        <v>1231.8</v>
      </c>
      <c r="M345">
        <v>2015.99</v>
      </c>
      <c r="N345">
        <v>0.26100000000000001</v>
      </c>
      <c r="O345">
        <v>6</v>
      </c>
    </row>
    <row r="346" spans="1:15" x14ac:dyDescent="0.3">
      <c r="A346" t="s">
        <v>358</v>
      </c>
      <c r="B346" s="2">
        <v>45486</v>
      </c>
      <c r="C346" s="2">
        <v>45485</v>
      </c>
      <c r="D346" t="s">
        <v>647</v>
      </c>
      <c r="E346" t="s">
        <v>652</v>
      </c>
      <c r="F346" t="s">
        <v>694</v>
      </c>
      <c r="G346" t="s">
        <v>705</v>
      </c>
      <c r="H346" t="s">
        <v>709</v>
      </c>
      <c r="I346" t="s">
        <v>721</v>
      </c>
      <c r="J346" t="s">
        <v>729</v>
      </c>
      <c r="K346" t="s">
        <v>1078</v>
      </c>
      <c r="L346">
        <v>105.13</v>
      </c>
      <c r="M346">
        <v>244.13</v>
      </c>
      <c r="N346">
        <v>7.0999999999999994E-2</v>
      </c>
      <c r="O346">
        <v>14</v>
      </c>
    </row>
    <row r="347" spans="1:15" x14ac:dyDescent="0.3">
      <c r="A347" t="s">
        <v>359</v>
      </c>
      <c r="B347" s="2">
        <v>45261</v>
      </c>
      <c r="C347" s="2">
        <v>45278</v>
      </c>
      <c r="D347" t="s">
        <v>647</v>
      </c>
      <c r="E347" t="s">
        <v>652</v>
      </c>
      <c r="F347" t="s">
        <v>694</v>
      </c>
      <c r="G347" t="s">
        <v>705</v>
      </c>
      <c r="H347" t="s">
        <v>711</v>
      </c>
      <c r="I347" t="s">
        <v>725</v>
      </c>
      <c r="J347" t="s">
        <v>731</v>
      </c>
      <c r="K347" t="s">
        <v>1079</v>
      </c>
      <c r="L347">
        <v>1495.79</v>
      </c>
      <c r="M347">
        <v>2783.12</v>
      </c>
      <c r="N347">
        <v>0.02</v>
      </c>
      <c r="O347">
        <v>5</v>
      </c>
    </row>
    <row r="348" spans="1:15" x14ac:dyDescent="0.3">
      <c r="A348" t="s">
        <v>360</v>
      </c>
      <c r="B348" s="2">
        <v>45498</v>
      </c>
      <c r="C348" s="2">
        <v>45506</v>
      </c>
      <c r="D348" t="s">
        <v>648</v>
      </c>
      <c r="E348" t="s">
        <v>653</v>
      </c>
      <c r="F348" t="s">
        <v>681</v>
      </c>
      <c r="G348" t="s">
        <v>704</v>
      </c>
      <c r="H348" t="s">
        <v>711</v>
      </c>
      <c r="I348" t="s">
        <v>713</v>
      </c>
      <c r="J348" t="s">
        <v>733</v>
      </c>
      <c r="K348" t="s">
        <v>1080</v>
      </c>
      <c r="L348">
        <v>986.81</v>
      </c>
      <c r="M348">
        <v>2050.31</v>
      </c>
      <c r="N348">
        <v>0.10299999999999999</v>
      </c>
      <c r="O348">
        <v>43</v>
      </c>
    </row>
    <row r="349" spans="1:15" x14ac:dyDescent="0.3">
      <c r="A349" t="s">
        <v>361</v>
      </c>
      <c r="B349" s="2">
        <v>45050</v>
      </c>
      <c r="C349" s="2">
        <v>45062</v>
      </c>
      <c r="D349" t="s">
        <v>646</v>
      </c>
      <c r="E349" t="s">
        <v>651</v>
      </c>
      <c r="F349" t="s">
        <v>669</v>
      </c>
      <c r="G349" t="s">
        <v>705</v>
      </c>
      <c r="H349" t="s">
        <v>709</v>
      </c>
      <c r="I349" t="s">
        <v>713</v>
      </c>
      <c r="J349" t="s">
        <v>730</v>
      </c>
      <c r="K349" t="s">
        <v>1081</v>
      </c>
      <c r="L349">
        <v>77.739999999999995</v>
      </c>
      <c r="M349">
        <v>147.12</v>
      </c>
      <c r="N349">
        <v>0</v>
      </c>
      <c r="O349">
        <v>15</v>
      </c>
    </row>
    <row r="350" spans="1:15" x14ac:dyDescent="0.3">
      <c r="A350" t="s">
        <v>362</v>
      </c>
      <c r="B350" s="2">
        <v>45281</v>
      </c>
      <c r="C350" s="2">
        <v>45297</v>
      </c>
      <c r="D350" t="s">
        <v>646</v>
      </c>
      <c r="E350" t="s">
        <v>651</v>
      </c>
      <c r="G350" t="s">
        <v>701</v>
      </c>
      <c r="H350" t="s">
        <v>709</v>
      </c>
      <c r="I350" t="s">
        <v>723</v>
      </c>
      <c r="J350" t="s">
        <v>727</v>
      </c>
      <c r="K350" t="s">
        <v>1082</v>
      </c>
      <c r="L350">
        <v>932.61</v>
      </c>
      <c r="M350">
        <v>1982.98</v>
      </c>
      <c r="N350">
        <v>0.14399999999999999</v>
      </c>
      <c r="O350">
        <v>16</v>
      </c>
    </row>
    <row r="351" spans="1:15" x14ac:dyDescent="0.3">
      <c r="A351" t="s">
        <v>363</v>
      </c>
      <c r="B351" s="2">
        <v>45825</v>
      </c>
      <c r="C351" s="2">
        <v>45843</v>
      </c>
      <c r="D351" t="s">
        <v>647</v>
      </c>
      <c r="E351" t="s">
        <v>654</v>
      </c>
      <c r="F351" t="s">
        <v>680</v>
      </c>
      <c r="G351" t="s">
        <v>704</v>
      </c>
      <c r="H351" t="s">
        <v>709</v>
      </c>
      <c r="I351" t="s">
        <v>716</v>
      </c>
      <c r="J351" t="s">
        <v>731</v>
      </c>
      <c r="K351" t="s">
        <v>1083</v>
      </c>
      <c r="L351">
        <v>982.93</v>
      </c>
      <c r="M351">
        <v>2299.3000000000002</v>
      </c>
      <c r="N351">
        <v>0.113</v>
      </c>
      <c r="O351">
        <v>6</v>
      </c>
    </row>
    <row r="352" spans="1:15" x14ac:dyDescent="0.3">
      <c r="A352" t="s">
        <v>364</v>
      </c>
      <c r="B352" s="2">
        <v>44980</v>
      </c>
      <c r="C352" s="2">
        <v>44993</v>
      </c>
      <c r="D352" t="s">
        <v>649</v>
      </c>
      <c r="E352" t="s">
        <v>658</v>
      </c>
      <c r="F352" t="s">
        <v>693</v>
      </c>
      <c r="G352" t="s">
        <v>705</v>
      </c>
      <c r="H352" t="s">
        <v>711</v>
      </c>
      <c r="I352" t="s">
        <v>712</v>
      </c>
      <c r="J352" t="s">
        <v>728</v>
      </c>
      <c r="K352" t="s">
        <v>1084</v>
      </c>
      <c r="L352">
        <v>307.37</v>
      </c>
      <c r="M352">
        <v>462.61</v>
      </c>
      <c r="N352">
        <v>0.188</v>
      </c>
      <c r="O352">
        <v>11</v>
      </c>
    </row>
    <row r="353" spans="1:15" x14ac:dyDescent="0.3">
      <c r="A353" t="s">
        <v>365</v>
      </c>
      <c r="B353" s="2">
        <v>45262</v>
      </c>
      <c r="C353" s="2">
        <v>45276</v>
      </c>
      <c r="D353" t="s">
        <v>649</v>
      </c>
      <c r="E353" t="s">
        <v>656</v>
      </c>
      <c r="F353" t="s">
        <v>698</v>
      </c>
      <c r="G353" t="s">
        <v>702</v>
      </c>
      <c r="H353" t="s">
        <v>711</v>
      </c>
      <c r="I353" t="s">
        <v>725</v>
      </c>
      <c r="J353" t="s">
        <v>732</v>
      </c>
      <c r="K353" t="s">
        <v>1085</v>
      </c>
      <c r="L353">
        <v>879.08</v>
      </c>
      <c r="M353">
        <v>1093.3900000000001</v>
      </c>
      <c r="N353">
        <v>0.113</v>
      </c>
      <c r="O353">
        <v>17</v>
      </c>
    </row>
    <row r="354" spans="1:15" x14ac:dyDescent="0.3">
      <c r="A354" t="s">
        <v>366</v>
      </c>
      <c r="B354" s="2">
        <v>45121</v>
      </c>
      <c r="C354" s="2">
        <v>45121</v>
      </c>
      <c r="D354" t="s">
        <v>646</v>
      </c>
      <c r="E354" t="s">
        <v>651</v>
      </c>
      <c r="F354" t="s">
        <v>665</v>
      </c>
      <c r="G354" t="s">
        <v>702</v>
      </c>
      <c r="H354" t="s">
        <v>707</v>
      </c>
      <c r="I354" t="s">
        <v>714</v>
      </c>
      <c r="J354" t="s">
        <v>733</v>
      </c>
      <c r="K354" t="s">
        <v>1086</v>
      </c>
      <c r="L354">
        <v>956.38</v>
      </c>
      <c r="M354">
        <v>1454.22</v>
      </c>
      <c r="N354">
        <v>3.9E-2</v>
      </c>
      <c r="O354">
        <v>19</v>
      </c>
    </row>
    <row r="355" spans="1:15" x14ac:dyDescent="0.3">
      <c r="A355" t="s">
        <v>367</v>
      </c>
      <c r="B355" s="2">
        <v>45512</v>
      </c>
      <c r="C355" s="2">
        <v>45524</v>
      </c>
      <c r="D355" t="s">
        <v>647</v>
      </c>
      <c r="E355" t="s">
        <v>652</v>
      </c>
      <c r="F355" t="s">
        <v>666</v>
      </c>
      <c r="G355" t="s">
        <v>705</v>
      </c>
      <c r="H355" t="s">
        <v>707</v>
      </c>
      <c r="I355" t="s">
        <v>722</v>
      </c>
      <c r="J355" t="s">
        <v>729</v>
      </c>
      <c r="K355" t="s">
        <v>1087</v>
      </c>
      <c r="L355">
        <v>1233.3599999999999</v>
      </c>
      <c r="M355">
        <v>2120.4</v>
      </c>
      <c r="N355">
        <v>0.17899999999999999</v>
      </c>
      <c r="O355">
        <v>20</v>
      </c>
    </row>
    <row r="356" spans="1:15" x14ac:dyDescent="0.3">
      <c r="A356" t="s">
        <v>368</v>
      </c>
      <c r="B356" s="2">
        <v>45603</v>
      </c>
      <c r="C356" s="2">
        <v>45622</v>
      </c>
      <c r="D356" t="s">
        <v>648</v>
      </c>
      <c r="E356" t="s">
        <v>655</v>
      </c>
      <c r="F356" t="s">
        <v>692</v>
      </c>
      <c r="G356" t="s">
        <v>703</v>
      </c>
      <c r="H356" t="s">
        <v>710</v>
      </c>
      <c r="I356" t="s">
        <v>713</v>
      </c>
      <c r="J356" t="s">
        <v>728</v>
      </c>
      <c r="K356" t="s">
        <v>1088</v>
      </c>
      <c r="L356">
        <v>55.35</v>
      </c>
      <c r="M356">
        <v>128.68</v>
      </c>
      <c r="N356">
        <v>0.128</v>
      </c>
      <c r="O356">
        <v>10</v>
      </c>
    </row>
    <row r="357" spans="1:15" x14ac:dyDescent="0.3">
      <c r="A357" t="s">
        <v>369</v>
      </c>
      <c r="B357" s="2">
        <v>45292</v>
      </c>
      <c r="C357" s="2">
        <v>45318</v>
      </c>
      <c r="D357" t="s">
        <v>649</v>
      </c>
      <c r="E357" t="s">
        <v>658</v>
      </c>
      <c r="F357" t="s">
        <v>693</v>
      </c>
      <c r="G357" t="s">
        <v>702</v>
      </c>
      <c r="H357" t="s">
        <v>710</v>
      </c>
      <c r="I357" t="s">
        <v>726</v>
      </c>
      <c r="J357" t="s">
        <v>733</v>
      </c>
      <c r="K357" t="s">
        <v>1089</v>
      </c>
      <c r="L357">
        <v>657.45</v>
      </c>
      <c r="M357">
        <v>1325.96</v>
      </c>
      <c r="N357">
        <v>0.16700000000000001</v>
      </c>
      <c r="O357">
        <v>21</v>
      </c>
    </row>
    <row r="358" spans="1:15" x14ac:dyDescent="0.3">
      <c r="A358" t="s">
        <v>370</v>
      </c>
      <c r="B358" s="2">
        <v>45883</v>
      </c>
      <c r="C358" s="2">
        <v>45911</v>
      </c>
      <c r="D358" t="s">
        <v>648</v>
      </c>
      <c r="E358" t="s">
        <v>655</v>
      </c>
      <c r="F358" t="s">
        <v>670</v>
      </c>
      <c r="G358" t="s">
        <v>703</v>
      </c>
      <c r="H358" t="s">
        <v>711</v>
      </c>
      <c r="I358" t="s">
        <v>721</v>
      </c>
      <c r="J358" t="s">
        <v>728</v>
      </c>
      <c r="K358" t="s">
        <v>1090</v>
      </c>
      <c r="L358">
        <v>1203.02</v>
      </c>
      <c r="M358">
        <v>2439.33</v>
      </c>
      <c r="N358">
        <v>0</v>
      </c>
      <c r="O358">
        <v>18</v>
      </c>
    </row>
    <row r="359" spans="1:15" x14ac:dyDescent="0.3">
      <c r="A359" t="s">
        <v>371</v>
      </c>
      <c r="B359" s="2">
        <v>45385</v>
      </c>
      <c r="C359" s="2">
        <v>45403</v>
      </c>
      <c r="D359" t="s">
        <v>648</v>
      </c>
      <c r="E359" t="s">
        <v>655</v>
      </c>
      <c r="F359" t="s">
        <v>672</v>
      </c>
      <c r="G359" t="s">
        <v>705</v>
      </c>
      <c r="H359" t="s">
        <v>710</v>
      </c>
      <c r="I359" t="s">
        <v>717</v>
      </c>
      <c r="J359" t="s">
        <v>729</v>
      </c>
      <c r="K359" t="s">
        <v>1091</v>
      </c>
      <c r="L359">
        <v>1176.69</v>
      </c>
      <c r="M359">
        <v>2201.54</v>
      </c>
      <c r="N359">
        <v>0.17</v>
      </c>
      <c r="O359">
        <v>27</v>
      </c>
    </row>
    <row r="360" spans="1:15" x14ac:dyDescent="0.3">
      <c r="A360" t="s">
        <v>372</v>
      </c>
      <c r="B360" s="2">
        <v>45621</v>
      </c>
      <c r="C360" s="2">
        <v>45633</v>
      </c>
      <c r="D360" t="s">
        <v>647</v>
      </c>
      <c r="E360" t="s">
        <v>659</v>
      </c>
      <c r="F360" t="s">
        <v>685</v>
      </c>
      <c r="G360" t="s">
        <v>701</v>
      </c>
      <c r="H360" t="s">
        <v>710</v>
      </c>
      <c r="I360" t="s">
        <v>720</v>
      </c>
      <c r="J360" t="s">
        <v>733</v>
      </c>
      <c r="K360" t="s">
        <v>1092</v>
      </c>
      <c r="L360">
        <v>769.9</v>
      </c>
      <c r="M360">
        <v>814.36</v>
      </c>
      <c r="N360">
        <v>0</v>
      </c>
      <c r="O360">
        <v>5</v>
      </c>
    </row>
    <row r="361" spans="1:15" x14ac:dyDescent="0.3">
      <c r="A361" t="s">
        <v>373</v>
      </c>
      <c r="B361" s="2">
        <v>45309</v>
      </c>
      <c r="C361" s="2">
        <v>45325</v>
      </c>
      <c r="D361" t="s">
        <v>646</v>
      </c>
      <c r="E361" t="s">
        <v>661</v>
      </c>
      <c r="F361" t="s">
        <v>695</v>
      </c>
      <c r="G361" t="s">
        <v>703</v>
      </c>
      <c r="H361" t="s">
        <v>710</v>
      </c>
      <c r="I361" t="s">
        <v>716</v>
      </c>
      <c r="J361" t="s">
        <v>728</v>
      </c>
      <c r="K361" t="s">
        <v>1093</v>
      </c>
      <c r="L361">
        <v>666.23</v>
      </c>
      <c r="M361">
        <v>1382.91</v>
      </c>
      <c r="N361">
        <v>0.17599999999999999</v>
      </c>
      <c r="O361">
        <v>13</v>
      </c>
    </row>
    <row r="362" spans="1:15" x14ac:dyDescent="0.3">
      <c r="A362" t="s">
        <v>374</v>
      </c>
      <c r="B362" s="2">
        <v>45466</v>
      </c>
      <c r="C362" s="2">
        <v>45468</v>
      </c>
      <c r="D362" t="s">
        <v>649</v>
      </c>
      <c r="E362" t="s">
        <v>658</v>
      </c>
      <c r="F362" t="s">
        <v>674</v>
      </c>
      <c r="G362" t="s">
        <v>705</v>
      </c>
      <c r="H362" t="s">
        <v>709</v>
      </c>
      <c r="I362" t="s">
        <v>716</v>
      </c>
      <c r="J362" t="s">
        <v>733</v>
      </c>
      <c r="K362" t="s">
        <v>1094</v>
      </c>
      <c r="L362">
        <v>951.44</v>
      </c>
      <c r="M362">
        <v>1646.43</v>
      </c>
      <c r="N362">
        <v>0.11</v>
      </c>
      <c r="O362">
        <v>24</v>
      </c>
    </row>
    <row r="363" spans="1:15" x14ac:dyDescent="0.3">
      <c r="A363" t="s">
        <v>375</v>
      </c>
      <c r="B363" s="2">
        <v>45833</v>
      </c>
      <c r="C363" s="2">
        <v>45848</v>
      </c>
      <c r="D363" t="s">
        <v>649</v>
      </c>
      <c r="E363" t="s">
        <v>658</v>
      </c>
      <c r="F363" t="s">
        <v>674</v>
      </c>
      <c r="G363" t="s">
        <v>703</v>
      </c>
      <c r="H363" t="s">
        <v>709</v>
      </c>
      <c r="I363" t="s">
        <v>726</v>
      </c>
      <c r="J363" t="s">
        <v>730</v>
      </c>
      <c r="K363" t="s">
        <v>1095</v>
      </c>
      <c r="L363">
        <v>546.83000000000004</v>
      </c>
      <c r="M363">
        <v>400.84</v>
      </c>
      <c r="N363">
        <v>7.8E-2</v>
      </c>
      <c r="O363">
        <v>13</v>
      </c>
    </row>
    <row r="364" spans="1:15" x14ac:dyDescent="0.3">
      <c r="A364" t="s">
        <v>376</v>
      </c>
      <c r="B364" s="2">
        <v>45108</v>
      </c>
      <c r="C364" s="2">
        <v>45115</v>
      </c>
      <c r="D364" t="s">
        <v>646</v>
      </c>
      <c r="E364" t="s">
        <v>651</v>
      </c>
      <c r="F364" t="s">
        <v>663</v>
      </c>
      <c r="G364" t="s">
        <v>701</v>
      </c>
      <c r="H364" t="s">
        <v>707</v>
      </c>
      <c r="I364" t="s">
        <v>720</v>
      </c>
      <c r="J364" t="s">
        <v>731</v>
      </c>
      <c r="K364" t="s">
        <v>1096</v>
      </c>
      <c r="L364">
        <v>834.26</v>
      </c>
      <c r="M364">
        <v>1780.56</v>
      </c>
      <c r="N364">
        <v>1.4E-2</v>
      </c>
      <c r="O364">
        <v>47</v>
      </c>
    </row>
    <row r="365" spans="1:15" x14ac:dyDescent="0.3">
      <c r="A365" t="s">
        <v>377</v>
      </c>
      <c r="B365" s="2">
        <v>45360</v>
      </c>
      <c r="C365" s="2">
        <v>45377</v>
      </c>
      <c r="D365" t="s">
        <v>647</v>
      </c>
      <c r="E365" t="s">
        <v>659</v>
      </c>
      <c r="F365" t="s">
        <v>676</v>
      </c>
      <c r="G365" t="s">
        <v>706</v>
      </c>
      <c r="H365" t="s">
        <v>708</v>
      </c>
      <c r="I365" t="s">
        <v>723</v>
      </c>
      <c r="J365" t="s">
        <v>732</v>
      </c>
      <c r="K365" t="s">
        <v>1097</v>
      </c>
      <c r="L365">
        <v>1029.67</v>
      </c>
      <c r="M365">
        <v>1118.43</v>
      </c>
      <c r="N365">
        <v>0.27200000000000002</v>
      </c>
      <c r="O365">
        <v>9</v>
      </c>
    </row>
    <row r="366" spans="1:15" x14ac:dyDescent="0.3">
      <c r="A366" t="s">
        <v>378</v>
      </c>
      <c r="B366" s="2">
        <v>45082</v>
      </c>
      <c r="C366" s="2">
        <v>45105</v>
      </c>
      <c r="D366" t="s">
        <v>649</v>
      </c>
      <c r="E366" t="s">
        <v>658</v>
      </c>
      <c r="F366" t="s">
        <v>674</v>
      </c>
      <c r="G366" t="s">
        <v>701</v>
      </c>
      <c r="H366" t="s">
        <v>711</v>
      </c>
      <c r="I366" t="s">
        <v>723</v>
      </c>
      <c r="J366" t="s">
        <v>728</v>
      </c>
      <c r="K366" t="s">
        <v>1098</v>
      </c>
      <c r="L366">
        <v>605.82000000000005</v>
      </c>
      <c r="M366">
        <v>771.12</v>
      </c>
      <c r="N366">
        <v>0.13200000000000001</v>
      </c>
      <c r="O366">
        <v>19</v>
      </c>
    </row>
    <row r="367" spans="1:15" x14ac:dyDescent="0.3">
      <c r="A367" t="s">
        <v>379</v>
      </c>
      <c r="B367" s="2">
        <v>45737</v>
      </c>
      <c r="C367" s="2">
        <v>45756</v>
      </c>
      <c r="D367" t="s">
        <v>647</v>
      </c>
      <c r="E367" t="s">
        <v>652</v>
      </c>
      <c r="F367" t="s">
        <v>689</v>
      </c>
      <c r="G367" t="s">
        <v>705</v>
      </c>
      <c r="H367" t="s">
        <v>710</v>
      </c>
      <c r="I367" t="s">
        <v>718</v>
      </c>
      <c r="J367" t="s">
        <v>727</v>
      </c>
      <c r="K367" t="s">
        <v>1099</v>
      </c>
      <c r="L367">
        <v>1055.45</v>
      </c>
      <c r="M367">
        <v>1210.04</v>
      </c>
      <c r="N367">
        <v>8.9999999999999993E-3</v>
      </c>
      <c r="O367">
        <v>18</v>
      </c>
    </row>
    <row r="368" spans="1:15" x14ac:dyDescent="0.3">
      <c r="A368" t="s">
        <v>380</v>
      </c>
      <c r="B368" s="2">
        <v>45445</v>
      </c>
      <c r="C368" s="2">
        <v>45458</v>
      </c>
      <c r="D368" t="s">
        <v>646</v>
      </c>
      <c r="E368" t="s">
        <v>650</v>
      </c>
      <c r="F368" t="s">
        <v>675</v>
      </c>
      <c r="G368" t="s">
        <v>702</v>
      </c>
      <c r="H368" t="s">
        <v>708</v>
      </c>
      <c r="I368" t="s">
        <v>719</v>
      </c>
      <c r="J368" t="s">
        <v>730</v>
      </c>
      <c r="K368" t="s">
        <v>1100</v>
      </c>
      <c r="L368">
        <v>1295.18</v>
      </c>
      <c r="M368">
        <v>3024.03</v>
      </c>
      <c r="N368">
        <v>0.192</v>
      </c>
      <c r="O368">
        <v>8</v>
      </c>
    </row>
    <row r="369" spans="1:15" x14ac:dyDescent="0.3">
      <c r="A369" t="s">
        <v>381</v>
      </c>
      <c r="B369" s="2">
        <v>45731</v>
      </c>
      <c r="C369" s="2">
        <v>45745</v>
      </c>
      <c r="D369" t="s">
        <v>647</v>
      </c>
      <c r="E369" t="s">
        <v>654</v>
      </c>
      <c r="F369" t="s">
        <v>691</v>
      </c>
      <c r="G369" t="s">
        <v>706</v>
      </c>
      <c r="H369" t="s">
        <v>711</v>
      </c>
      <c r="I369" t="s">
        <v>712</v>
      </c>
      <c r="J369" t="s">
        <v>727</v>
      </c>
      <c r="K369" t="s">
        <v>1101</v>
      </c>
      <c r="L369">
        <v>935.83</v>
      </c>
      <c r="M369">
        <v>2303.46</v>
      </c>
      <c r="N369">
        <v>0.105</v>
      </c>
      <c r="O369">
        <v>9</v>
      </c>
    </row>
    <row r="370" spans="1:15" x14ac:dyDescent="0.3">
      <c r="A370" t="s">
        <v>382</v>
      </c>
      <c r="B370" s="2">
        <v>45194</v>
      </c>
      <c r="C370" s="2">
        <v>45208</v>
      </c>
      <c r="D370" t="s">
        <v>648</v>
      </c>
      <c r="E370" t="s">
        <v>660</v>
      </c>
      <c r="F370" t="s">
        <v>700</v>
      </c>
      <c r="G370" t="s">
        <v>705</v>
      </c>
      <c r="H370" t="s">
        <v>709</v>
      </c>
      <c r="I370" t="s">
        <v>713</v>
      </c>
      <c r="J370" t="s">
        <v>731</v>
      </c>
      <c r="K370" t="s">
        <v>1102</v>
      </c>
      <c r="L370">
        <v>1279.56</v>
      </c>
      <c r="M370">
        <v>3083.8</v>
      </c>
      <c r="N370">
        <v>0.106</v>
      </c>
      <c r="O370">
        <v>5</v>
      </c>
    </row>
    <row r="371" spans="1:15" x14ac:dyDescent="0.3">
      <c r="A371" t="s">
        <v>383</v>
      </c>
      <c r="B371" s="2">
        <v>45832</v>
      </c>
      <c r="C371" s="2">
        <v>45861</v>
      </c>
      <c r="D371" t="s">
        <v>648</v>
      </c>
      <c r="E371" t="s">
        <v>653</v>
      </c>
      <c r="F371" t="s">
        <v>688</v>
      </c>
      <c r="G371" t="s">
        <v>703</v>
      </c>
      <c r="H371" t="s">
        <v>709</v>
      </c>
      <c r="I371" t="s">
        <v>714</v>
      </c>
      <c r="J371" t="s">
        <v>728</v>
      </c>
      <c r="K371" t="s">
        <v>1103</v>
      </c>
      <c r="L371">
        <v>255.4</v>
      </c>
      <c r="M371">
        <v>322.70999999999998</v>
      </c>
      <c r="N371">
        <v>0.115</v>
      </c>
      <c r="O371">
        <v>16</v>
      </c>
    </row>
    <row r="372" spans="1:15" x14ac:dyDescent="0.3">
      <c r="A372" t="s">
        <v>384</v>
      </c>
      <c r="B372" s="2">
        <v>45286</v>
      </c>
      <c r="C372" s="2">
        <v>45294</v>
      </c>
      <c r="D372" t="s">
        <v>649</v>
      </c>
      <c r="E372" t="s">
        <v>657</v>
      </c>
      <c r="F372" t="s">
        <v>679</v>
      </c>
      <c r="G372" t="s">
        <v>705</v>
      </c>
      <c r="H372" t="s">
        <v>707</v>
      </c>
      <c r="I372" t="s">
        <v>724</v>
      </c>
      <c r="J372" t="s">
        <v>731</v>
      </c>
      <c r="K372" t="s">
        <v>1104</v>
      </c>
      <c r="L372">
        <v>492.75</v>
      </c>
      <c r="M372">
        <v>731.29</v>
      </c>
      <c r="N372">
        <v>5.8000000000000003E-2</v>
      </c>
      <c r="O372">
        <v>6</v>
      </c>
    </row>
    <row r="373" spans="1:15" x14ac:dyDescent="0.3">
      <c r="A373" t="s">
        <v>385</v>
      </c>
      <c r="B373" s="2">
        <v>44962</v>
      </c>
      <c r="C373" s="2">
        <v>44985</v>
      </c>
      <c r="D373" t="s">
        <v>648</v>
      </c>
      <c r="E373" t="s">
        <v>660</v>
      </c>
      <c r="F373" t="s">
        <v>697</v>
      </c>
      <c r="G373" t="s">
        <v>703</v>
      </c>
      <c r="H373" t="s">
        <v>710</v>
      </c>
      <c r="I373" t="s">
        <v>716</v>
      </c>
      <c r="J373" t="s">
        <v>730</v>
      </c>
      <c r="K373" t="s">
        <v>1105</v>
      </c>
      <c r="L373">
        <v>1214.49</v>
      </c>
      <c r="M373">
        <v>1533.95</v>
      </c>
      <c r="N373">
        <v>0</v>
      </c>
      <c r="O373">
        <v>11</v>
      </c>
    </row>
    <row r="374" spans="1:15" x14ac:dyDescent="0.3">
      <c r="A374" t="s">
        <v>386</v>
      </c>
      <c r="B374" s="2">
        <v>45022</v>
      </c>
      <c r="C374" s="2">
        <v>45024</v>
      </c>
      <c r="D374" t="s">
        <v>646</v>
      </c>
      <c r="E374" t="s">
        <v>651</v>
      </c>
      <c r="F374" t="s">
        <v>669</v>
      </c>
      <c r="G374" t="s">
        <v>705</v>
      </c>
      <c r="H374" t="s">
        <v>709</v>
      </c>
      <c r="I374" t="s">
        <v>723</v>
      </c>
      <c r="J374" t="s">
        <v>732</v>
      </c>
      <c r="K374" t="s">
        <v>1106</v>
      </c>
      <c r="L374">
        <v>720.35</v>
      </c>
      <c r="M374">
        <v>1571.66</v>
      </c>
      <c r="N374">
        <v>0.107</v>
      </c>
      <c r="O374">
        <v>23</v>
      </c>
    </row>
    <row r="375" spans="1:15" x14ac:dyDescent="0.3">
      <c r="A375" t="s">
        <v>387</v>
      </c>
      <c r="B375" s="2">
        <v>45751</v>
      </c>
      <c r="C375" s="2">
        <v>45757</v>
      </c>
      <c r="D375" t="s">
        <v>649</v>
      </c>
      <c r="E375" t="s">
        <v>658</v>
      </c>
      <c r="F375" t="s">
        <v>674</v>
      </c>
      <c r="G375" t="s">
        <v>703</v>
      </c>
      <c r="H375" t="s">
        <v>711</v>
      </c>
      <c r="I375" t="s">
        <v>725</v>
      </c>
      <c r="J375" t="s">
        <v>728</v>
      </c>
      <c r="K375" t="s">
        <v>1107</v>
      </c>
      <c r="L375">
        <v>290.14</v>
      </c>
      <c r="M375">
        <v>250.73</v>
      </c>
      <c r="N375">
        <v>3.4000000000000002E-2</v>
      </c>
      <c r="O375">
        <v>17</v>
      </c>
    </row>
    <row r="376" spans="1:15" x14ac:dyDescent="0.3">
      <c r="A376" t="s">
        <v>388</v>
      </c>
      <c r="B376" s="2">
        <v>45429</v>
      </c>
      <c r="C376" s="2">
        <v>45439</v>
      </c>
      <c r="D376" t="s">
        <v>648</v>
      </c>
      <c r="E376" t="s">
        <v>660</v>
      </c>
      <c r="F376" t="s">
        <v>697</v>
      </c>
      <c r="G376" t="s">
        <v>703</v>
      </c>
      <c r="H376" t="s">
        <v>708</v>
      </c>
      <c r="I376" t="s">
        <v>712</v>
      </c>
      <c r="J376" t="s">
        <v>730</v>
      </c>
      <c r="K376" t="s">
        <v>1108</v>
      </c>
      <c r="L376">
        <v>1484.23</v>
      </c>
      <c r="M376">
        <v>3472.81</v>
      </c>
      <c r="N376">
        <v>0.25600000000000001</v>
      </c>
      <c r="O376">
        <v>12</v>
      </c>
    </row>
    <row r="377" spans="1:15" x14ac:dyDescent="0.3">
      <c r="A377" t="s">
        <v>389</v>
      </c>
      <c r="B377" s="2">
        <v>45354</v>
      </c>
      <c r="C377" s="2">
        <v>45370</v>
      </c>
      <c r="D377" t="s">
        <v>647</v>
      </c>
      <c r="E377" t="s">
        <v>659</v>
      </c>
      <c r="F377" t="s">
        <v>699</v>
      </c>
      <c r="G377" t="s">
        <v>704</v>
      </c>
      <c r="H377" t="s">
        <v>710</v>
      </c>
      <c r="I377" t="s">
        <v>715</v>
      </c>
      <c r="J377" t="s">
        <v>730</v>
      </c>
      <c r="K377" t="s">
        <v>1109</v>
      </c>
      <c r="L377">
        <v>988.83</v>
      </c>
      <c r="M377">
        <v>1206.04</v>
      </c>
      <c r="N377">
        <v>6.3E-2</v>
      </c>
      <c r="O377">
        <v>34</v>
      </c>
    </row>
    <row r="378" spans="1:15" x14ac:dyDescent="0.3">
      <c r="A378" t="s">
        <v>390</v>
      </c>
      <c r="B378" s="2">
        <v>45835</v>
      </c>
      <c r="C378" s="2">
        <v>45849</v>
      </c>
      <c r="D378" t="s">
        <v>647</v>
      </c>
      <c r="E378" t="s">
        <v>659</v>
      </c>
      <c r="F378" t="s">
        <v>685</v>
      </c>
      <c r="G378" t="s">
        <v>705</v>
      </c>
      <c r="H378" t="s">
        <v>709</v>
      </c>
      <c r="I378" t="s">
        <v>716</v>
      </c>
      <c r="J378" t="s">
        <v>729</v>
      </c>
      <c r="K378" t="s">
        <v>1110</v>
      </c>
      <c r="L378">
        <v>1227.7</v>
      </c>
      <c r="M378">
        <v>2197.23</v>
      </c>
      <c r="N378">
        <v>9.9000000000000005E-2</v>
      </c>
      <c r="O378">
        <v>22</v>
      </c>
    </row>
    <row r="379" spans="1:15" x14ac:dyDescent="0.3">
      <c r="A379" t="s">
        <v>391</v>
      </c>
      <c r="B379" s="2">
        <v>44998</v>
      </c>
      <c r="C379" s="2">
        <v>45020</v>
      </c>
      <c r="D379" t="s">
        <v>646</v>
      </c>
      <c r="E379" t="s">
        <v>661</v>
      </c>
      <c r="F379" t="s">
        <v>687</v>
      </c>
      <c r="G379" t="s">
        <v>705</v>
      </c>
      <c r="H379" t="s">
        <v>707</v>
      </c>
      <c r="I379" t="s">
        <v>720</v>
      </c>
      <c r="J379" t="s">
        <v>727</v>
      </c>
      <c r="K379" t="s">
        <v>1111</v>
      </c>
      <c r="L379">
        <v>1113.7</v>
      </c>
      <c r="M379">
        <v>1620.6</v>
      </c>
      <c r="N379">
        <v>0.13900000000000001</v>
      </c>
      <c r="O379">
        <v>11</v>
      </c>
    </row>
    <row r="380" spans="1:15" x14ac:dyDescent="0.3">
      <c r="A380" t="s">
        <v>392</v>
      </c>
      <c r="B380" s="2">
        <v>45664</v>
      </c>
      <c r="C380" s="2">
        <v>45677</v>
      </c>
      <c r="D380" t="s">
        <v>646</v>
      </c>
      <c r="E380" t="s">
        <v>661</v>
      </c>
      <c r="F380" t="s">
        <v>695</v>
      </c>
      <c r="G380" t="s">
        <v>701</v>
      </c>
      <c r="H380" t="s">
        <v>711</v>
      </c>
      <c r="I380" t="s">
        <v>723</v>
      </c>
      <c r="J380" t="s">
        <v>729</v>
      </c>
      <c r="K380" t="s">
        <v>1112</v>
      </c>
      <c r="L380">
        <v>432.13</v>
      </c>
      <c r="M380">
        <v>1034.6600000000001</v>
      </c>
      <c r="N380">
        <v>9.1999999999999998E-2</v>
      </c>
      <c r="O380">
        <v>7</v>
      </c>
    </row>
    <row r="381" spans="1:15" x14ac:dyDescent="0.3">
      <c r="A381" t="s">
        <v>393</v>
      </c>
      <c r="B381" s="2">
        <v>45694</v>
      </c>
      <c r="C381" s="2">
        <v>45703</v>
      </c>
      <c r="D381" t="s">
        <v>648</v>
      </c>
      <c r="E381" t="s">
        <v>655</v>
      </c>
      <c r="F381" t="s">
        <v>670</v>
      </c>
      <c r="G381" t="s">
        <v>703</v>
      </c>
      <c r="H381" t="s">
        <v>710</v>
      </c>
      <c r="I381" t="s">
        <v>721</v>
      </c>
      <c r="J381" t="s">
        <v>729</v>
      </c>
      <c r="K381" t="s">
        <v>1113</v>
      </c>
      <c r="L381">
        <v>837.39</v>
      </c>
      <c r="M381">
        <v>1905.42</v>
      </c>
      <c r="N381">
        <v>3.2000000000000001E-2</v>
      </c>
      <c r="O381">
        <v>18</v>
      </c>
    </row>
    <row r="382" spans="1:15" x14ac:dyDescent="0.3">
      <c r="A382" t="s">
        <v>394</v>
      </c>
      <c r="B382" s="2">
        <v>45688</v>
      </c>
      <c r="C382" s="2">
        <v>45705</v>
      </c>
      <c r="D382" t="s">
        <v>649</v>
      </c>
      <c r="E382" t="s">
        <v>658</v>
      </c>
      <c r="F382" t="s">
        <v>683</v>
      </c>
      <c r="G382" t="s">
        <v>706</v>
      </c>
      <c r="H382" t="s">
        <v>707</v>
      </c>
      <c r="I382" t="s">
        <v>722</v>
      </c>
      <c r="J382" t="s">
        <v>727</v>
      </c>
      <c r="K382" t="s">
        <v>812</v>
      </c>
      <c r="L382">
        <v>378.26</v>
      </c>
      <c r="M382">
        <v>541.55999999999995</v>
      </c>
      <c r="N382">
        <v>0.16300000000000001</v>
      </c>
      <c r="O382">
        <v>25</v>
      </c>
    </row>
    <row r="383" spans="1:15" x14ac:dyDescent="0.3">
      <c r="A383" t="s">
        <v>395</v>
      </c>
      <c r="B383" s="2">
        <v>45876</v>
      </c>
      <c r="C383" s="2">
        <v>45906</v>
      </c>
      <c r="D383" t="s">
        <v>648</v>
      </c>
      <c r="E383" t="s">
        <v>653</v>
      </c>
      <c r="F383" t="s">
        <v>681</v>
      </c>
      <c r="G383" t="s">
        <v>702</v>
      </c>
      <c r="H383" t="s">
        <v>711</v>
      </c>
      <c r="I383" t="s">
        <v>724</v>
      </c>
      <c r="J383" t="s">
        <v>729</v>
      </c>
      <c r="K383" t="s">
        <v>1114</v>
      </c>
      <c r="L383">
        <v>833.73</v>
      </c>
      <c r="M383">
        <v>1116.5999999999999</v>
      </c>
      <c r="N383">
        <v>0.17599999999999999</v>
      </c>
      <c r="O383">
        <v>14</v>
      </c>
    </row>
    <row r="384" spans="1:15" x14ac:dyDescent="0.3">
      <c r="A384" t="s">
        <v>396</v>
      </c>
      <c r="B384" s="2">
        <v>45861</v>
      </c>
      <c r="C384" s="2">
        <v>45886</v>
      </c>
      <c r="D384" t="s">
        <v>649</v>
      </c>
      <c r="E384" t="s">
        <v>658</v>
      </c>
      <c r="F384" t="s">
        <v>674</v>
      </c>
      <c r="G384" t="s">
        <v>702</v>
      </c>
      <c r="H384" t="s">
        <v>708</v>
      </c>
      <c r="I384" t="s">
        <v>714</v>
      </c>
      <c r="J384" t="s">
        <v>728</v>
      </c>
      <c r="K384" t="s">
        <v>1115</v>
      </c>
      <c r="L384">
        <v>1142.06</v>
      </c>
      <c r="M384">
        <v>1455</v>
      </c>
      <c r="N384">
        <v>7.8E-2</v>
      </c>
      <c r="O384">
        <v>28</v>
      </c>
    </row>
    <row r="385" spans="1:15" x14ac:dyDescent="0.3">
      <c r="A385" t="s">
        <v>397</v>
      </c>
      <c r="B385" s="2">
        <v>45097</v>
      </c>
      <c r="C385" s="2">
        <v>45115</v>
      </c>
      <c r="D385" t="s">
        <v>648</v>
      </c>
      <c r="E385" t="s">
        <v>660</v>
      </c>
      <c r="F385" t="s">
        <v>700</v>
      </c>
      <c r="G385" t="s">
        <v>704</v>
      </c>
      <c r="H385" t="s">
        <v>709</v>
      </c>
      <c r="I385" t="s">
        <v>719</v>
      </c>
      <c r="J385" t="s">
        <v>729</v>
      </c>
      <c r="K385" t="s">
        <v>1116</v>
      </c>
      <c r="L385">
        <v>1145.53</v>
      </c>
      <c r="M385">
        <v>1278.3</v>
      </c>
      <c r="N385">
        <v>0.09</v>
      </c>
      <c r="O385">
        <v>41</v>
      </c>
    </row>
    <row r="386" spans="1:15" x14ac:dyDescent="0.3">
      <c r="A386" t="s">
        <v>398</v>
      </c>
      <c r="B386" s="2">
        <v>45491</v>
      </c>
      <c r="C386" s="2">
        <v>45511</v>
      </c>
      <c r="D386" t="s">
        <v>649</v>
      </c>
      <c r="E386" t="s">
        <v>657</v>
      </c>
      <c r="F386" t="s">
        <v>673</v>
      </c>
      <c r="G386" t="s">
        <v>701</v>
      </c>
      <c r="H386" t="s">
        <v>707</v>
      </c>
      <c r="I386" t="s">
        <v>721</v>
      </c>
      <c r="J386" t="s">
        <v>732</v>
      </c>
      <c r="K386" t="s">
        <v>1117</v>
      </c>
      <c r="L386">
        <v>941.35</v>
      </c>
      <c r="M386">
        <v>899.83</v>
      </c>
      <c r="N386">
        <v>5.8000000000000003E-2</v>
      </c>
      <c r="O386">
        <v>18</v>
      </c>
    </row>
    <row r="387" spans="1:15" x14ac:dyDescent="0.3">
      <c r="A387" t="s">
        <v>399</v>
      </c>
      <c r="B387" s="2">
        <v>45066</v>
      </c>
      <c r="C387" s="2">
        <v>45096</v>
      </c>
      <c r="D387" t="s">
        <v>647</v>
      </c>
      <c r="E387" t="s">
        <v>654</v>
      </c>
      <c r="F387" t="s">
        <v>680</v>
      </c>
      <c r="G387" t="s">
        <v>703</v>
      </c>
      <c r="H387" t="s">
        <v>709</v>
      </c>
      <c r="I387" t="s">
        <v>722</v>
      </c>
      <c r="J387" t="s">
        <v>731</v>
      </c>
      <c r="K387" t="s">
        <v>1118</v>
      </c>
      <c r="L387">
        <v>1161.2</v>
      </c>
      <c r="M387">
        <v>878.73</v>
      </c>
      <c r="N387">
        <v>0.19</v>
      </c>
      <c r="O387">
        <v>31</v>
      </c>
    </row>
    <row r="388" spans="1:15" x14ac:dyDescent="0.3">
      <c r="A388" t="s">
        <v>400</v>
      </c>
      <c r="B388" s="2">
        <v>45789</v>
      </c>
      <c r="C388" s="2">
        <v>45803</v>
      </c>
      <c r="D388" t="s">
        <v>647</v>
      </c>
      <c r="E388" t="s">
        <v>654</v>
      </c>
      <c r="F388" t="s">
        <v>696</v>
      </c>
      <c r="G388" t="s">
        <v>701</v>
      </c>
      <c r="H388" t="s">
        <v>709</v>
      </c>
      <c r="I388" t="s">
        <v>715</v>
      </c>
      <c r="J388" t="s">
        <v>728</v>
      </c>
      <c r="K388" t="s">
        <v>1119</v>
      </c>
      <c r="L388">
        <v>320.12</v>
      </c>
      <c r="M388">
        <v>594.41999999999996</v>
      </c>
      <c r="N388">
        <v>0.104</v>
      </c>
      <c r="O388">
        <v>18</v>
      </c>
    </row>
    <row r="389" spans="1:15" x14ac:dyDescent="0.3">
      <c r="A389" t="s">
        <v>401</v>
      </c>
      <c r="B389" s="2">
        <v>45419</v>
      </c>
      <c r="C389" s="2">
        <v>45424</v>
      </c>
      <c r="D389" t="s">
        <v>646</v>
      </c>
      <c r="E389" t="s">
        <v>651</v>
      </c>
      <c r="F389" t="s">
        <v>669</v>
      </c>
      <c r="G389" t="s">
        <v>703</v>
      </c>
      <c r="H389" t="s">
        <v>710</v>
      </c>
      <c r="I389" t="s">
        <v>716</v>
      </c>
      <c r="J389" t="s">
        <v>731</v>
      </c>
      <c r="K389" t="s">
        <v>1120</v>
      </c>
      <c r="L389">
        <v>1163.99</v>
      </c>
      <c r="M389">
        <v>1617.85</v>
      </c>
      <c r="N389">
        <v>0.127</v>
      </c>
      <c r="O389">
        <v>14</v>
      </c>
    </row>
    <row r="390" spans="1:15" x14ac:dyDescent="0.3">
      <c r="A390" t="s">
        <v>402</v>
      </c>
      <c r="B390" s="2">
        <v>45199</v>
      </c>
      <c r="C390" s="2">
        <v>45202</v>
      </c>
      <c r="D390" t="s">
        <v>647</v>
      </c>
      <c r="E390" t="s">
        <v>659</v>
      </c>
      <c r="F390" t="s">
        <v>699</v>
      </c>
      <c r="G390" t="s">
        <v>703</v>
      </c>
      <c r="H390" t="s">
        <v>707</v>
      </c>
      <c r="I390" t="s">
        <v>713</v>
      </c>
      <c r="J390" t="s">
        <v>731</v>
      </c>
      <c r="K390" t="s">
        <v>1121</v>
      </c>
      <c r="L390">
        <v>1019.36</v>
      </c>
      <c r="M390">
        <v>972.91</v>
      </c>
      <c r="N390">
        <v>0.14699999999999999</v>
      </c>
      <c r="O390">
        <v>17</v>
      </c>
    </row>
    <row r="391" spans="1:15" x14ac:dyDescent="0.3">
      <c r="A391" t="s">
        <v>403</v>
      </c>
      <c r="B391" s="2">
        <v>45225</v>
      </c>
      <c r="C391" s="2">
        <v>45235</v>
      </c>
      <c r="D391" t="s">
        <v>646</v>
      </c>
      <c r="E391" t="s">
        <v>661</v>
      </c>
      <c r="F391" t="s">
        <v>695</v>
      </c>
      <c r="G391" t="s">
        <v>703</v>
      </c>
      <c r="H391" t="s">
        <v>708</v>
      </c>
      <c r="I391" t="s">
        <v>714</v>
      </c>
      <c r="J391" t="s">
        <v>731</v>
      </c>
      <c r="K391" t="s">
        <v>1122</v>
      </c>
      <c r="L391">
        <v>20.38</v>
      </c>
      <c r="M391">
        <v>42.56</v>
      </c>
      <c r="N391">
        <v>7.1999999999999995E-2</v>
      </c>
      <c r="O391">
        <v>11</v>
      </c>
    </row>
    <row r="392" spans="1:15" x14ac:dyDescent="0.3">
      <c r="A392" t="s">
        <v>404</v>
      </c>
      <c r="B392" s="2">
        <v>45823</v>
      </c>
      <c r="C392" s="2">
        <v>45838</v>
      </c>
      <c r="D392" t="s">
        <v>646</v>
      </c>
      <c r="E392" t="s">
        <v>661</v>
      </c>
      <c r="F392" t="s">
        <v>682</v>
      </c>
      <c r="G392" t="s">
        <v>705</v>
      </c>
      <c r="H392" t="s">
        <v>711</v>
      </c>
      <c r="I392" t="s">
        <v>712</v>
      </c>
      <c r="J392" t="s">
        <v>732</v>
      </c>
      <c r="K392" t="s">
        <v>1123</v>
      </c>
      <c r="L392">
        <v>1487.59</v>
      </c>
      <c r="M392">
        <v>1480.83</v>
      </c>
      <c r="N392">
        <v>8.9999999999999993E-3</v>
      </c>
      <c r="O392">
        <v>11</v>
      </c>
    </row>
    <row r="393" spans="1:15" x14ac:dyDescent="0.3">
      <c r="A393" t="s">
        <v>405</v>
      </c>
      <c r="B393" s="2">
        <v>45514</v>
      </c>
      <c r="C393" s="2">
        <v>45542</v>
      </c>
      <c r="D393" t="s">
        <v>649</v>
      </c>
      <c r="E393" t="s">
        <v>657</v>
      </c>
      <c r="F393" t="s">
        <v>673</v>
      </c>
      <c r="G393" t="s">
        <v>703</v>
      </c>
      <c r="H393" t="s">
        <v>711</v>
      </c>
      <c r="I393" t="s">
        <v>721</v>
      </c>
      <c r="J393" t="s">
        <v>728</v>
      </c>
      <c r="K393" t="s">
        <v>1124</v>
      </c>
      <c r="L393">
        <v>229.96</v>
      </c>
      <c r="M393">
        <v>564.26</v>
      </c>
      <c r="N393">
        <v>0.105</v>
      </c>
      <c r="O393">
        <v>5</v>
      </c>
    </row>
    <row r="394" spans="1:15" x14ac:dyDescent="0.3">
      <c r="A394" t="s">
        <v>406</v>
      </c>
      <c r="B394" s="2">
        <v>45208</v>
      </c>
      <c r="C394" s="2">
        <v>45225</v>
      </c>
      <c r="D394" t="s">
        <v>647</v>
      </c>
      <c r="E394" t="s">
        <v>659</v>
      </c>
      <c r="F394" t="s">
        <v>685</v>
      </c>
      <c r="G394" t="s">
        <v>704</v>
      </c>
      <c r="H394" t="s">
        <v>709</v>
      </c>
      <c r="I394" t="s">
        <v>712</v>
      </c>
      <c r="J394" t="s">
        <v>727</v>
      </c>
      <c r="K394" t="s">
        <v>1125</v>
      </c>
      <c r="L394">
        <v>1132.03</v>
      </c>
      <c r="M394">
        <v>2137.21</v>
      </c>
      <c r="N394">
        <v>0.35699999999999998</v>
      </c>
      <c r="O394">
        <v>35</v>
      </c>
    </row>
    <row r="395" spans="1:15" x14ac:dyDescent="0.3">
      <c r="A395" t="s">
        <v>407</v>
      </c>
      <c r="B395" s="2">
        <v>45360</v>
      </c>
      <c r="C395" s="2">
        <v>45377</v>
      </c>
      <c r="D395" t="s">
        <v>648</v>
      </c>
      <c r="E395" t="s">
        <v>660</v>
      </c>
      <c r="F395" t="s">
        <v>686</v>
      </c>
      <c r="G395" t="s">
        <v>702</v>
      </c>
      <c r="H395" t="s">
        <v>711</v>
      </c>
      <c r="I395" t="s">
        <v>714</v>
      </c>
      <c r="J395" t="s">
        <v>730</v>
      </c>
      <c r="K395" t="s">
        <v>1126</v>
      </c>
      <c r="L395">
        <v>1137.4100000000001</v>
      </c>
      <c r="M395">
        <v>1680.93</v>
      </c>
      <c r="N395">
        <v>0.254</v>
      </c>
      <c r="O395">
        <v>9</v>
      </c>
    </row>
    <row r="396" spans="1:15" x14ac:dyDescent="0.3">
      <c r="A396" t="s">
        <v>408</v>
      </c>
      <c r="B396" s="2">
        <v>45075</v>
      </c>
      <c r="C396" s="2">
        <v>45097</v>
      </c>
      <c r="D396" t="s">
        <v>649</v>
      </c>
      <c r="E396" t="s">
        <v>658</v>
      </c>
      <c r="F396" t="s">
        <v>683</v>
      </c>
      <c r="G396" t="s">
        <v>705</v>
      </c>
      <c r="H396" t="s">
        <v>711</v>
      </c>
      <c r="I396" t="s">
        <v>723</v>
      </c>
      <c r="J396" t="s">
        <v>727</v>
      </c>
      <c r="K396" t="s">
        <v>1127</v>
      </c>
      <c r="L396">
        <v>1295.3900000000001</v>
      </c>
      <c r="M396">
        <v>2905.06</v>
      </c>
      <c r="N396">
        <v>0.14799999999999999</v>
      </c>
      <c r="O396">
        <v>8</v>
      </c>
    </row>
    <row r="397" spans="1:15" x14ac:dyDescent="0.3">
      <c r="A397" t="s">
        <v>409</v>
      </c>
      <c r="B397" s="2">
        <v>45804</v>
      </c>
      <c r="C397" s="2">
        <v>45816</v>
      </c>
      <c r="D397" t="s">
        <v>647</v>
      </c>
      <c r="E397" t="s">
        <v>652</v>
      </c>
      <c r="F397" t="s">
        <v>666</v>
      </c>
      <c r="G397" t="s">
        <v>701</v>
      </c>
      <c r="H397" t="s">
        <v>707</v>
      </c>
      <c r="I397" t="s">
        <v>722</v>
      </c>
      <c r="J397" t="s">
        <v>733</v>
      </c>
      <c r="K397" t="s">
        <v>1128</v>
      </c>
      <c r="L397">
        <v>653.6</v>
      </c>
      <c r="M397">
        <v>842.09</v>
      </c>
      <c r="N397">
        <v>9.8000000000000004E-2</v>
      </c>
      <c r="O397">
        <v>19</v>
      </c>
    </row>
    <row r="398" spans="1:15" x14ac:dyDescent="0.3">
      <c r="A398" t="s">
        <v>410</v>
      </c>
      <c r="B398" s="2">
        <v>45890</v>
      </c>
      <c r="C398" s="2">
        <v>45914</v>
      </c>
      <c r="D398" t="s">
        <v>649</v>
      </c>
      <c r="E398" t="s">
        <v>656</v>
      </c>
      <c r="F398" t="s">
        <v>671</v>
      </c>
      <c r="G398" t="s">
        <v>703</v>
      </c>
      <c r="H398" t="s">
        <v>708</v>
      </c>
      <c r="I398" t="s">
        <v>720</v>
      </c>
      <c r="J398" t="s">
        <v>732</v>
      </c>
      <c r="K398" t="s">
        <v>1129</v>
      </c>
      <c r="L398">
        <v>1397.67</v>
      </c>
      <c r="M398">
        <v>3131.37</v>
      </c>
      <c r="N398">
        <v>0.10299999999999999</v>
      </c>
      <c r="O398">
        <v>20</v>
      </c>
    </row>
    <row r="399" spans="1:15" x14ac:dyDescent="0.3">
      <c r="A399" t="s">
        <v>411</v>
      </c>
      <c r="B399" s="2">
        <v>45638</v>
      </c>
      <c r="C399" s="2">
        <v>45646</v>
      </c>
      <c r="D399" t="s">
        <v>647</v>
      </c>
      <c r="E399" t="s">
        <v>652</v>
      </c>
      <c r="F399" t="s">
        <v>689</v>
      </c>
      <c r="G399" t="s">
        <v>701</v>
      </c>
      <c r="H399" t="s">
        <v>707</v>
      </c>
      <c r="I399" t="s">
        <v>717</v>
      </c>
      <c r="J399" t="s">
        <v>731</v>
      </c>
      <c r="K399" t="s">
        <v>1130</v>
      </c>
      <c r="L399">
        <v>1202.47</v>
      </c>
      <c r="M399">
        <v>1444.72</v>
      </c>
      <c r="N399">
        <v>0.24099999999999999</v>
      </c>
      <c r="O399">
        <v>17</v>
      </c>
    </row>
    <row r="400" spans="1:15" x14ac:dyDescent="0.3">
      <c r="A400" t="s">
        <v>412</v>
      </c>
      <c r="B400" s="2">
        <v>45914</v>
      </c>
      <c r="C400" s="2">
        <v>45923</v>
      </c>
      <c r="D400" t="s">
        <v>646</v>
      </c>
      <c r="E400" t="s">
        <v>661</v>
      </c>
      <c r="F400" t="s">
        <v>687</v>
      </c>
      <c r="G400" t="s">
        <v>703</v>
      </c>
      <c r="H400" t="s">
        <v>708</v>
      </c>
      <c r="I400" t="s">
        <v>726</v>
      </c>
      <c r="J400" t="s">
        <v>727</v>
      </c>
      <c r="K400" t="s">
        <v>1131</v>
      </c>
      <c r="L400">
        <v>1310.3</v>
      </c>
      <c r="M400">
        <v>2875.8</v>
      </c>
      <c r="N400">
        <v>8.3000000000000004E-2</v>
      </c>
      <c r="O400">
        <v>5</v>
      </c>
    </row>
    <row r="401" spans="1:15" x14ac:dyDescent="0.3">
      <c r="A401" t="s">
        <v>413</v>
      </c>
      <c r="B401" s="2">
        <v>45541</v>
      </c>
      <c r="C401" s="2">
        <v>45569</v>
      </c>
      <c r="D401" t="s">
        <v>646</v>
      </c>
      <c r="E401" t="s">
        <v>661</v>
      </c>
      <c r="F401" t="s">
        <v>695</v>
      </c>
      <c r="G401" t="s">
        <v>701</v>
      </c>
      <c r="H401" t="s">
        <v>709</v>
      </c>
      <c r="I401" t="s">
        <v>726</v>
      </c>
      <c r="J401" t="s">
        <v>732</v>
      </c>
      <c r="K401" t="s">
        <v>1132</v>
      </c>
      <c r="L401">
        <v>1174.17</v>
      </c>
      <c r="M401">
        <v>1641.61</v>
      </c>
      <c r="N401">
        <v>0.122</v>
      </c>
      <c r="O401">
        <v>9</v>
      </c>
    </row>
    <row r="402" spans="1:15" x14ac:dyDescent="0.3">
      <c r="A402" t="s">
        <v>414</v>
      </c>
      <c r="B402" s="2">
        <v>45759</v>
      </c>
      <c r="C402" s="2">
        <v>45777</v>
      </c>
      <c r="D402" t="s">
        <v>646</v>
      </c>
      <c r="E402" t="s">
        <v>650</v>
      </c>
      <c r="F402" t="s">
        <v>662</v>
      </c>
      <c r="G402" t="s">
        <v>701</v>
      </c>
      <c r="H402" t="s">
        <v>709</v>
      </c>
      <c r="I402" t="s">
        <v>721</v>
      </c>
      <c r="J402" t="s">
        <v>729</v>
      </c>
      <c r="K402" t="s">
        <v>1133</v>
      </c>
      <c r="L402">
        <v>1119.04</v>
      </c>
      <c r="M402">
        <v>1299.02</v>
      </c>
      <c r="N402">
        <v>2.5000000000000001E-2</v>
      </c>
      <c r="O402">
        <v>14</v>
      </c>
    </row>
    <row r="403" spans="1:15" x14ac:dyDescent="0.3">
      <c r="A403" t="s">
        <v>415</v>
      </c>
      <c r="B403" s="2">
        <v>45516</v>
      </c>
      <c r="C403" s="2">
        <v>45519</v>
      </c>
      <c r="D403" t="s">
        <v>648</v>
      </c>
      <c r="E403" t="s">
        <v>660</v>
      </c>
      <c r="F403" t="s">
        <v>677</v>
      </c>
      <c r="G403" t="s">
        <v>701</v>
      </c>
      <c r="H403" t="s">
        <v>709</v>
      </c>
      <c r="I403" t="s">
        <v>726</v>
      </c>
      <c r="J403" t="s">
        <v>728</v>
      </c>
      <c r="K403" t="s">
        <v>1134</v>
      </c>
      <c r="L403">
        <v>850.7</v>
      </c>
      <c r="M403">
        <v>1118.56</v>
      </c>
      <c r="N403">
        <v>0.18</v>
      </c>
      <c r="O403">
        <v>19</v>
      </c>
    </row>
    <row r="404" spans="1:15" x14ac:dyDescent="0.3">
      <c r="A404" t="s">
        <v>416</v>
      </c>
      <c r="B404" s="2">
        <v>45601</v>
      </c>
      <c r="C404" s="2">
        <v>45604</v>
      </c>
      <c r="D404" t="s">
        <v>648</v>
      </c>
      <c r="E404" t="s">
        <v>653</v>
      </c>
      <c r="F404" t="s">
        <v>667</v>
      </c>
      <c r="G404" t="s">
        <v>702</v>
      </c>
      <c r="H404" t="s">
        <v>709</v>
      </c>
      <c r="I404" t="s">
        <v>719</v>
      </c>
      <c r="J404" t="s">
        <v>727</v>
      </c>
      <c r="K404" t="s">
        <v>1135</v>
      </c>
      <c r="L404">
        <v>1020.4</v>
      </c>
      <c r="M404">
        <v>1184.71</v>
      </c>
      <c r="N404">
        <v>0.106</v>
      </c>
      <c r="O404">
        <v>16</v>
      </c>
    </row>
    <row r="405" spans="1:15" x14ac:dyDescent="0.3">
      <c r="A405" t="s">
        <v>417</v>
      </c>
      <c r="B405" s="2">
        <v>45497</v>
      </c>
      <c r="C405" s="2">
        <v>45512</v>
      </c>
      <c r="D405" t="s">
        <v>649</v>
      </c>
      <c r="E405" t="s">
        <v>657</v>
      </c>
      <c r="F405" t="s">
        <v>673</v>
      </c>
      <c r="G405" t="s">
        <v>706</v>
      </c>
      <c r="H405" t="s">
        <v>709</v>
      </c>
      <c r="I405" t="s">
        <v>722</v>
      </c>
      <c r="J405" t="s">
        <v>731</v>
      </c>
      <c r="K405" t="s">
        <v>1136</v>
      </c>
      <c r="L405">
        <v>501.5</v>
      </c>
      <c r="M405">
        <v>1201.47</v>
      </c>
      <c r="N405">
        <v>0.126</v>
      </c>
      <c r="O405">
        <v>5</v>
      </c>
    </row>
    <row r="406" spans="1:15" x14ac:dyDescent="0.3">
      <c r="A406" t="s">
        <v>418</v>
      </c>
      <c r="B406" s="2">
        <v>45677</v>
      </c>
      <c r="C406" s="2">
        <v>45691</v>
      </c>
      <c r="D406" t="s">
        <v>648</v>
      </c>
      <c r="E406" t="s">
        <v>655</v>
      </c>
      <c r="F406" t="s">
        <v>672</v>
      </c>
      <c r="G406" t="s">
        <v>706</v>
      </c>
      <c r="H406" t="s">
        <v>709</v>
      </c>
      <c r="I406" t="s">
        <v>721</v>
      </c>
      <c r="J406" t="s">
        <v>727</v>
      </c>
      <c r="K406" t="s">
        <v>1137</v>
      </c>
      <c r="L406">
        <v>974.11</v>
      </c>
      <c r="M406">
        <v>880.99</v>
      </c>
      <c r="N406">
        <v>0.111</v>
      </c>
      <c r="O406">
        <v>10</v>
      </c>
    </row>
    <row r="407" spans="1:15" x14ac:dyDescent="0.3">
      <c r="A407" t="s">
        <v>419</v>
      </c>
      <c r="B407" s="2">
        <v>44991</v>
      </c>
      <c r="C407" s="2">
        <v>45020</v>
      </c>
      <c r="D407" t="s">
        <v>647</v>
      </c>
      <c r="E407" t="s">
        <v>659</v>
      </c>
      <c r="F407" t="s">
        <v>699</v>
      </c>
      <c r="G407" t="s">
        <v>705</v>
      </c>
      <c r="H407" t="s">
        <v>711</v>
      </c>
      <c r="I407" t="s">
        <v>712</v>
      </c>
      <c r="J407" t="s">
        <v>732</v>
      </c>
      <c r="K407" t="s">
        <v>1138</v>
      </c>
      <c r="L407">
        <v>1126.29</v>
      </c>
      <c r="M407">
        <v>2050.87</v>
      </c>
      <c r="N407">
        <v>6.4000000000000001E-2</v>
      </c>
      <c r="O407">
        <v>7</v>
      </c>
    </row>
    <row r="408" spans="1:15" x14ac:dyDescent="0.3">
      <c r="A408" t="s">
        <v>420</v>
      </c>
      <c r="B408" s="2">
        <v>45646</v>
      </c>
      <c r="C408" s="2">
        <v>45671</v>
      </c>
      <c r="D408" t="s">
        <v>647</v>
      </c>
      <c r="E408" t="s">
        <v>654</v>
      </c>
      <c r="F408" t="s">
        <v>680</v>
      </c>
      <c r="G408" t="s">
        <v>705</v>
      </c>
      <c r="H408" t="s">
        <v>707</v>
      </c>
      <c r="I408" t="s">
        <v>724</v>
      </c>
      <c r="J408" t="s">
        <v>728</v>
      </c>
      <c r="K408" t="s">
        <v>1139</v>
      </c>
      <c r="L408">
        <v>1361.34</v>
      </c>
      <c r="M408">
        <v>1737.9</v>
      </c>
      <c r="N408">
        <v>7.6999999999999999E-2</v>
      </c>
      <c r="O408">
        <v>14</v>
      </c>
    </row>
    <row r="409" spans="1:15" x14ac:dyDescent="0.3">
      <c r="A409" t="s">
        <v>421</v>
      </c>
      <c r="B409" s="2">
        <v>45709</v>
      </c>
      <c r="C409" s="2">
        <v>45737</v>
      </c>
      <c r="D409" t="s">
        <v>646</v>
      </c>
      <c r="E409" t="s">
        <v>651</v>
      </c>
      <c r="F409" t="s">
        <v>669</v>
      </c>
      <c r="G409" t="s">
        <v>706</v>
      </c>
      <c r="H409" t="s">
        <v>709</v>
      </c>
      <c r="I409" t="s">
        <v>714</v>
      </c>
      <c r="J409" t="s">
        <v>730</v>
      </c>
      <c r="K409" t="s">
        <v>1140</v>
      </c>
      <c r="L409">
        <v>1437.39</v>
      </c>
      <c r="M409">
        <v>1388.31</v>
      </c>
      <c r="N409">
        <v>0.13800000000000001</v>
      </c>
      <c r="O409">
        <v>18</v>
      </c>
    </row>
    <row r="410" spans="1:15" x14ac:dyDescent="0.3">
      <c r="A410" t="s">
        <v>422</v>
      </c>
      <c r="B410" s="2">
        <v>45724</v>
      </c>
      <c r="C410" s="2">
        <v>45731</v>
      </c>
      <c r="D410" t="s">
        <v>647</v>
      </c>
      <c r="E410" t="s">
        <v>654</v>
      </c>
      <c r="F410" t="s">
        <v>668</v>
      </c>
      <c r="G410" t="s">
        <v>701</v>
      </c>
      <c r="H410" t="s">
        <v>710</v>
      </c>
      <c r="I410" t="s">
        <v>723</v>
      </c>
      <c r="J410" t="s">
        <v>731</v>
      </c>
      <c r="K410" t="s">
        <v>1141</v>
      </c>
      <c r="L410">
        <v>475.66</v>
      </c>
      <c r="M410">
        <v>529.14</v>
      </c>
      <c r="N410">
        <v>0.19600000000000001</v>
      </c>
      <c r="O410">
        <v>11</v>
      </c>
    </row>
    <row r="411" spans="1:15" x14ac:dyDescent="0.3">
      <c r="A411" t="s">
        <v>423</v>
      </c>
      <c r="B411" s="2">
        <v>45276</v>
      </c>
      <c r="C411" s="2">
        <v>45279</v>
      </c>
      <c r="D411" t="s">
        <v>647</v>
      </c>
      <c r="E411" t="s">
        <v>659</v>
      </c>
      <c r="F411" t="s">
        <v>699</v>
      </c>
      <c r="G411" t="s">
        <v>702</v>
      </c>
      <c r="H411" t="s">
        <v>707</v>
      </c>
      <c r="I411" t="s">
        <v>720</v>
      </c>
      <c r="J411" t="s">
        <v>733</v>
      </c>
      <c r="K411" t="s">
        <v>1142</v>
      </c>
      <c r="L411">
        <v>1415.05</v>
      </c>
      <c r="M411">
        <v>1972.38</v>
      </c>
      <c r="N411">
        <v>0</v>
      </c>
      <c r="O411">
        <v>12</v>
      </c>
    </row>
    <row r="412" spans="1:15" x14ac:dyDescent="0.3">
      <c r="A412" t="s">
        <v>424</v>
      </c>
      <c r="B412" s="2">
        <v>45534</v>
      </c>
      <c r="C412" s="2">
        <v>45540</v>
      </c>
      <c r="D412" t="s">
        <v>647</v>
      </c>
      <c r="E412" t="s">
        <v>652</v>
      </c>
      <c r="F412" t="s">
        <v>694</v>
      </c>
      <c r="G412" t="s">
        <v>702</v>
      </c>
      <c r="H412" t="s">
        <v>708</v>
      </c>
      <c r="I412" t="s">
        <v>725</v>
      </c>
      <c r="J412" t="s">
        <v>731</v>
      </c>
      <c r="K412" t="s">
        <v>1143</v>
      </c>
      <c r="L412">
        <v>466.16</v>
      </c>
      <c r="M412">
        <v>876.81</v>
      </c>
      <c r="N412">
        <v>0.24099999999999999</v>
      </c>
      <c r="O412">
        <v>8</v>
      </c>
    </row>
    <row r="413" spans="1:15" x14ac:dyDescent="0.3">
      <c r="A413" t="s">
        <v>425</v>
      </c>
      <c r="B413" s="2">
        <v>45430</v>
      </c>
      <c r="C413" s="2">
        <v>45433</v>
      </c>
      <c r="D413" t="s">
        <v>649</v>
      </c>
      <c r="E413" t="s">
        <v>657</v>
      </c>
      <c r="F413" t="s">
        <v>673</v>
      </c>
      <c r="G413" t="s">
        <v>703</v>
      </c>
      <c r="H413" t="s">
        <v>709</v>
      </c>
      <c r="I413" t="s">
        <v>726</v>
      </c>
      <c r="J413" t="s">
        <v>728</v>
      </c>
      <c r="K413" t="s">
        <v>1144</v>
      </c>
      <c r="L413">
        <v>663.66</v>
      </c>
      <c r="M413">
        <v>824.26</v>
      </c>
      <c r="N413">
        <v>0.23899999999999999</v>
      </c>
      <c r="O413">
        <v>11</v>
      </c>
    </row>
    <row r="414" spans="1:15" x14ac:dyDescent="0.3">
      <c r="A414" t="s">
        <v>426</v>
      </c>
      <c r="B414" s="2">
        <v>45002</v>
      </c>
      <c r="C414" s="2">
        <v>45022</v>
      </c>
      <c r="D414" t="s">
        <v>649</v>
      </c>
      <c r="E414" t="s">
        <v>656</v>
      </c>
      <c r="F414" t="s">
        <v>684</v>
      </c>
      <c r="G414" t="s">
        <v>704</v>
      </c>
      <c r="H414" t="s">
        <v>707</v>
      </c>
      <c r="I414" t="s">
        <v>719</v>
      </c>
      <c r="J414" t="s">
        <v>730</v>
      </c>
      <c r="K414" t="s">
        <v>1145</v>
      </c>
      <c r="L414">
        <v>692.18</v>
      </c>
      <c r="M414">
        <v>1159.3499999999999</v>
      </c>
      <c r="N414">
        <v>0.112</v>
      </c>
      <c r="O414">
        <v>2</v>
      </c>
    </row>
    <row r="415" spans="1:15" x14ac:dyDescent="0.3">
      <c r="A415" t="s">
        <v>427</v>
      </c>
      <c r="B415" s="2">
        <v>45163</v>
      </c>
      <c r="C415" s="2">
        <v>45185</v>
      </c>
      <c r="D415" t="s">
        <v>646</v>
      </c>
      <c r="E415" t="s">
        <v>651</v>
      </c>
      <c r="F415" t="s">
        <v>669</v>
      </c>
      <c r="G415" t="s">
        <v>701</v>
      </c>
      <c r="H415" t="s">
        <v>709</v>
      </c>
      <c r="I415" t="s">
        <v>716</v>
      </c>
      <c r="J415" t="s">
        <v>730</v>
      </c>
      <c r="K415" t="s">
        <v>1146</v>
      </c>
      <c r="L415">
        <v>1196.83</v>
      </c>
      <c r="M415">
        <v>2513.5100000000002</v>
      </c>
      <c r="N415">
        <v>8.3000000000000004E-2</v>
      </c>
      <c r="O415">
        <v>7</v>
      </c>
    </row>
    <row r="416" spans="1:15" x14ac:dyDescent="0.3">
      <c r="A416" t="s">
        <v>428</v>
      </c>
      <c r="B416" s="2">
        <v>45449</v>
      </c>
      <c r="C416" s="2">
        <v>45467</v>
      </c>
      <c r="D416" t="s">
        <v>647</v>
      </c>
      <c r="E416" t="s">
        <v>654</v>
      </c>
      <c r="F416" t="s">
        <v>668</v>
      </c>
      <c r="G416" t="s">
        <v>705</v>
      </c>
      <c r="H416" t="s">
        <v>711</v>
      </c>
      <c r="I416" t="s">
        <v>722</v>
      </c>
      <c r="J416" t="s">
        <v>729</v>
      </c>
      <c r="K416" t="s">
        <v>1147</v>
      </c>
      <c r="L416">
        <v>1253.25</v>
      </c>
      <c r="M416">
        <v>3087.13</v>
      </c>
      <c r="N416">
        <v>7.1999999999999995E-2</v>
      </c>
      <c r="O416">
        <v>11</v>
      </c>
    </row>
    <row r="417" spans="1:15" x14ac:dyDescent="0.3">
      <c r="A417" t="s">
        <v>429</v>
      </c>
      <c r="B417" s="2">
        <v>45167</v>
      </c>
      <c r="C417" s="2">
        <v>45182</v>
      </c>
      <c r="D417" t="s">
        <v>648</v>
      </c>
      <c r="E417" t="s">
        <v>653</v>
      </c>
      <c r="F417" t="s">
        <v>688</v>
      </c>
      <c r="G417" t="s">
        <v>705</v>
      </c>
      <c r="H417" t="s">
        <v>709</v>
      </c>
      <c r="I417" t="s">
        <v>719</v>
      </c>
      <c r="J417" t="s">
        <v>728</v>
      </c>
      <c r="K417" t="s">
        <v>1148</v>
      </c>
      <c r="L417">
        <v>1287.6400000000001</v>
      </c>
      <c r="M417">
        <v>2717.15</v>
      </c>
      <c r="N417">
        <v>3.2000000000000001E-2</v>
      </c>
      <c r="O417">
        <v>7</v>
      </c>
    </row>
    <row r="418" spans="1:15" x14ac:dyDescent="0.3">
      <c r="A418" t="s">
        <v>430</v>
      </c>
      <c r="B418" s="2">
        <v>45626</v>
      </c>
      <c r="C418" s="2">
        <v>45636</v>
      </c>
      <c r="D418" t="s">
        <v>647</v>
      </c>
      <c r="E418" t="s">
        <v>654</v>
      </c>
      <c r="F418" t="s">
        <v>696</v>
      </c>
      <c r="G418" t="s">
        <v>705</v>
      </c>
      <c r="H418" t="s">
        <v>707</v>
      </c>
      <c r="I418" t="s">
        <v>721</v>
      </c>
      <c r="J418" t="s">
        <v>733</v>
      </c>
      <c r="K418" t="s">
        <v>1149</v>
      </c>
      <c r="L418">
        <v>851.49</v>
      </c>
      <c r="M418">
        <v>901.79</v>
      </c>
      <c r="N418">
        <v>0.245</v>
      </c>
      <c r="O418">
        <v>16</v>
      </c>
    </row>
    <row r="419" spans="1:15" x14ac:dyDescent="0.3">
      <c r="A419" t="s">
        <v>431</v>
      </c>
      <c r="B419" s="2">
        <v>45813</v>
      </c>
      <c r="C419" s="2">
        <v>45822</v>
      </c>
      <c r="D419" t="s">
        <v>647</v>
      </c>
      <c r="E419" t="s">
        <v>654</v>
      </c>
      <c r="F419" t="s">
        <v>680</v>
      </c>
      <c r="G419" t="s">
        <v>703</v>
      </c>
      <c r="H419" t="s">
        <v>707</v>
      </c>
      <c r="I419" t="s">
        <v>720</v>
      </c>
      <c r="J419" t="s">
        <v>733</v>
      </c>
      <c r="K419" t="s">
        <v>1150</v>
      </c>
      <c r="L419">
        <v>618.69000000000005</v>
      </c>
      <c r="M419">
        <v>796.15</v>
      </c>
      <c r="N419">
        <v>0.09</v>
      </c>
      <c r="O419">
        <v>11</v>
      </c>
    </row>
    <row r="420" spans="1:15" x14ac:dyDescent="0.3">
      <c r="A420" t="s">
        <v>432</v>
      </c>
      <c r="B420" s="2">
        <v>45730</v>
      </c>
      <c r="C420" s="2">
        <v>45755</v>
      </c>
      <c r="D420" t="s">
        <v>647</v>
      </c>
      <c r="E420" t="s">
        <v>659</v>
      </c>
      <c r="G420" t="s">
        <v>701</v>
      </c>
      <c r="H420" t="s">
        <v>710</v>
      </c>
      <c r="I420" t="s">
        <v>726</v>
      </c>
      <c r="J420" t="s">
        <v>728</v>
      </c>
      <c r="K420" t="s">
        <v>1151</v>
      </c>
      <c r="L420">
        <v>80.59</v>
      </c>
      <c r="M420">
        <v>157.82</v>
      </c>
      <c r="N420">
        <v>0.217</v>
      </c>
      <c r="O420">
        <v>6</v>
      </c>
    </row>
    <row r="421" spans="1:15" x14ac:dyDescent="0.3">
      <c r="A421" t="s">
        <v>433</v>
      </c>
      <c r="B421" s="2">
        <v>45307</v>
      </c>
      <c r="C421" s="2">
        <v>45333</v>
      </c>
      <c r="D421" t="s">
        <v>649</v>
      </c>
      <c r="E421" t="s">
        <v>656</v>
      </c>
      <c r="F421" t="s">
        <v>698</v>
      </c>
      <c r="G421" t="s">
        <v>703</v>
      </c>
      <c r="H421" t="s">
        <v>710</v>
      </c>
      <c r="I421" t="s">
        <v>718</v>
      </c>
      <c r="J421" t="s">
        <v>732</v>
      </c>
      <c r="K421" t="s">
        <v>1152</v>
      </c>
      <c r="L421">
        <v>504.93</v>
      </c>
      <c r="M421">
        <v>819.06</v>
      </c>
      <c r="N421">
        <v>0.22600000000000001</v>
      </c>
      <c r="O421">
        <v>15</v>
      </c>
    </row>
    <row r="422" spans="1:15" x14ac:dyDescent="0.3">
      <c r="A422" t="s">
        <v>434</v>
      </c>
      <c r="B422" s="2">
        <v>45211</v>
      </c>
      <c r="C422" s="2">
        <v>45228</v>
      </c>
      <c r="D422" t="s">
        <v>647</v>
      </c>
      <c r="E422" t="s">
        <v>652</v>
      </c>
      <c r="F422" t="s">
        <v>694</v>
      </c>
      <c r="G422" t="s">
        <v>703</v>
      </c>
      <c r="H422" t="s">
        <v>711</v>
      </c>
      <c r="I422" t="s">
        <v>722</v>
      </c>
      <c r="J422" t="s">
        <v>730</v>
      </c>
      <c r="K422" t="s">
        <v>1153</v>
      </c>
      <c r="L422">
        <v>1102.19</v>
      </c>
      <c r="M422">
        <v>1711.16</v>
      </c>
      <c r="N422">
        <v>0.151</v>
      </c>
      <c r="O422">
        <v>10</v>
      </c>
    </row>
    <row r="423" spans="1:15" x14ac:dyDescent="0.3">
      <c r="A423" t="s">
        <v>435</v>
      </c>
      <c r="B423" s="2">
        <v>45713</v>
      </c>
      <c r="C423" s="2">
        <v>45733</v>
      </c>
      <c r="D423" t="s">
        <v>648</v>
      </c>
      <c r="E423" t="s">
        <v>660</v>
      </c>
      <c r="F423" t="s">
        <v>686</v>
      </c>
      <c r="G423" t="s">
        <v>703</v>
      </c>
      <c r="H423" t="s">
        <v>709</v>
      </c>
      <c r="I423" t="s">
        <v>722</v>
      </c>
      <c r="J423" t="s">
        <v>730</v>
      </c>
      <c r="K423" t="s">
        <v>1154</v>
      </c>
      <c r="L423">
        <v>1205.26</v>
      </c>
      <c r="M423">
        <v>1696.35</v>
      </c>
      <c r="N423">
        <v>1.9E-2</v>
      </c>
      <c r="O423">
        <v>6</v>
      </c>
    </row>
    <row r="424" spans="1:15" x14ac:dyDescent="0.3">
      <c r="A424" t="s">
        <v>436</v>
      </c>
      <c r="B424" s="2">
        <v>45841</v>
      </c>
      <c r="C424" s="2">
        <v>45844</v>
      </c>
      <c r="D424" t="s">
        <v>646</v>
      </c>
      <c r="E424" t="s">
        <v>651</v>
      </c>
      <c r="F424" t="s">
        <v>665</v>
      </c>
      <c r="G424" t="s">
        <v>704</v>
      </c>
      <c r="H424" t="s">
        <v>708</v>
      </c>
      <c r="J424" t="s">
        <v>731</v>
      </c>
      <c r="K424" t="s">
        <v>1155</v>
      </c>
      <c r="L424">
        <v>1313.3</v>
      </c>
      <c r="M424">
        <v>2884.34</v>
      </c>
      <c r="N424">
        <v>0.157</v>
      </c>
      <c r="O424">
        <v>42</v>
      </c>
    </row>
    <row r="425" spans="1:15" x14ac:dyDescent="0.3">
      <c r="A425" t="s">
        <v>437</v>
      </c>
      <c r="B425" s="2">
        <v>45915</v>
      </c>
      <c r="C425" s="2">
        <v>45925</v>
      </c>
      <c r="D425" t="s">
        <v>647</v>
      </c>
      <c r="E425" t="s">
        <v>654</v>
      </c>
      <c r="F425" t="s">
        <v>680</v>
      </c>
      <c r="G425" t="s">
        <v>704</v>
      </c>
      <c r="H425" t="s">
        <v>707</v>
      </c>
      <c r="I425" t="s">
        <v>720</v>
      </c>
      <c r="J425" t="s">
        <v>730</v>
      </c>
      <c r="K425" t="s">
        <v>1156</v>
      </c>
      <c r="L425">
        <v>1488.91</v>
      </c>
      <c r="M425">
        <v>1483.74</v>
      </c>
      <c r="N425">
        <v>0.16800000000000001</v>
      </c>
      <c r="O425">
        <v>24</v>
      </c>
    </row>
    <row r="426" spans="1:15" x14ac:dyDescent="0.3">
      <c r="A426" t="s">
        <v>438</v>
      </c>
      <c r="B426" s="2">
        <v>45341</v>
      </c>
      <c r="C426" s="2">
        <v>45357</v>
      </c>
      <c r="D426" t="s">
        <v>647</v>
      </c>
      <c r="E426" t="s">
        <v>659</v>
      </c>
      <c r="F426" t="s">
        <v>699</v>
      </c>
      <c r="G426" t="s">
        <v>702</v>
      </c>
      <c r="H426" t="s">
        <v>709</v>
      </c>
      <c r="I426" t="s">
        <v>719</v>
      </c>
      <c r="J426" t="s">
        <v>728</v>
      </c>
      <c r="K426" t="s">
        <v>1157</v>
      </c>
      <c r="L426">
        <v>1477.84</v>
      </c>
      <c r="M426">
        <v>3197.47</v>
      </c>
      <c r="N426">
        <v>0.24299999999999999</v>
      </c>
      <c r="O426">
        <v>24</v>
      </c>
    </row>
    <row r="427" spans="1:15" x14ac:dyDescent="0.3">
      <c r="A427" t="s">
        <v>439</v>
      </c>
      <c r="B427" s="2">
        <v>45349</v>
      </c>
      <c r="C427" s="2">
        <v>45377</v>
      </c>
      <c r="D427" t="s">
        <v>647</v>
      </c>
      <c r="E427" t="s">
        <v>654</v>
      </c>
      <c r="F427" t="s">
        <v>691</v>
      </c>
      <c r="G427" t="s">
        <v>702</v>
      </c>
      <c r="H427" t="s">
        <v>709</v>
      </c>
      <c r="I427" t="s">
        <v>715</v>
      </c>
      <c r="J427" t="s">
        <v>731</v>
      </c>
      <c r="K427" t="s">
        <v>1158</v>
      </c>
      <c r="L427">
        <v>1035.19</v>
      </c>
      <c r="M427">
        <v>2322.6999999999998</v>
      </c>
      <c r="N427">
        <v>0.17299999999999999</v>
      </c>
      <c r="O427">
        <v>8</v>
      </c>
    </row>
    <row r="428" spans="1:15" x14ac:dyDescent="0.3">
      <c r="A428" t="s">
        <v>440</v>
      </c>
      <c r="B428" s="2">
        <v>45897</v>
      </c>
      <c r="C428" s="2">
        <v>45905</v>
      </c>
      <c r="D428" t="s">
        <v>646</v>
      </c>
      <c r="E428" t="s">
        <v>651</v>
      </c>
      <c r="F428" t="s">
        <v>663</v>
      </c>
      <c r="G428" t="s">
        <v>705</v>
      </c>
      <c r="H428" t="s">
        <v>709</v>
      </c>
      <c r="I428" t="s">
        <v>718</v>
      </c>
      <c r="J428" t="s">
        <v>731</v>
      </c>
      <c r="K428" t="s">
        <v>1159</v>
      </c>
      <c r="L428">
        <v>1271.0999999999999</v>
      </c>
      <c r="M428">
        <v>1932.42</v>
      </c>
      <c r="N428">
        <v>0.25</v>
      </c>
      <c r="O428">
        <v>21</v>
      </c>
    </row>
    <row r="429" spans="1:15" x14ac:dyDescent="0.3">
      <c r="A429" t="s">
        <v>441</v>
      </c>
      <c r="B429" s="2">
        <v>45522</v>
      </c>
      <c r="C429" s="2">
        <v>45547</v>
      </c>
      <c r="D429" t="s">
        <v>647</v>
      </c>
      <c r="E429" t="s">
        <v>654</v>
      </c>
      <c r="F429" t="s">
        <v>691</v>
      </c>
      <c r="G429" t="s">
        <v>704</v>
      </c>
      <c r="H429" t="s">
        <v>709</v>
      </c>
      <c r="I429" t="s">
        <v>712</v>
      </c>
      <c r="J429" t="s">
        <v>730</v>
      </c>
      <c r="K429" t="s">
        <v>1160</v>
      </c>
      <c r="L429">
        <v>1154.03</v>
      </c>
      <c r="M429">
        <v>1590.36</v>
      </c>
      <c r="N429">
        <v>0.314</v>
      </c>
      <c r="O429">
        <v>18</v>
      </c>
    </row>
    <row r="430" spans="1:15" x14ac:dyDescent="0.3">
      <c r="A430" t="s">
        <v>442</v>
      </c>
      <c r="B430" s="2">
        <v>45347</v>
      </c>
      <c r="C430" s="2">
        <v>45360</v>
      </c>
      <c r="D430" t="s">
        <v>649</v>
      </c>
      <c r="E430" t="s">
        <v>657</v>
      </c>
      <c r="F430" t="s">
        <v>673</v>
      </c>
      <c r="G430" t="s">
        <v>705</v>
      </c>
      <c r="H430" t="s">
        <v>710</v>
      </c>
      <c r="I430" t="s">
        <v>718</v>
      </c>
      <c r="J430" t="s">
        <v>732</v>
      </c>
      <c r="K430" t="s">
        <v>1161</v>
      </c>
      <c r="L430">
        <v>322.44</v>
      </c>
      <c r="M430">
        <v>395.61</v>
      </c>
      <c r="N430">
        <v>0</v>
      </c>
      <c r="O430">
        <v>34</v>
      </c>
    </row>
    <row r="431" spans="1:15" x14ac:dyDescent="0.3">
      <c r="A431" t="s">
        <v>443</v>
      </c>
      <c r="B431" s="2">
        <v>45784</v>
      </c>
      <c r="C431" s="2">
        <v>45790</v>
      </c>
      <c r="D431" t="s">
        <v>647</v>
      </c>
      <c r="E431" t="s">
        <v>654</v>
      </c>
      <c r="F431" t="s">
        <v>668</v>
      </c>
      <c r="G431" t="s">
        <v>706</v>
      </c>
      <c r="H431" t="s">
        <v>711</v>
      </c>
      <c r="I431" t="s">
        <v>713</v>
      </c>
      <c r="J431" t="s">
        <v>730</v>
      </c>
      <c r="K431" t="s">
        <v>1162</v>
      </c>
      <c r="L431">
        <v>935.98</v>
      </c>
      <c r="M431">
        <v>2077.69</v>
      </c>
      <c r="N431">
        <v>0.17499999999999999</v>
      </c>
      <c r="O431">
        <v>24</v>
      </c>
    </row>
    <row r="432" spans="1:15" x14ac:dyDescent="0.3">
      <c r="A432" t="s">
        <v>444</v>
      </c>
      <c r="B432" s="2">
        <v>45597</v>
      </c>
      <c r="C432" s="2">
        <v>45608</v>
      </c>
      <c r="D432" t="s">
        <v>649</v>
      </c>
      <c r="E432" t="s">
        <v>656</v>
      </c>
      <c r="F432" t="s">
        <v>698</v>
      </c>
      <c r="G432" t="s">
        <v>704</v>
      </c>
      <c r="H432" t="s">
        <v>708</v>
      </c>
      <c r="I432" t="s">
        <v>717</v>
      </c>
      <c r="J432" t="s">
        <v>728</v>
      </c>
      <c r="K432" t="s">
        <v>1163</v>
      </c>
      <c r="L432">
        <v>599.84</v>
      </c>
      <c r="M432">
        <v>1330.85</v>
      </c>
      <c r="N432">
        <v>0.115</v>
      </c>
      <c r="O432">
        <v>11</v>
      </c>
    </row>
    <row r="433" spans="1:15" x14ac:dyDescent="0.3">
      <c r="A433" t="s">
        <v>445</v>
      </c>
      <c r="B433" s="2">
        <v>45654</v>
      </c>
      <c r="C433" s="2">
        <v>45665</v>
      </c>
      <c r="D433" t="s">
        <v>647</v>
      </c>
      <c r="E433" t="s">
        <v>659</v>
      </c>
      <c r="F433" t="s">
        <v>676</v>
      </c>
      <c r="G433" t="s">
        <v>706</v>
      </c>
      <c r="H433" t="s">
        <v>708</v>
      </c>
      <c r="I433" t="s">
        <v>723</v>
      </c>
      <c r="J433" t="s">
        <v>731</v>
      </c>
      <c r="K433" t="s">
        <v>1164</v>
      </c>
      <c r="L433">
        <v>1201.31</v>
      </c>
      <c r="M433">
        <v>2764.65</v>
      </c>
      <c r="N433">
        <v>0</v>
      </c>
      <c r="O433">
        <v>21</v>
      </c>
    </row>
    <row r="434" spans="1:15" x14ac:dyDescent="0.3">
      <c r="A434" t="s">
        <v>446</v>
      </c>
      <c r="B434" s="2">
        <v>45220</v>
      </c>
      <c r="C434" s="2">
        <v>45220</v>
      </c>
      <c r="D434" t="s">
        <v>649</v>
      </c>
      <c r="E434" t="s">
        <v>658</v>
      </c>
      <c r="F434" t="s">
        <v>693</v>
      </c>
      <c r="G434" t="s">
        <v>706</v>
      </c>
      <c r="H434" t="s">
        <v>710</v>
      </c>
      <c r="I434" t="s">
        <v>713</v>
      </c>
      <c r="J434" t="s">
        <v>732</v>
      </c>
      <c r="K434" t="s">
        <v>1165</v>
      </c>
      <c r="L434">
        <v>384.19</v>
      </c>
      <c r="M434">
        <v>278.35000000000002</v>
      </c>
      <c r="N434">
        <v>5.6000000000000001E-2</v>
      </c>
      <c r="O434">
        <v>10</v>
      </c>
    </row>
    <row r="435" spans="1:15" x14ac:dyDescent="0.3">
      <c r="A435" t="s">
        <v>447</v>
      </c>
      <c r="B435" s="2">
        <v>45636</v>
      </c>
      <c r="C435" s="2">
        <v>45645</v>
      </c>
      <c r="D435" t="s">
        <v>646</v>
      </c>
      <c r="E435" t="s">
        <v>651</v>
      </c>
      <c r="F435" t="s">
        <v>665</v>
      </c>
      <c r="G435" t="s">
        <v>701</v>
      </c>
      <c r="H435" t="s">
        <v>707</v>
      </c>
      <c r="I435" t="s">
        <v>719</v>
      </c>
      <c r="J435" t="s">
        <v>732</v>
      </c>
      <c r="K435" t="s">
        <v>1166</v>
      </c>
      <c r="L435">
        <v>488.68</v>
      </c>
      <c r="M435">
        <v>984.36</v>
      </c>
      <c r="N435">
        <v>5.8999999999999997E-2</v>
      </c>
      <c r="O435">
        <v>14</v>
      </c>
    </row>
    <row r="436" spans="1:15" x14ac:dyDescent="0.3">
      <c r="A436" t="s">
        <v>448</v>
      </c>
      <c r="B436" s="2">
        <v>45542</v>
      </c>
      <c r="C436" s="2">
        <v>45553</v>
      </c>
      <c r="D436" t="s">
        <v>647</v>
      </c>
      <c r="E436" t="s">
        <v>659</v>
      </c>
      <c r="F436" t="s">
        <v>699</v>
      </c>
      <c r="G436" t="s">
        <v>704</v>
      </c>
      <c r="H436" t="s">
        <v>710</v>
      </c>
      <c r="I436" t="s">
        <v>719</v>
      </c>
      <c r="J436" t="s">
        <v>729</v>
      </c>
      <c r="K436" t="s">
        <v>1167</v>
      </c>
      <c r="L436">
        <v>181.74</v>
      </c>
      <c r="M436">
        <v>190.84</v>
      </c>
      <c r="N436">
        <v>0.214</v>
      </c>
      <c r="O436">
        <v>13</v>
      </c>
    </row>
    <row r="437" spans="1:15" x14ac:dyDescent="0.3">
      <c r="A437" t="s">
        <v>449</v>
      </c>
      <c r="B437" s="2">
        <v>45217</v>
      </c>
      <c r="C437" s="2">
        <v>45219</v>
      </c>
      <c r="D437" t="s">
        <v>646</v>
      </c>
      <c r="E437" t="s">
        <v>650</v>
      </c>
      <c r="F437" t="s">
        <v>662</v>
      </c>
      <c r="G437" t="s">
        <v>704</v>
      </c>
      <c r="H437" t="s">
        <v>707</v>
      </c>
      <c r="I437" t="s">
        <v>713</v>
      </c>
      <c r="J437" t="s">
        <v>730</v>
      </c>
      <c r="K437" t="s">
        <v>1168</v>
      </c>
      <c r="L437">
        <v>774.12</v>
      </c>
      <c r="M437">
        <v>908.3</v>
      </c>
      <c r="N437">
        <v>0</v>
      </c>
      <c r="O437">
        <v>30</v>
      </c>
    </row>
    <row r="438" spans="1:15" x14ac:dyDescent="0.3">
      <c r="A438" t="s">
        <v>450</v>
      </c>
      <c r="B438" s="2">
        <v>45650</v>
      </c>
      <c r="C438" s="2">
        <v>45670</v>
      </c>
      <c r="D438" t="s">
        <v>647</v>
      </c>
      <c r="E438" t="s">
        <v>654</v>
      </c>
      <c r="F438" t="s">
        <v>668</v>
      </c>
      <c r="G438" t="s">
        <v>701</v>
      </c>
      <c r="H438" t="s">
        <v>709</v>
      </c>
      <c r="I438" t="s">
        <v>726</v>
      </c>
      <c r="J438" t="s">
        <v>729</v>
      </c>
      <c r="K438" t="s">
        <v>1169</v>
      </c>
      <c r="L438">
        <v>126.15</v>
      </c>
      <c r="M438">
        <v>284.23</v>
      </c>
      <c r="N438">
        <v>0.113</v>
      </c>
      <c r="O438">
        <v>22</v>
      </c>
    </row>
    <row r="439" spans="1:15" x14ac:dyDescent="0.3">
      <c r="A439" t="s">
        <v>451</v>
      </c>
      <c r="B439" s="2">
        <v>45037</v>
      </c>
      <c r="C439" s="2">
        <v>45035</v>
      </c>
      <c r="D439" t="s">
        <v>647</v>
      </c>
      <c r="E439" t="s">
        <v>652</v>
      </c>
      <c r="F439" t="s">
        <v>694</v>
      </c>
      <c r="G439" t="s">
        <v>705</v>
      </c>
      <c r="H439" t="s">
        <v>711</v>
      </c>
      <c r="I439" t="s">
        <v>724</v>
      </c>
      <c r="J439" t="s">
        <v>727</v>
      </c>
      <c r="K439" t="s">
        <v>1170</v>
      </c>
      <c r="L439">
        <v>607.04</v>
      </c>
      <c r="M439">
        <v>1229.3399999999999</v>
      </c>
      <c r="N439">
        <v>0.14699999999999999</v>
      </c>
      <c r="O439">
        <v>7</v>
      </c>
    </row>
    <row r="440" spans="1:15" x14ac:dyDescent="0.3">
      <c r="A440" t="s">
        <v>452</v>
      </c>
      <c r="B440" s="2">
        <v>45290</v>
      </c>
      <c r="C440" s="2">
        <v>45299</v>
      </c>
      <c r="D440" t="s">
        <v>649</v>
      </c>
      <c r="E440" t="s">
        <v>657</v>
      </c>
      <c r="F440" t="s">
        <v>673</v>
      </c>
      <c r="G440" t="s">
        <v>704</v>
      </c>
      <c r="H440" t="s">
        <v>709</v>
      </c>
      <c r="I440" t="s">
        <v>716</v>
      </c>
      <c r="J440" t="s">
        <v>733</v>
      </c>
      <c r="K440" t="s">
        <v>1171</v>
      </c>
      <c r="L440">
        <v>861.1</v>
      </c>
      <c r="M440">
        <v>1224.72</v>
      </c>
      <c r="N440">
        <v>0.17399999999999999</v>
      </c>
      <c r="O440">
        <v>24</v>
      </c>
    </row>
    <row r="441" spans="1:15" x14ac:dyDescent="0.3">
      <c r="A441" t="s">
        <v>453</v>
      </c>
      <c r="B441" s="2">
        <v>44978</v>
      </c>
      <c r="C441" s="2">
        <v>44997</v>
      </c>
      <c r="D441" t="s">
        <v>646</v>
      </c>
      <c r="E441" t="s">
        <v>650</v>
      </c>
      <c r="F441" t="s">
        <v>678</v>
      </c>
      <c r="G441" t="s">
        <v>701</v>
      </c>
      <c r="H441" t="s">
        <v>708</v>
      </c>
      <c r="I441" t="s">
        <v>721</v>
      </c>
      <c r="J441" t="s">
        <v>729</v>
      </c>
      <c r="K441" t="s">
        <v>1172</v>
      </c>
      <c r="L441">
        <v>352.65</v>
      </c>
      <c r="M441">
        <v>485.86</v>
      </c>
      <c r="N441">
        <v>4.1000000000000002E-2</v>
      </c>
      <c r="O441">
        <v>6</v>
      </c>
    </row>
    <row r="442" spans="1:15" x14ac:dyDescent="0.3">
      <c r="A442" t="s">
        <v>454</v>
      </c>
      <c r="B442" s="2">
        <v>45063</v>
      </c>
      <c r="C442" s="2">
        <v>45080</v>
      </c>
      <c r="D442" t="s">
        <v>647</v>
      </c>
      <c r="E442" t="s">
        <v>659</v>
      </c>
      <c r="F442" t="s">
        <v>699</v>
      </c>
      <c r="G442" t="s">
        <v>703</v>
      </c>
      <c r="H442" t="s">
        <v>710</v>
      </c>
      <c r="I442" t="s">
        <v>724</v>
      </c>
      <c r="J442" t="s">
        <v>728</v>
      </c>
      <c r="K442" t="s">
        <v>1173</v>
      </c>
      <c r="L442">
        <v>979.59</v>
      </c>
      <c r="M442">
        <v>2210.94</v>
      </c>
      <c r="N442">
        <v>0.15</v>
      </c>
      <c r="O442">
        <v>11</v>
      </c>
    </row>
    <row r="443" spans="1:15" x14ac:dyDescent="0.3">
      <c r="A443" t="s">
        <v>455</v>
      </c>
      <c r="B443" s="2">
        <v>45374</v>
      </c>
      <c r="C443" s="2">
        <v>45377</v>
      </c>
      <c r="D443" t="s">
        <v>647</v>
      </c>
      <c r="E443" t="s">
        <v>654</v>
      </c>
      <c r="F443" t="s">
        <v>668</v>
      </c>
      <c r="G443" t="s">
        <v>702</v>
      </c>
      <c r="H443" t="s">
        <v>711</v>
      </c>
      <c r="I443" t="s">
        <v>715</v>
      </c>
      <c r="J443" t="s">
        <v>730</v>
      </c>
      <c r="K443" t="s">
        <v>1174</v>
      </c>
      <c r="L443">
        <v>382.21</v>
      </c>
      <c r="M443">
        <v>571.89</v>
      </c>
      <c r="N443">
        <v>0.14799999999999999</v>
      </c>
      <c r="O443">
        <v>26</v>
      </c>
    </row>
    <row r="444" spans="1:15" x14ac:dyDescent="0.3">
      <c r="A444" t="s">
        <v>456</v>
      </c>
      <c r="B444" s="2">
        <v>45189</v>
      </c>
      <c r="C444" s="2">
        <v>45197</v>
      </c>
      <c r="D444" t="s">
        <v>647</v>
      </c>
      <c r="E444" t="s">
        <v>654</v>
      </c>
      <c r="G444" t="s">
        <v>701</v>
      </c>
      <c r="I444" t="s">
        <v>717</v>
      </c>
      <c r="J444" t="s">
        <v>733</v>
      </c>
      <c r="K444" t="s">
        <v>1175</v>
      </c>
      <c r="L444">
        <v>1362.06</v>
      </c>
      <c r="M444">
        <v>3398.37</v>
      </c>
      <c r="N444">
        <v>0.157</v>
      </c>
      <c r="O444">
        <v>11</v>
      </c>
    </row>
    <row r="445" spans="1:15" x14ac:dyDescent="0.3">
      <c r="A445" t="s">
        <v>457</v>
      </c>
      <c r="B445" s="2">
        <v>45526</v>
      </c>
      <c r="C445" s="2">
        <v>45539</v>
      </c>
      <c r="D445" t="s">
        <v>649</v>
      </c>
      <c r="E445" t="s">
        <v>656</v>
      </c>
      <c r="F445" t="s">
        <v>698</v>
      </c>
      <c r="G445" t="s">
        <v>703</v>
      </c>
      <c r="H445" t="s">
        <v>707</v>
      </c>
      <c r="I445" t="s">
        <v>716</v>
      </c>
      <c r="J445" t="s">
        <v>728</v>
      </c>
      <c r="K445" t="s">
        <v>1176</v>
      </c>
      <c r="L445">
        <v>90.04</v>
      </c>
      <c r="M445">
        <v>194.62</v>
      </c>
      <c r="N445">
        <v>4.2999999999999997E-2</v>
      </c>
      <c r="O445">
        <v>32</v>
      </c>
    </row>
    <row r="446" spans="1:15" x14ac:dyDescent="0.3">
      <c r="A446" t="s">
        <v>458</v>
      </c>
      <c r="B446" s="2">
        <v>45560</v>
      </c>
      <c r="C446" s="2">
        <v>45568</v>
      </c>
      <c r="D446" t="s">
        <v>648</v>
      </c>
      <c r="E446" t="s">
        <v>653</v>
      </c>
      <c r="F446" t="s">
        <v>667</v>
      </c>
      <c r="G446" t="s">
        <v>704</v>
      </c>
      <c r="H446" t="s">
        <v>708</v>
      </c>
      <c r="I446" t="s">
        <v>718</v>
      </c>
      <c r="J446" t="s">
        <v>728</v>
      </c>
      <c r="K446" t="s">
        <v>1177</v>
      </c>
      <c r="L446">
        <v>558.19000000000005</v>
      </c>
      <c r="M446">
        <v>1031.6400000000001</v>
      </c>
      <c r="N446">
        <v>0</v>
      </c>
      <c r="O446">
        <v>21</v>
      </c>
    </row>
    <row r="447" spans="1:15" x14ac:dyDescent="0.3">
      <c r="A447" t="s">
        <v>459</v>
      </c>
      <c r="B447" s="2">
        <v>45090</v>
      </c>
      <c r="C447" s="2">
        <v>45101</v>
      </c>
      <c r="D447" t="s">
        <v>648</v>
      </c>
      <c r="E447" t="s">
        <v>653</v>
      </c>
      <c r="F447" t="s">
        <v>667</v>
      </c>
      <c r="G447" t="s">
        <v>701</v>
      </c>
      <c r="H447" t="s">
        <v>708</v>
      </c>
      <c r="I447" t="s">
        <v>712</v>
      </c>
      <c r="J447" t="s">
        <v>728</v>
      </c>
      <c r="K447" t="s">
        <v>1178</v>
      </c>
      <c r="L447">
        <v>247.07</v>
      </c>
      <c r="M447">
        <v>495.19</v>
      </c>
      <c r="N447">
        <v>2.8000000000000001E-2</v>
      </c>
      <c r="O447">
        <v>4</v>
      </c>
    </row>
    <row r="448" spans="1:15" x14ac:dyDescent="0.3">
      <c r="A448" t="s">
        <v>460</v>
      </c>
      <c r="B448" s="2">
        <v>45284</v>
      </c>
      <c r="C448" s="2">
        <v>45304</v>
      </c>
      <c r="D448" t="s">
        <v>647</v>
      </c>
      <c r="E448" t="s">
        <v>652</v>
      </c>
      <c r="F448" t="s">
        <v>694</v>
      </c>
      <c r="G448" t="s">
        <v>702</v>
      </c>
      <c r="H448" t="s">
        <v>711</v>
      </c>
      <c r="I448" t="s">
        <v>717</v>
      </c>
      <c r="J448" t="s">
        <v>731</v>
      </c>
      <c r="K448" t="s">
        <v>1179</v>
      </c>
      <c r="L448">
        <v>625.37</v>
      </c>
      <c r="M448">
        <v>1319.04</v>
      </c>
      <c r="N448">
        <v>7.3999999999999996E-2</v>
      </c>
      <c r="O448">
        <v>8</v>
      </c>
    </row>
    <row r="449" spans="1:15" x14ac:dyDescent="0.3">
      <c r="A449" t="s">
        <v>461</v>
      </c>
      <c r="B449" s="2">
        <v>45746</v>
      </c>
      <c r="C449" s="2">
        <v>45776</v>
      </c>
      <c r="D449" t="s">
        <v>646</v>
      </c>
      <c r="E449" t="s">
        <v>661</v>
      </c>
      <c r="F449" t="s">
        <v>687</v>
      </c>
      <c r="G449" t="s">
        <v>704</v>
      </c>
      <c r="H449" t="s">
        <v>709</v>
      </c>
      <c r="I449" t="s">
        <v>713</v>
      </c>
      <c r="J449" t="s">
        <v>732</v>
      </c>
      <c r="K449" t="s">
        <v>1180</v>
      </c>
      <c r="L449">
        <v>194.6</v>
      </c>
      <c r="M449">
        <v>314.87</v>
      </c>
      <c r="N449">
        <v>0.29299999999999998</v>
      </c>
      <c r="O449">
        <v>25</v>
      </c>
    </row>
    <row r="450" spans="1:15" x14ac:dyDescent="0.3">
      <c r="A450" t="s">
        <v>462</v>
      </c>
      <c r="B450" s="2">
        <v>45446</v>
      </c>
      <c r="C450" s="2">
        <v>45467</v>
      </c>
      <c r="D450" t="s">
        <v>648</v>
      </c>
      <c r="E450" t="s">
        <v>653</v>
      </c>
      <c r="F450" t="s">
        <v>667</v>
      </c>
      <c r="G450" t="s">
        <v>705</v>
      </c>
      <c r="H450" t="s">
        <v>711</v>
      </c>
      <c r="I450" t="s">
        <v>715</v>
      </c>
      <c r="J450" t="s">
        <v>732</v>
      </c>
      <c r="K450" t="s">
        <v>1181</v>
      </c>
      <c r="L450">
        <v>1205.5</v>
      </c>
      <c r="M450">
        <v>2210.17</v>
      </c>
      <c r="N450">
        <v>0.104</v>
      </c>
      <c r="O450">
        <v>23</v>
      </c>
    </row>
    <row r="451" spans="1:15" x14ac:dyDescent="0.3">
      <c r="A451" t="s">
        <v>463</v>
      </c>
      <c r="B451" s="2">
        <v>45454</v>
      </c>
      <c r="C451" s="2">
        <v>45482</v>
      </c>
      <c r="D451" t="s">
        <v>646</v>
      </c>
      <c r="E451" t="s">
        <v>651</v>
      </c>
      <c r="F451" t="s">
        <v>663</v>
      </c>
      <c r="G451" t="s">
        <v>701</v>
      </c>
      <c r="H451" t="s">
        <v>709</v>
      </c>
      <c r="I451" t="s">
        <v>714</v>
      </c>
      <c r="J451" t="s">
        <v>730</v>
      </c>
      <c r="K451" t="s">
        <v>1182</v>
      </c>
      <c r="L451">
        <v>895.54</v>
      </c>
      <c r="M451">
        <v>1045</v>
      </c>
      <c r="N451">
        <v>0.216</v>
      </c>
      <c r="O451">
        <v>15</v>
      </c>
    </row>
    <row r="452" spans="1:15" x14ac:dyDescent="0.3">
      <c r="A452" t="s">
        <v>464</v>
      </c>
      <c r="B452" s="2">
        <v>45129</v>
      </c>
      <c r="C452" s="2">
        <v>45128</v>
      </c>
      <c r="D452" t="s">
        <v>647</v>
      </c>
      <c r="E452" t="s">
        <v>654</v>
      </c>
      <c r="F452" t="s">
        <v>680</v>
      </c>
      <c r="G452" t="s">
        <v>705</v>
      </c>
      <c r="H452" t="s">
        <v>710</v>
      </c>
      <c r="I452" t="s">
        <v>718</v>
      </c>
      <c r="J452" t="s">
        <v>728</v>
      </c>
      <c r="K452" t="s">
        <v>1183</v>
      </c>
      <c r="L452">
        <v>946.99</v>
      </c>
      <c r="M452">
        <v>2132.19</v>
      </c>
      <c r="N452">
        <v>0.16500000000000001</v>
      </c>
      <c r="O452">
        <v>7</v>
      </c>
    </row>
    <row r="453" spans="1:15" x14ac:dyDescent="0.3">
      <c r="A453" t="s">
        <v>465</v>
      </c>
      <c r="B453" s="2">
        <v>44945</v>
      </c>
      <c r="C453" s="2">
        <v>44960</v>
      </c>
      <c r="D453" t="s">
        <v>649</v>
      </c>
      <c r="E453" t="s">
        <v>658</v>
      </c>
      <c r="F453" t="s">
        <v>683</v>
      </c>
      <c r="G453" t="s">
        <v>706</v>
      </c>
      <c r="H453" t="s">
        <v>710</v>
      </c>
      <c r="I453" t="s">
        <v>715</v>
      </c>
      <c r="J453" t="s">
        <v>733</v>
      </c>
      <c r="K453" t="s">
        <v>1184</v>
      </c>
      <c r="L453">
        <v>873.06</v>
      </c>
      <c r="M453">
        <v>2101.5500000000002</v>
      </c>
      <c r="N453">
        <v>6.6000000000000003E-2</v>
      </c>
      <c r="O453">
        <v>10</v>
      </c>
    </row>
    <row r="454" spans="1:15" x14ac:dyDescent="0.3">
      <c r="A454" t="s">
        <v>466</v>
      </c>
      <c r="B454" s="2">
        <v>45413</v>
      </c>
      <c r="C454" s="2">
        <v>45428</v>
      </c>
      <c r="D454" t="s">
        <v>647</v>
      </c>
      <c r="E454" t="s">
        <v>654</v>
      </c>
      <c r="F454" t="s">
        <v>668</v>
      </c>
      <c r="G454" t="s">
        <v>705</v>
      </c>
      <c r="H454" t="s">
        <v>707</v>
      </c>
      <c r="I454" t="s">
        <v>716</v>
      </c>
      <c r="J454" t="s">
        <v>727</v>
      </c>
      <c r="K454" t="s">
        <v>1185</v>
      </c>
      <c r="L454">
        <v>901.19</v>
      </c>
      <c r="M454">
        <v>2125.44</v>
      </c>
      <c r="N454">
        <v>7.0999999999999994E-2</v>
      </c>
      <c r="O454">
        <v>12</v>
      </c>
    </row>
    <row r="455" spans="1:15" x14ac:dyDescent="0.3">
      <c r="A455" t="s">
        <v>467</v>
      </c>
      <c r="B455" s="2">
        <v>45817</v>
      </c>
      <c r="C455" s="2">
        <v>45832</v>
      </c>
      <c r="D455" t="s">
        <v>647</v>
      </c>
      <c r="E455" t="s">
        <v>652</v>
      </c>
      <c r="F455" t="s">
        <v>694</v>
      </c>
      <c r="G455" t="s">
        <v>701</v>
      </c>
      <c r="H455" t="s">
        <v>711</v>
      </c>
      <c r="I455" t="s">
        <v>717</v>
      </c>
      <c r="J455" t="s">
        <v>730</v>
      </c>
      <c r="K455" t="s">
        <v>1186</v>
      </c>
      <c r="L455">
        <v>400.39</v>
      </c>
      <c r="M455">
        <v>712.75</v>
      </c>
      <c r="N455">
        <v>0.115</v>
      </c>
      <c r="O455">
        <v>19</v>
      </c>
    </row>
    <row r="456" spans="1:15" x14ac:dyDescent="0.3">
      <c r="A456" t="s">
        <v>468</v>
      </c>
      <c r="B456" s="2">
        <v>45070</v>
      </c>
      <c r="C456" s="2">
        <v>45098</v>
      </c>
      <c r="D456" t="s">
        <v>648</v>
      </c>
      <c r="E456" t="s">
        <v>660</v>
      </c>
      <c r="F456" t="s">
        <v>697</v>
      </c>
      <c r="G456" t="s">
        <v>705</v>
      </c>
      <c r="H456" t="s">
        <v>709</v>
      </c>
      <c r="I456" t="s">
        <v>715</v>
      </c>
      <c r="J456" t="s">
        <v>732</v>
      </c>
      <c r="K456" t="s">
        <v>1187</v>
      </c>
      <c r="L456">
        <v>813.97</v>
      </c>
      <c r="M456">
        <v>1568.83</v>
      </c>
      <c r="N456">
        <v>1.7000000000000001E-2</v>
      </c>
      <c r="O456">
        <v>15</v>
      </c>
    </row>
    <row r="457" spans="1:15" x14ac:dyDescent="0.3">
      <c r="A457" t="s">
        <v>469</v>
      </c>
      <c r="B457" s="2">
        <v>45653</v>
      </c>
      <c r="C457" s="2">
        <v>45655</v>
      </c>
      <c r="D457" t="s">
        <v>648</v>
      </c>
      <c r="E457" t="s">
        <v>653</v>
      </c>
      <c r="F457" t="s">
        <v>688</v>
      </c>
      <c r="G457" t="s">
        <v>706</v>
      </c>
      <c r="H457" t="s">
        <v>709</v>
      </c>
      <c r="I457" t="s">
        <v>712</v>
      </c>
      <c r="J457" t="s">
        <v>733</v>
      </c>
      <c r="K457" t="s">
        <v>1188</v>
      </c>
      <c r="L457">
        <v>1146.72</v>
      </c>
      <c r="M457">
        <v>2074.34</v>
      </c>
      <c r="N457">
        <v>0.111</v>
      </c>
      <c r="O457">
        <v>8</v>
      </c>
    </row>
    <row r="458" spans="1:15" x14ac:dyDescent="0.3">
      <c r="A458" t="s">
        <v>470</v>
      </c>
      <c r="B458" s="2">
        <v>45265</v>
      </c>
      <c r="C458" s="2">
        <v>45272</v>
      </c>
      <c r="D458" t="s">
        <v>648</v>
      </c>
      <c r="E458" t="s">
        <v>655</v>
      </c>
      <c r="F458" t="s">
        <v>672</v>
      </c>
      <c r="G458" t="s">
        <v>701</v>
      </c>
      <c r="H458" t="s">
        <v>711</v>
      </c>
      <c r="I458" t="s">
        <v>721</v>
      </c>
      <c r="J458" t="s">
        <v>730</v>
      </c>
      <c r="K458" t="s">
        <v>1189</v>
      </c>
      <c r="L458">
        <v>307.43</v>
      </c>
      <c r="M458">
        <v>495.19</v>
      </c>
      <c r="N458">
        <v>0</v>
      </c>
      <c r="O458">
        <v>42</v>
      </c>
    </row>
    <row r="459" spans="1:15" x14ac:dyDescent="0.3">
      <c r="A459" t="s">
        <v>471</v>
      </c>
      <c r="B459" s="2">
        <v>45048</v>
      </c>
      <c r="C459" s="2">
        <v>45065</v>
      </c>
      <c r="D459" t="s">
        <v>647</v>
      </c>
      <c r="E459" t="s">
        <v>659</v>
      </c>
      <c r="F459" t="s">
        <v>685</v>
      </c>
      <c r="G459" t="s">
        <v>703</v>
      </c>
      <c r="H459" t="s">
        <v>711</v>
      </c>
      <c r="I459" t="s">
        <v>713</v>
      </c>
      <c r="J459" t="s">
        <v>732</v>
      </c>
      <c r="K459" t="s">
        <v>1190</v>
      </c>
      <c r="L459">
        <v>714.28</v>
      </c>
      <c r="M459">
        <v>757.59</v>
      </c>
      <c r="N459">
        <v>0.13600000000000001</v>
      </c>
      <c r="O459">
        <v>12</v>
      </c>
    </row>
    <row r="460" spans="1:15" x14ac:dyDescent="0.3">
      <c r="A460" t="s">
        <v>472</v>
      </c>
      <c r="B460" s="2">
        <v>45260</v>
      </c>
      <c r="C460" s="2">
        <v>45270</v>
      </c>
      <c r="D460" t="s">
        <v>649</v>
      </c>
      <c r="E460" t="s">
        <v>656</v>
      </c>
      <c r="F460" t="s">
        <v>684</v>
      </c>
      <c r="G460" t="s">
        <v>705</v>
      </c>
      <c r="H460" t="s">
        <v>711</v>
      </c>
      <c r="I460" t="s">
        <v>721</v>
      </c>
      <c r="J460" t="s">
        <v>731</v>
      </c>
      <c r="K460" t="s">
        <v>1191</v>
      </c>
      <c r="L460">
        <v>174.74</v>
      </c>
      <c r="M460">
        <v>415.96</v>
      </c>
      <c r="N460">
        <v>0.125</v>
      </c>
      <c r="O460">
        <v>21</v>
      </c>
    </row>
    <row r="461" spans="1:15" x14ac:dyDescent="0.3">
      <c r="A461" t="s">
        <v>473</v>
      </c>
      <c r="B461" s="2">
        <v>45417</v>
      </c>
      <c r="C461" s="2">
        <v>45430</v>
      </c>
      <c r="D461" t="s">
        <v>649</v>
      </c>
      <c r="E461" t="s">
        <v>657</v>
      </c>
      <c r="F461" t="s">
        <v>673</v>
      </c>
      <c r="G461" t="s">
        <v>701</v>
      </c>
      <c r="H461" t="s">
        <v>709</v>
      </c>
      <c r="I461" t="s">
        <v>720</v>
      </c>
      <c r="J461" t="s">
        <v>727</v>
      </c>
      <c r="K461" t="s">
        <v>1192</v>
      </c>
      <c r="L461">
        <v>1264.04</v>
      </c>
      <c r="M461">
        <v>1870.89</v>
      </c>
      <c r="N461">
        <v>0</v>
      </c>
      <c r="O461">
        <v>13</v>
      </c>
    </row>
    <row r="462" spans="1:15" x14ac:dyDescent="0.3">
      <c r="A462" t="s">
        <v>474</v>
      </c>
      <c r="B462" s="2">
        <v>45116</v>
      </c>
      <c r="C462" s="2">
        <v>45126</v>
      </c>
      <c r="D462" t="s">
        <v>647</v>
      </c>
      <c r="E462" t="s">
        <v>652</v>
      </c>
      <c r="F462" t="s">
        <v>689</v>
      </c>
      <c r="G462" t="s">
        <v>706</v>
      </c>
      <c r="H462" t="s">
        <v>710</v>
      </c>
      <c r="I462" t="s">
        <v>725</v>
      </c>
      <c r="J462" t="s">
        <v>727</v>
      </c>
      <c r="K462" t="s">
        <v>1193</v>
      </c>
      <c r="L462">
        <v>141.26</v>
      </c>
      <c r="M462">
        <v>206.88</v>
      </c>
      <c r="N462">
        <v>0.107</v>
      </c>
      <c r="O462">
        <v>9</v>
      </c>
    </row>
    <row r="463" spans="1:15" x14ac:dyDescent="0.3">
      <c r="A463" t="s">
        <v>475</v>
      </c>
      <c r="B463" s="2">
        <v>45063</v>
      </c>
      <c r="C463" s="2">
        <v>45092</v>
      </c>
      <c r="D463" t="s">
        <v>646</v>
      </c>
      <c r="E463" t="s">
        <v>661</v>
      </c>
      <c r="F463" t="s">
        <v>687</v>
      </c>
      <c r="G463" t="s">
        <v>706</v>
      </c>
      <c r="H463" t="s">
        <v>707</v>
      </c>
      <c r="I463" t="s">
        <v>723</v>
      </c>
      <c r="J463" t="s">
        <v>733</v>
      </c>
      <c r="K463" t="s">
        <v>1194</v>
      </c>
      <c r="L463">
        <v>40.89</v>
      </c>
      <c r="M463">
        <v>62.82</v>
      </c>
      <c r="N463">
        <v>0.129</v>
      </c>
      <c r="O463">
        <v>17</v>
      </c>
    </row>
    <row r="464" spans="1:15" x14ac:dyDescent="0.3">
      <c r="A464" t="s">
        <v>476</v>
      </c>
      <c r="B464" s="2">
        <v>45358</v>
      </c>
      <c r="C464" s="2">
        <v>45385</v>
      </c>
      <c r="D464" t="s">
        <v>649</v>
      </c>
      <c r="E464" t="s">
        <v>656</v>
      </c>
      <c r="F464" t="s">
        <v>698</v>
      </c>
      <c r="G464" t="s">
        <v>701</v>
      </c>
      <c r="H464" t="s">
        <v>711</v>
      </c>
      <c r="I464" t="s">
        <v>724</v>
      </c>
      <c r="J464" t="s">
        <v>728</v>
      </c>
      <c r="K464" t="s">
        <v>1195</v>
      </c>
      <c r="L464">
        <v>738.16</v>
      </c>
      <c r="M464">
        <v>956.49</v>
      </c>
      <c r="N464">
        <v>0.152</v>
      </c>
      <c r="O464">
        <v>5</v>
      </c>
    </row>
    <row r="465" spans="1:15" x14ac:dyDescent="0.3">
      <c r="A465" t="s">
        <v>477</v>
      </c>
      <c r="B465" s="2">
        <v>45757</v>
      </c>
      <c r="C465" s="2">
        <v>45766</v>
      </c>
      <c r="D465" t="s">
        <v>646</v>
      </c>
      <c r="E465" t="s">
        <v>661</v>
      </c>
      <c r="F465" t="s">
        <v>687</v>
      </c>
      <c r="G465" t="s">
        <v>706</v>
      </c>
      <c r="I465" t="s">
        <v>715</v>
      </c>
      <c r="J465" t="s">
        <v>729</v>
      </c>
      <c r="K465" t="s">
        <v>1196</v>
      </c>
      <c r="L465">
        <v>113.74</v>
      </c>
      <c r="M465">
        <v>165.7</v>
      </c>
      <c r="N465">
        <v>0.124</v>
      </c>
      <c r="O465">
        <v>13</v>
      </c>
    </row>
    <row r="466" spans="1:15" x14ac:dyDescent="0.3">
      <c r="A466" t="s">
        <v>478</v>
      </c>
      <c r="B466" s="2">
        <v>45865</v>
      </c>
      <c r="C466" s="2">
        <v>45884</v>
      </c>
      <c r="D466" t="s">
        <v>647</v>
      </c>
      <c r="E466" t="s">
        <v>652</v>
      </c>
      <c r="F466" t="s">
        <v>689</v>
      </c>
      <c r="G466" t="s">
        <v>705</v>
      </c>
      <c r="H466" t="s">
        <v>709</v>
      </c>
      <c r="I466" t="s">
        <v>713</v>
      </c>
      <c r="J466" t="s">
        <v>727</v>
      </c>
      <c r="K466" t="s">
        <v>1197</v>
      </c>
      <c r="L466">
        <v>275.43</v>
      </c>
      <c r="M466">
        <v>608.36</v>
      </c>
      <c r="N466">
        <v>0.25700000000000001</v>
      </c>
      <c r="O466">
        <v>4</v>
      </c>
    </row>
    <row r="467" spans="1:15" x14ac:dyDescent="0.3">
      <c r="A467" t="s">
        <v>479</v>
      </c>
      <c r="B467" s="2">
        <v>45618</v>
      </c>
      <c r="C467" s="2">
        <v>45641</v>
      </c>
      <c r="D467" t="s">
        <v>646</v>
      </c>
      <c r="E467" t="s">
        <v>650</v>
      </c>
      <c r="F467" t="s">
        <v>675</v>
      </c>
      <c r="G467" t="s">
        <v>703</v>
      </c>
      <c r="H467" t="s">
        <v>710</v>
      </c>
      <c r="I467" t="s">
        <v>712</v>
      </c>
      <c r="J467" t="s">
        <v>727</v>
      </c>
      <c r="K467" t="s">
        <v>1198</v>
      </c>
      <c r="L467">
        <v>1335.76</v>
      </c>
      <c r="M467">
        <v>2665.91</v>
      </c>
      <c r="N467">
        <v>0.21099999999999999</v>
      </c>
      <c r="O467">
        <v>40</v>
      </c>
    </row>
    <row r="468" spans="1:15" x14ac:dyDescent="0.3">
      <c r="A468" t="s">
        <v>480</v>
      </c>
      <c r="B468" s="2">
        <v>45466</v>
      </c>
      <c r="C468" s="2">
        <v>45471</v>
      </c>
      <c r="D468" t="s">
        <v>646</v>
      </c>
      <c r="E468" t="s">
        <v>651</v>
      </c>
      <c r="F468" t="s">
        <v>663</v>
      </c>
      <c r="G468" t="s">
        <v>703</v>
      </c>
      <c r="H468" t="s">
        <v>711</v>
      </c>
      <c r="I468" t="s">
        <v>724</v>
      </c>
      <c r="J468" t="s">
        <v>733</v>
      </c>
      <c r="K468" t="s">
        <v>1199</v>
      </c>
      <c r="L468">
        <v>242.31</v>
      </c>
      <c r="M468">
        <v>587.95000000000005</v>
      </c>
      <c r="N468">
        <v>0.22900000000000001</v>
      </c>
      <c r="O468">
        <v>6</v>
      </c>
    </row>
    <row r="469" spans="1:15" x14ac:dyDescent="0.3">
      <c r="A469" t="s">
        <v>481</v>
      </c>
      <c r="B469" s="2">
        <v>45278</v>
      </c>
      <c r="C469" s="2">
        <v>45305</v>
      </c>
      <c r="D469" t="s">
        <v>647</v>
      </c>
      <c r="E469" t="s">
        <v>654</v>
      </c>
      <c r="F469" t="s">
        <v>691</v>
      </c>
      <c r="G469" t="s">
        <v>704</v>
      </c>
      <c r="H469" t="s">
        <v>710</v>
      </c>
      <c r="I469" t="s">
        <v>726</v>
      </c>
      <c r="J469" t="s">
        <v>729</v>
      </c>
      <c r="K469" t="s">
        <v>1200</v>
      </c>
      <c r="L469">
        <v>1408.3</v>
      </c>
      <c r="M469">
        <v>2193.13</v>
      </c>
      <c r="N469">
        <v>7.0999999999999994E-2</v>
      </c>
      <c r="O469">
        <v>7</v>
      </c>
    </row>
    <row r="470" spans="1:15" x14ac:dyDescent="0.3">
      <c r="A470" t="s">
        <v>482</v>
      </c>
      <c r="B470" s="2">
        <v>45809</v>
      </c>
      <c r="C470" s="2">
        <v>45813</v>
      </c>
      <c r="D470" t="s">
        <v>649</v>
      </c>
      <c r="E470" t="s">
        <v>656</v>
      </c>
      <c r="F470" t="s">
        <v>684</v>
      </c>
      <c r="G470" t="s">
        <v>706</v>
      </c>
      <c r="H470" t="s">
        <v>711</v>
      </c>
      <c r="I470" t="s">
        <v>724</v>
      </c>
      <c r="J470" t="s">
        <v>727</v>
      </c>
      <c r="K470" t="s">
        <v>1201</v>
      </c>
      <c r="L470">
        <v>1171.42</v>
      </c>
      <c r="M470">
        <v>2187.8000000000002</v>
      </c>
      <c r="N470">
        <v>0.23</v>
      </c>
      <c r="O470">
        <v>15</v>
      </c>
    </row>
    <row r="471" spans="1:15" x14ac:dyDescent="0.3">
      <c r="A471" t="s">
        <v>483</v>
      </c>
      <c r="B471" s="2">
        <v>45739</v>
      </c>
      <c r="C471" s="2">
        <v>45749</v>
      </c>
      <c r="D471" t="s">
        <v>649</v>
      </c>
      <c r="E471" t="s">
        <v>656</v>
      </c>
      <c r="F471" t="s">
        <v>671</v>
      </c>
      <c r="G471" t="s">
        <v>706</v>
      </c>
      <c r="H471" t="s">
        <v>708</v>
      </c>
      <c r="I471" t="s">
        <v>718</v>
      </c>
      <c r="J471" t="s">
        <v>728</v>
      </c>
      <c r="K471" t="s">
        <v>1202</v>
      </c>
      <c r="L471">
        <v>663.61</v>
      </c>
      <c r="M471">
        <v>1002.11</v>
      </c>
      <c r="N471">
        <v>4.5999999999999999E-2</v>
      </c>
      <c r="O471">
        <v>17</v>
      </c>
    </row>
    <row r="472" spans="1:15" x14ac:dyDescent="0.3">
      <c r="A472" t="s">
        <v>484</v>
      </c>
      <c r="B472" s="2">
        <v>45060</v>
      </c>
      <c r="C472" s="2">
        <v>45068</v>
      </c>
      <c r="D472" t="s">
        <v>646</v>
      </c>
      <c r="E472" t="s">
        <v>650</v>
      </c>
      <c r="F472" t="s">
        <v>675</v>
      </c>
      <c r="G472" t="s">
        <v>705</v>
      </c>
      <c r="H472" t="s">
        <v>710</v>
      </c>
      <c r="I472" t="s">
        <v>721</v>
      </c>
      <c r="J472" t="s">
        <v>728</v>
      </c>
      <c r="K472" t="s">
        <v>1203</v>
      </c>
      <c r="L472">
        <v>432.01</v>
      </c>
      <c r="M472">
        <v>913.78</v>
      </c>
      <c r="N472">
        <v>4.9000000000000002E-2</v>
      </c>
      <c r="O472">
        <v>12</v>
      </c>
    </row>
    <row r="473" spans="1:15" x14ac:dyDescent="0.3">
      <c r="A473" t="s">
        <v>485</v>
      </c>
      <c r="B473" s="2">
        <v>45167</v>
      </c>
      <c r="C473" s="2">
        <v>45188</v>
      </c>
      <c r="D473" t="s">
        <v>649</v>
      </c>
      <c r="E473" t="s">
        <v>657</v>
      </c>
      <c r="F473" t="s">
        <v>679</v>
      </c>
      <c r="G473" t="s">
        <v>705</v>
      </c>
      <c r="H473" t="s">
        <v>711</v>
      </c>
      <c r="I473" t="s">
        <v>717</v>
      </c>
      <c r="J473" t="s">
        <v>728</v>
      </c>
      <c r="K473" t="s">
        <v>1204</v>
      </c>
      <c r="L473">
        <v>784.46</v>
      </c>
      <c r="M473">
        <v>1843.51</v>
      </c>
      <c r="N473">
        <v>0.13800000000000001</v>
      </c>
      <c r="O473">
        <v>23</v>
      </c>
    </row>
    <row r="474" spans="1:15" x14ac:dyDescent="0.3">
      <c r="A474" t="s">
        <v>486</v>
      </c>
      <c r="B474" s="2">
        <v>45841</v>
      </c>
      <c r="C474" s="2">
        <v>45861</v>
      </c>
      <c r="D474" t="s">
        <v>647</v>
      </c>
      <c r="E474" t="s">
        <v>659</v>
      </c>
      <c r="F474" t="s">
        <v>699</v>
      </c>
      <c r="G474" t="s">
        <v>705</v>
      </c>
      <c r="H474" t="s">
        <v>708</v>
      </c>
      <c r="I474" t="s">
        <v>724</v>
      </c>
      <c r="J474" t="s">
        <v>727</v>
      </c>
      <c r="K474" t="s">
        <v>1205</v>
      </c>
      <c r="L474">
        <v>647.36</v>
      </c>
      <c r="M474">
        <v>1383.6</v>
      </c>
      <c r="N474">
        <v>7.3999999999999996E-2</v>
      </c>
      <c r="O474">
        <v>12</v>
      </c>
    </row>
    <row r="475" spans="1:15" x14ac:dyDescent="0.3">
      <c r="A475" t="s">
        <v>487</v>
      </c>
      <c r="B475" s="2">
        <v>45328</v>
      </c>
      <c r="C475" s="2">
        <v>45350</v>
      </c>
      <c r="D475" t="s">
        <v>646</v>
      </c>
      <c r="E475" t="s">
        <v>650</v>
      </c>
      <c r="F475" t="s">
        <v>662</v>
      </c>
      <c r="G475" t="s">
        <v>703</v>
      </c>
      <c r="H475" t="s">
        <v>708</v>
      </c>
      <c r="I475" t="s">
        <v>723</v>
      </c>
      <c r="J475" t="s">
        <v>732</v>
      </c>
      <c r="K475" t="s">
        <v>1206</v>
      </c>
      <c r="L475">
        <v>834.93</v>
      </c>
      <c r="M475">
        <v>1588.53</v>
      </c>
      <c r="N475">
        <v>0.126</v>
      </c>
      <c r="O475">
        <v>6</v>
      </c>
    </row>
    <row r="476" spans="1:15" x14ac:dyDescent="0.3">
      <c r="A476" t="s">
        <v>488</v>
      </c>
      <c r="B476" s="2">
        <v>45882</v>
      </c>
      <c r="C476" s="2">
        <v>45903</v>
      </c>
      <c r="D476" t="s">
        <v>649</v>
      </c>
      <c r="E476" t="s">
        <v>657</v>
      </c>
      <c r="F476" t="s">
        <v>690</v>
      </c>
      <c r="G476" t="s">
        <v>702</v>
      </c>
      <c r="H476" t="s">
        <v>707</v>
      </c>
      <c r="I476" t="s">
        <v>714</v>
      </c>
      <c r="J476" t="s">
        <v>730</v>
      </c>
      <c r="K476" t="s">
        <v>1207</v>
      </c>
      <c r="L476">
        <v>603.47</v>
      </c>
      <c r="M476">
        <v>1344.05</v>
      </c>
      <c r="N476">
        <v>0.20499999999999999</v>
      </c>
      <c r="O476">
        <v>18</v>
      </c>
    </row>
    <row r="477" spans="1:15" x14ac:dyDescent="0.3">
      <c r="A477" t="s">
        <v>489</v>
      </c>
      <c r="B477" s="2">
        <v>45069</v>
      </c>
      <c r="C477" s="2">
        <v>45071</v>
      </c>
      <c r="D477" t="s">
        <v>648</v>
      </c>
      <c r="E477" t="s">
        <v>655</v>
      </c>
      <c r="F477" t="s">
        <v>692</v>
      </c>
      <c r="G477" t="s">
        <v>706</v>
      </c>
      <c r="H477" t="s">
        <v>707</v>
      </c>
      <c r="I477" t="s">
        <v>724</v>
      </c>
      <c r="J477" t="s">
        <v>728</v>
      </c>
      <c r="K477" t="s">
        <v>1208</v>
      </c>
      <c r="L477">
        <v>690.49</v>
      </c>
      <c r="M477">
        <v>1290.29</v>
      </c>
      <c r="N477">
        <v>4.2000000000000003E-2</v>
      </c>
      <c r="O477">
        <v>22</v>
      </c>
    </row>
    <row r="478" spans="1:15" x14ac:dyDescent="0.3">
      <c r="A478" t="s">
        <v>490</v>
      </c>
      <c r="B478" s="2">
        <v>45422</v>
      </c>
      <c r="C478" s="2">
        <v>45428</v>
      </c>
      <c r="D478" t="s">
        <v>649</v>
      </c>
      <c r="E478" t="s">
        <v>658</v>
      </c>
      <c r="F478" t="s">
        <v>674</v>
      </c>
      <c r="G478" t="s">
        <v>703</v>
      </c>
      <c r="H478" t="s">
        <v>711</v>
      </c>
      <c r="I478" t="s">
        <v>715</v>
      </c>
      <c r="J478" t="s">
        <v>731</v>
      </c>
      <c r="K478" t="s">
        <v>1209</v>
      </c>
      <c r="L478">
        <v>210.76</v>
      </c>
      <c r="M478">
        <v>221.58</v>
      </c>
      <c r="N478">
        <v>8.8999999999999996E-2</v>
      </c>
      <c r="O478">
        <v>5</v>
      </c>
    </row>
    <row r="479" spans="1:15" x14ac:dyDescent="0.3">
      <c r="A479" t="s">
        <v>491</v>
      </c>
      <c r="B479" s="2">
        <v>44999</v>
      </c>
      <c r="C479" s="2">
        <v>45003</v>
      </c>
      <c r="D479" t="s">
        <v>649</v>
      </c>
      <c r="E479" t="s">
        <v>656</v>
      </c>
      <c r="F479" t="s">
        <v>698</v>
      </c>
      <c r="G479" t="s">
        <v>706</v>
      </c>
      <c r="H479" t="s">
        <v>711</v>
      </c>
      <c r="I479" t="s">
        <v>720</v>
      </c>
      <c r="J479" t="s">
        <v>727</v>
      </c>
      <c r="K479" t="s">
        <v>1210</v>
      </c>
      <c r="L479">
        <v>472.33</v>
      </c>
      <c r="M479">
        <v>360.34</v>
      </c>
      <c r="N479">
        <v>0.16500000000000001</v>
      </c>
      <c r="O479">
        <v>14</v>
      </c>
    </row>
    <row r="480" spans="1:15" x14ac:dyDescent="0.3">
      <c r="A480" t="s">
        <v>492</v>
      </c>
      <c r="B480" s="2">
        <v>45123</v>
      </c>
      <c r="C480" s="2">
        <v>45151</v>
      </c>
      <c r="D480" t="s">
        <v>649</v>
      </c>
      <c r="E480" t="s">
        <v>658</v>
      </c>
      <c r="F480" t="s">
        <v>693</v>
      </c>
      <c r="G480" t="s">
        <v>703</v>
      </c>
      <c r="H480" t="s">
        <v>708</v>
      </c>
      <c r="I480" t="s">
        <v>713</v>
      </c>
      <c r="J480" t="s">
        <v>731</v>
      </c>
      <c r="K480" t="s">
        <v>1211</v>
      </c>
      <c r="L480">
        <v>1039.03</v>
      </c>
      <c r="M480">
        <v>2545.81</v>
      </c>
      <c r="N480">
        <v>0.216</v>
      </c>
      <c r="O480">
        <v>21</v>
      </c>
    </row>
    <row r="481" spans="1:15" x14ac:dyDescent="0.3">
      <c r="A481" t="s">
        <v>493</v>
      </c>
      <c r="B481" s="2">
        <v>45032</v>
      </c>
      <c r="C481" s="2">
        <v>45035</v>
      </c>
      <c r="D481" t="s">
        <v>649</v>
      </c>
      <c r="E481" t="s">
        <v>656</v>
      </c>
      <c r="F481" t="s">
        <v>684</v>
      </c>
      <c r="G481" t="s">
        <v>701</v>
      </c>
      <c r="H481" t="s">
        <v>711</v>
      </c>
      <c r="I481" t="s">
        <v>717</v>
      </c>
      <c r="J481" t="s">
        <v>733</v>
      </c>
      <c r="K481" t="s">
        <v>1212</v>
      </c>
      <c r="L481">
        <v>553.61</v>
      </c>
      <c r="M481">
        <v>699.47</v>
      </c>
      <c r="N481">
        <v>0.02</v>
      </c>
      <c r="O481">
        <v>33</v>
      </c>
    </row>
    <row r="482" spans="1:15" x14ac:dyDescent="0.3">
      <c r="A482" t="s">
        <v>494</v>
      </c>
      <c r="B482" s="2">
        <v>45293</v>
      </c>
      <c r="C482" s="2">
        <v>45306</v>
      </c>
      <c r="D482" t="s">
        <v>647</v>
      </c>
      <c r="E482" t="s">
        <v>652</v>
      </c>
      <c r="F482" t="s">
        <v>694</v>
      </c>
      <c r="G482" t="s">
        <v>705</v>
      </c>
      <c r="H482" t="s">
        <v>709</v>
      </c>
      <c r="I482" t="s">
        <v>715</v>
      </c>
      <c r="J482" t="s">
        <v>729</v>
      </c>
      <c r="K482" t="s">
        <v>1213</v>
      </c>
      <c r="L482">
        <v>1219.06</v>
      </c>
      <c r="M482">
        <v>2738.69</v>
      </c>
      <c r="N482">
        <v>7.5999999999999998E-2</v>
      </c>
      <c r="O482">
        <v>16</v>
      </c>
    </row>
    <row r="483" spans="1:15" x14ac:dyDescent="0.3">
      <c r="A483" t="s">
        <v>495</v>
      </c>
      <c r="B483" s="2">
        <v>45538</v>
      </c>
      <c r="C483" s="2">
        <v>45542</v>
      </c>
      <c r="D483" t="s">
        <v>647</v>
      </c>
      <c r="E483" t="s">
        <v>652</v>
      </c>
      <c r="F483" t="s">
        <v>689</v>
      </c>
      <c r="G483" t="s">
        <v>705</v>
      </c>
      <c r="H483" t="s">
        <v>710</v>
      </c>
      <c r="I483" t="s">
        <v>725</v>
      </c>
      <c r="J483" t="s">
        <v>728</v>
      </c>
      <c r="K483" t="s">
        <v>1214</v>
      </c>
      <c r="L483">
        <v>43.23</v>
      </c>
      <c r="M483">
        <v>94.78</v>
      </c>
      <c r="N483">
        <v>9.0999999999999998E-2</v>
      </c>
      <c r="O483">
        <v>55</v>
      </c>
    </row>
    <row r="484" spans="1:15" x14ac:dyDescent="0.3">
      <c r="A484" t="s">
        <v>496</v>
      </c>
      <c r="B484" s="2">
        <v>45899</v>
      </c>
      <c r="C484" s="2">
        <v>45903</v>
      </c>
      <c r="D484" t="s">
        <v>649</v>
      </c>
      <c r="E484" t="s">
        <v>657</v>
      </c>
      <c r="F484" t="s">
        <v>673</v>
      </c>
      <c r="G484" t="s">
        <v>705</v>
      </c>
      <c r="H484" t="s">
        <v>709</v>
      </c>
      <c r="I484" t="s">
        <v>713</v>
      </c>
      <c r="J484" t="s">
        <v>731</v>
      </c>
      <c r="K484" t="s">
        <v>1215</v>
      </c>
      <c r="L484">
        <v>1286.56</v>
      </c>
      <c r="M484">
        <v>2777.35</v>
      </c>
      <c r="N484">
        <v>0.13200000000000001</v>
      </c>
      <c r="O484">
        <v>15</v>
      </c>
    </row>
    <row r="485" spans="1:15" x14ac:dyDescent="0.3">
      <c r="A485" t="s">
        <v>497</v>
      </c>
      <c r="B485" s="2">
        <v>45775</v>
      </c>
      <c r="C485" s="2">
        <v>45796</v>
      </c>
      <c r="D485" t="s">
        <v>649</v>
      </c>
      <c r="E485" t="s">
        <v>656</v>
      </c>
      <c r="F485" t="s">
        <v>671</v>
      </c>
      <c r="G485" t="s">
        <v>701</v>
      </c>
      <c r="H485" t="s">
        <v>710</v>
      </c>
      <c r="I485" t="s">
        <v>717</v>
      </c>
      <c r="J485" t="s">
        <v>730</v>
      </c>
      <c r="K485" t="s">
        <v>1216</v>
      </c>
      <c r="L485">
        <v>350.76</v>
      </c>
      <c r="M485">
        <v>492.18</v>
      </c>
      <c r="N485">
        <v>5.2999999999999999E-2</v>
      </c>
      <c r="O485">
        <v>11</v>
      </c>
    </row>
    <row r="486" spans="1:15" x14ac:dyDescent="0.3">
      <c r="A486" t="s">
        <v>498</v>
      </c>
      <c r="B486" s="2">
        <v>45148</v>
      </c>
      <c r="C486" s="2">
        <v>45153</v>
      </c>
      <c r="D486" t="s">
        <v>648</v>
      </c>
      <c r="E486" t="s">
        <v>655</v>
      </c>
      <c r="F486" t="s">
        <v>670</v>
      </c>
      <c r="G486" t="s">
        <v>702</v>
      </c>
      <c r="H486" t="s">
        <v>711</v>
      </c>
      <c r="I486" t="s">
        <v>715</v>
      </c>
      <c r="J486" t="s">
        <v>729</v>
      </c>
      <c r="K486" t="s">
        <v>1217</v>
      </c>
      <c r="L486">
        <v>1307.52</v>
      </c>
      <c r="M486">
        <v>1921.65</v>
      </c>
      <c r="N486">
        <v>0.123</v>
      </c>
      <c r="O486">
        <v>13</v>
      </c>
    </row>
    <row r="487" spans="1:15" x14ac:dyDescent="0.3">
      <c r="A487" t="s">
        <v>499</v>
      </c>
      <c r="B487" s="2">
        <v>45634</v>
      </c>
      <c r="C487" s="2">
        <v>45634</v>
      </c>
      <c r="D487" t="s">
        <v>649</v>
      </c>
      <c r="E487" t="s">
        <v>657</v>
      </c>
      <c r="F487" t="s">
        <v>679</v>
      </c>
      <c r="G487" t="s">
        <v>706</v>
      </c>
      <c r="H487" t="s">
        <v>707</v>
      </c>
      <c r="I487" t="s">
        <v>722</v>
      </c>
      <c r="J487" t="s">
        <v>727</v>
      </c>
      <c r="K487" t="s">
        <v>1218</v>
      </c>
      <c r="L487">
        <v>257.44</v>
      </c>
      <c r="M487">
        <v>290.33</v>
      </c>
      <c r="N487">
        <v>9.1999999999999998E-2</v>
      </c>
      <c r="O487">
        <v>23</v>
      </c>
    </row>
    <row r="488" spans="1:15" x14ac:dyDescent="0.3">
      <c r="A488" t="s">
        <v>500</v>
      </c>
      <c r="B488" s="2">
        <v>45224</v>
      </c>
      <c r="C488" s="2">
        <v>45254</v>
      </c>
      <c r="D488" t="s">
        <v>649</v>
      </c>
      <c r="E488" t="s">
        <v>657</v>
      </c>
      <c r="F488" t="s">
        <v>690</v>
      </c>
      <c r="G488" t="s">
        <v>706</v>
      </c>
      <c r="H488" t="s">
        <v>710</v>
      </c>
      <c r="I488" t="s">
        <v>712</v>
      </c>
      <c r="J488" t="s">
        <v>730</v>
      </c>
      <c r="K488" t="s">
        <v>1219</v>
      </c>
      <c r="L488">
        <v>287.85000000000002</v>
      </c>
      <c r="M488">
        <v>602.91999999999996</v>
      </c>
      <c r="N488">
        <v>0.222</v>
      </c>
      <c r="O488">
        <v>11</v>
      </c>
    </row>
    <row r="489" spans="1:15" x14ac:dyDescent="0.3">
      <c r="A489" t="s">
        <v>501</v>
      </c>
      <c r="B489" s="2">
        <v>45613</v>
      </c>
      <c r="C489" s="2">
        <v>45624</v>
      </c>
      <c r="D489" t="s">
        <v>648</v>
      </c>
      <c r="E489" t="s">
        <v>653</v>
      </c>
      <c r="G489" t="s">
        <v>704</v>
      </c>
      <c r="H489" t="s">
        <v>710</v>
      </c>
      <c r="I489" t="s">
        <v>720</v>
      </c>
      <c r="J489" t="s">
        <v>728</v>
      </c>
      <c r="K489" t="s">
        <v>1220</v>
      </c>
      <c r="L489">
        <v>1008.16</v>
      </c>
      <c r="M489">
        <v>2077.5</v>
      </c>
      <c r="N489">
        <v>7.3999999999999996E-2</v>
      </c>
      <c r="O489">
        <v>15</v>
      </c>
    </row>
    <row r="490" spans="1:15" x14ac:dyDescent="0.3">
      <c r="A490" t="s">
        <v>502</v>
      </c>
      <c r="B490" s="2">
        <v>45424</v>
      </c>
      <c r="C490" s="2">
        <v>45436</v>
      </c>
      <c r="D490" t="s">
        <v>649</v>
      </c>
      <c r="E490" t="s">
        <v>658</v>
      </c>
      <c r="F490" t="s">
        <v>693</v>
      </c>
      <c r="G490" t="s">
        <v>702</v>
      </c>
      <c r="H490" t="s">
        <v>709</v>
      </c>
      <c r="I490" t="s">
        <v>723</v>
      </c>
      <c r="J490" t="s">
        <v>728</v>
      </c>
      <c r="K490" t="s">
        <v>1221</v>
      </c>
      <c r="L490">
        <v>111.02</v>
      </c>
      <c r="M490">
        <v>172.88</v>
      </c>
      <c r="N490">
        <v>0.19700000000000001</v>
      </c>
      <c r="O490">
        <v>29</v>
      </c>
    </row>
    <row r="491" spans="1:15" x14ac:dyDescent="0.3">
      <c r="A491" t="s">
        <v>503</v>
      </c>
      <c r="B491" s="2">
        <v>45792</v>
      </c>
      <c r="C491" s="2">
        <v>45813</v>
      </c>
      <c r="D491" t="s">
        <v>647</v>
      </c>
      <c r="E491" t="s">
        <v>652</v>
      </c>
      <c r="F491" t="s">
        <v>666</v>
      </c>
      <c r="G491" t="s">
        <v>706</v>
      </c>
      <c r="H491" t="s">
        <v>711</v>
      </c>
      <c r="I491" t="s">
        <v>722</v>
      </c>
      <c r="J491" t="s">
        <v>730</v>
      </c>
      <c r="K491" t="s">
        <v>1222</v>
      </c>
      <c r="L491">
        <v>1466.5</v>
      </c>
      <c r="M491">
        <v>2778.74</v>
      </c>
      <c r="N491">
        <v>0.13500000000000001</v>
      </c>
      <c r="O491">
        <v>4</v>
      </c>
    </row>
    <row r="492" spans="1:15" x14ac:dyDescent="0.3">
      <c r="A492" t="s">
        <v>504</v>
      </c>
      <c r="B492" s="2">
        <v>45403</v>
      </c>
      <c r="C492" s="2">
        <v>45431</v>
      </c>
      <c r="D492" t="s">
        <v>646</v>
      </c>
      <c r="E492" t="s">
        <v>651</v>
      </c>
      <c r="F492" t="s">
        <v>665</v>
      </c>
      <c r="G492" t="s">
        <v>701</v>
      </c>
      <c r="H492" t="s">
        <v>710</v>
      </c>
      <c r="I492" t="s">
        <v>720</v>
      </c>
      <c r="J492" t="s">
        <v>733</v>
      </c>
      <c r="K492" t="s">
        <v>1223</v>
      </c>
      <c r="L492">
        <v>187.22</v>
      </c>
      <c r="M492">
        <v>309.47000000000003</v>
      </c>
      <c r="N492">
        <v>0</v>
      </c>
      <c r="O492">
        <v>5</v>
      </c>
    </row>
    <row r="493" spans="1:15" x14ac:dyDescent="0.3">
      <c r="A493" t="s">
        <v>505</v>
      </c>
      <c r="B493" s="2">
        <v>45523</v>
      </c>
      <c r="C493" s="2">
        <v>45542</v>
      </c>
      <c r="D493" t="s">
        <v>649</v>
      </c>
      <c r="E493" t="s">
        <v>657</v>
      </c>
      <c r="F493" t="s">
        <v>679</v>
      </c>
      <c r="G493" t="s">
        <v>701</v>
      </c>
      <c r="H493" t="s">
        <v>711</v>
      </c>
      <c r="I493" t="s">
        <v>713</v>
      </c>
      <c r="J493" t="s">
        <v>727</v>
      </c>
      <c r="K493" t="s">
        <v>1224</v>
      </c>
      <c r="L493">
        <v>297.58999999999997</v>
      </c>
      <c r="M493">
        <v>666.41</v>
      </c>
      <c r="N493">
        <v>0</v>
      </c>
      <c r="O493">
        <v>10</v>
      </c>
    </row>
    <row r="494" spans="1:15" x14ac:dyDescent="0.3">
      <c r="A494" t="s">
        <v>506</v>
      </c>
      <c r="B494" s="2">
        <v>45861</v>
      </c>
      <c r="C494" s="2">
        <v>45888</v>
      </c>
      <c r="D494" t="s">
        <v>647</v>
      </c>
      <c r="E494" t="s">
        <v>652</v>
      </c>
      <c r="F494" t="s">
        <v>694</v>
      </c>
      <c r="G494" t="s">
        <v>704</v>
      </c>
      <c r="H494" t="s">
        <v>709</v>
      </c>
      <c r="I494" t="s">
        <v>717</v>
      </c>
      <c r="J494" t="s">
        <v>733</v>
      </c>
      <c r="K494" t="s">
        <v>1225</v>
      </c>
      <c r="L494">
        <v>896.09</v>
      </c>
      <c r="M494">
        <v>744.27</v>
      </c>
      <c r="N494">
        <v>8.3000000000000004E-2</v>
      </c>
      <c r="O494">
        <v>11</v>
      </c>
    </row>
    <row r="495" spans="1:15" x14ac:dyDescent="0.3">
      <c r="A495" t="s">
        <v>507</v>
      </c>
      <c r="B495" s="2">
        <v>45352</v>
      </c>
      <c r="C495" s="2">
        <v>45351</v>
      </c>
      <c r="D495" t="s">
        <v>648</v>
      </c>
      <c r="E495" t="s">
        <v>655</v>
      </c>
      <c r="F495" t="s">
        <v>670</v>
      </c>
      <c r="G495" t="s">
        <v>703</v>
      </c>
      <c r="H495" t="s">
        <v>711</v>
      </c>
      <c r="I495" t="s">
        <v>714</v>
      </c>
      <c r="J495" t="s">
        <v>730</v>
      </c>
      <c r="K495" t="s">
        <v>1226</v>
      </c>
      <c r="L495">
        <v>5.34</v>
      </c>
      <c r="M495">
        <v>12.69</v>
      </c>
      <c r="N495">
        <v>0.13200000000000001</v>
      </c>
      <c r="O495">
        <v>10</v>
      </c>
    </row>
    <row r="496" spans="1:15" x14ac:dyDescent="0.3">
      <c r="A496" t="s">
        <v>508</v>
      </c>
      <c r="B496" s="2">
        <v>45439</v>
      </c>
      <c r="C496" s="2">
        <v>45460</v>
      </c>
      <c r="D496" t="s">
        <v>647</v>
      </c>
      <c r="E496" t="s">
        <v>654</v>
      </c>
      <c r="F496" t="s">
        <v>680</v>
      </c>
      <c r="G496" t="s">
        <v>705</v>
      </c>
      <c r="H496" t="s">
        <v>708</v>
      </c>
      <c r="I496" t="s">
        <v>722</v>
      </c>
      <c r="J496" t="s">
        <v>733</v>
      </c>
      <c r="K496" t="s">
        <v>1227</v>
      </c>
      <c r="L496">
        <v>465.02</v>
      </c>
      <c r="M496">
        <v>651.55999999999995</v>
      </c>
      <c r="N496">
        <v>4.2000000000000003E-2</v>
      </c>
      <c r="O496">
        <v>19</v>
      </c>
    </row>
    <row r="497" spans="1:15" x14ac:dyDescent="0.3">
      <c r="A497" t="s">
        <v>509</v>
      </c>
      <c r="B497" s="2">
        <v>45508</v>
      </c>
      <c r="C497" s="2">
        <v>45521</v>
      </c>
      <c r="D497" t="s">
        <v>648</v>
      </c>
      <c r="E497" t="s">
        <v>660</v>
      </c>
      <c r="F497" t="s">
        <v>697</v>
      </c>
      <c r="G497" t="s">
        <v>704</v>
      </c>
      <c r="H497" t="s">
        <v>707</v>
      </c>
      <c r="I497" t="s">
        <v>726</v>
      </c>
      <c r="J497" t="s">
        <v>732</v>
      </c>
      <c r="K497" t="s">
        <v>1228</v>
      </c>
      <c r="L497">
        <v>352.79</v>
      </c>
      <c r="M497">
        <v>754.22</v>
      </c>
      <c r="N497">
        <v>0.113</v>
      </c>
      <c r="O497">
        <v>7</v>
      </c>
    </row>
    <row r="498" spans="1:15" x14ac:dyDescent="0.3">
      <c r="A498" t="s">
        <v>510</v>
      </c>
      <c r="B498" s="2">
        <v>45097</v>
      </c>
      <c r="C498" s="2">
        <v>45111</v>
      </c>
      <c r="D498" t="s">
        <v>648</v>
      </c>
      <c r="E498" t="s">
        <v>655</v>
      </c>
      <c r="F498" t="s">
        <v>672</v>
      </c>
      <c r="G498" t="s">
        <v>703</v>
      </c>
      <c r="H498" t="s">
        <v>711</v>
      </c>
      <c r="I498" t="s">
        <v>712</v>
      </c>
      <c r="J498" t="s">
        <v>729</v>
      </c>
      <c r="K498" t="s">
        <v>1229</v>
      </c>
      <c r="L498">
        <v>1292.8599999999999</v>
      </c>
      <c r="M498">
        <v>2981.01</v>
      </c>
      <c r="N498">
        <v>0.14199999999999999</v>
      </c>
      <c r="O498">
        <v>12</v>
      </c>
    </row>
    <row r="499" spans="1:15" x14ac:dyDescent="0.3">
      <c r="A499" t="s">
        <v>511</v>
      </c>
      <c r="B499" s="2">
        <v>45544</v>
      </c>
      <c r="C499" s="2">
        <v>45548</v>
      </c>
      <c r="D499" t="s">
        <v>649</v>
      </c>
      <c r="E499" t="s">
        <v>658</v>
      </c>
      <c r="F499" t="s">
        <v>683</v>
      </c>
      <c r="G499" t="s">
        <v>704</v>
      </c>
      <c r="H499" t="s">
        <v>709</v>
      </c>
      <c r="I499" t="s">
        <v>721</v>
      </c>
      <c r="J499" t="s">
        <v>729</v>
      </c>
      <c r="K499" t="s">
        <v>1230</v>
      </c>
      <c r="L499">
        <v>1133.08</v>
      </c>
      <c r="M499">
        <v>976.17</v>
      </c>
      <c r="N499">
        <v>4.2000000000000003E-2</v>
      </c>
      <c r="O499">
        <v>27</v>
      </c>
    </row>
    <row r="500" spans="1:15" x14ac:dyDescent="0.3">
      <c r="A500" t="s">
        <v>512</v>
      </c>
      <c r="B500" s="2">
        <v>45224</v>
      </c>
      <c r="C500" s="2">
        <v>45227</v>
      </c>
      <c r="D500" t="s">
        <v>648</v>
      </c>
      <c r="E500" t="s">
        <v>655</v>
      </c>
      <c r="F500" t="s">
        <v>672</v>
      </c>
      <c r="G500" t="s">
        <v>701</v>
      </c>
      <c r="H500" t="s">
        <v>710</v>
      </c>
      <c r="I500" t="s">
        <v>716</v>
      </c>
      <c r="J500" t="s">
        <v>733</v>
      </c>
      <c r="K500" t="s">
        <v>1231</v>
      </c>
      <c r="L500">
        <v>509.31</v>
      </c>
      <c r="M500">
        <v>1145.9000000000001</v>
      </c>
      <c r="N500">
        <v>5.7000000000000002E-2</v>
      </c>
      <c r="O500">
        <v>8</v>
      </c>
    </row>
    <row r="501" spans="1:15" x14ac:dyDescent="0.3">
      <c r="A501" t="s">
        <v>513</v>
      </c>
      <c r="B501" s="2">
        <v>45908</v>
      </c>
      <c r="C501" s="2">
        <v>45935</v>
      </c>
      <c r="D501" t="s">
        <v>648</v>
      </c>
      <c r="E501" t="s">
        <v>655</v>
      </c>
      <c r="F501" t="s">
        <v>692</v>
      </c>
      <c r="G501" t="s">
        <v>702</v>
      </c>
      <c r="H501" t="s">
        <v>708</v>
      </c>
      <c r="I501" t="s">
        <v>712</v>
      </c>
      <c r="J501" t="s">
        <v>732</v>
      </c>
      <c r="K501" t="s">
        <v>1232</v>
      </c>
      <c r="L501">
        <v>660.78</v>
      </c>
      <c r="M501">
        <v>1630.39</v>
      </c>
      <c r="N501">
        <v>0.218</v>
      </c>
      <c r="O501">
        <v>13</v>
      </c>
    </row>
    <row r="502" spans="1:15" x14ac:dyDescent="0.3">
      <c r="A502" t="s">
        <v>514</v>
      </c>
      <c r="B502" s="2">
        <v>45048</v>
      </c>
      <c r="C502" s="2">
        <v>45062</v>
      </c>
      <c r="D502" t="s">
        <v>647</v>
      </c>
      <c r="E502" t="s">
        <v>654</v>
      </c>
      <c r="F502" t="s">
        <v>668</v>
      </c>
      <c r="G502" t="s">
        <v>703</v>
      </c>
      <c r="H502" t="s">
        <v>707</v>
      </c>
      <c r="I502" t="s">
        <v>716</v>
      </c>
      <c r="J502" t="s">
        <v>732</v>
      </c>
      <c r="K502" t="s">
        <v>1233</v>
      </c>
      <c r="L502">
        <v>475.37</v>
      </c>
      <c r="M502">
        <v>963.73</v>
      </c>
      <c r="N502">
        <v>4.1000000000000002E-2</v>
      </c>
      <c r="O502">
        <v>22</v>
      </c>
    </row>
    <row r="503" spans="1:15" x14ac:dyDescent="0.3">
      <c r="A503" t="s">
        <v>515</v>
      </c>
      <c r="B503" s="2">
        <v>45408</v>
      </c>
      <c r="C503" s="2">
        <v>45406</v>
      </c>
      <c r="D503" t="s">
        <v>649</v>
      </c>
      <c r="E503" t="s">
        <v>658</v>
      </c>
      <c r="F503" t="s">
        <v>683</v>
      </c>
      <c r="G503" t="s">
        <v>703</v>
      </c>
      <c r="H503" t="s">
        <v>710</v>
      </c>
      <c r="I503" t="s">
        <v>725</v>
      </c>
      <c r="J503" t="s">
        <v>730</v>
      </c>
      <c r="K503" t="s">
        <v>1234</v>
      </c>
      <c r="L503">
        <v>1232.77</v>
      </c>
      <c r="M503">
        <v>891.73</v>
      </c>
      <c r="N503">
        <v>0.16700000000000001</v>
      </c>
      <c r="O503">
        <v>10</v>
      </c>
    </row>
    <row r="504" spans="1:15" x14ac:dyDescent="0.3">
      <c r="A504" t="s">
        <v>516</v>
      </c>
      <c r="B504" s="2">
        <v>44980</v>
      </c>
      <c r="C504" s="2">
        <v>45003</v>
      </c>
      <c r="D504" t="s">
        <v>647</v>
      </c>
      <c r="E504" t="s">
        <v>659</v>
      </c>
      <c r="F504" t="s">
        <v>699</v>
      </c>
      <c r="G504" t="s">
        <v>702</v>
      </c>
      <c r="H504" t="s">
        <v>710</v>
      </c>
      <c r="I504" t="s">
        <v>723</v>
      </c>
      <c r="J504" t="s">
        <v>728</v>
      </c>
      <c r="K504" t="s">
        <v>1235</v>
      </c>
      <c r="L504">
        <v>770.11</v>
      </c>
      <c r="M504">
        <v>1667.82</v>
      </c>
      <c r="N504">
        <v>6.9000000000000006E-2</v>
      </c>
      <c r="O504">
        <v>7</v>
      </c>
    </row>
    <row r="505" spans="1:15" x14ac:dyDescent="0.3">
      <c r="A505" t="s">
        <v>517</v>
      </c>
      <c r="B505" s="2">
        <v>45740</v>
      </c>
      <c r="C505" s="2">
        <v>45741</v>
      </c>
      <c r="D505" t="s">
        <v>647</v>
      </c>
      <c r="E505" t="s">
        <v>659</v>
      </c>
      <c r="F505" t="s">
        <v>699</v>
      </c>
      <c r="G505" t="s">
        <v>703</v>
      </c>
      <c r="H505" t="s">
        <v>708</v>
      </c>
      <c r="I505" t="s">
        <v>715</v>
      </c>
      <c r="J505" t="s">
        <v>729</v>
      </c>
      <c r="K505" t="s">
        <v>1236</v>
      </c>
      <c r="L505">
        <v>1133.03</v>
      </c>
      <c r="M505">
        <v>1921.51</v>
      </c>
      <c r="N505">
        <v>0.10100000000000001</v>
      </c>
      <c r="O505">
        <v>5</v>
      </c>
    </row>
    <row r="506" spans="1:15" x14ac:dyDescent="0.3">
      <c r="A506" t="s">
        <v>518</v>
      </c>
      <c r="B506" s="2">
        <v>45726</v>
      </c>
      <c r="C506" s="2">
        <v>45743</v>
      </c>
      <c r="D506" t="s">
        <v>648</v>
      </c>
      <c r="E506" t="s">
        <v>655</v>
      </c>
      <c r="F506" t="s">
        <v>692</v>
      </c>
      <c r="G506" t="s">
        <v>706</v>
      </c>
      <c r="H506" t="s">
        <v>711</v>
      </c>
      <c r="I506" t="s">
        <v>721</v>
      </c>
      <c r="J506" t="s">
        <v>729</v>
      </c>
      <c r="K506" t="s">
        <v>1237</v>
      </c>
      <c r="L506">
        <v>996.73</v>
      </c>
      <c r="M506">
        <v>1217.43</v>
      </c>
      <c r="N506">
        <v>7.0000000000000007E-2</v>
      </c>
      <c r="O506">
        <v>9</v>
      </c>
    </row>
    <row r="507" spans="1:15" x14ac:dyDescent="0.3">
      <c r="A507" t="s">
        <v>519</v>
      </c>
      <c r="B507" s="2">
        <v>45387</v>
      </c>
      <c r="C507" s="2">
        <v>45391</v>
      </c>
      <c r="D507" t="s">
        <v>646</v>
      </c>
      <c r="E507" t="s">
        <v>651</v>
      </c>
      <c r="F507" t="s">
        <v>665</v>
      </c>
      <c r="G507" t="s">
        <v>703</v>
      </c>
      <c r="H507" t="s">
        <v>711</v>
      </c>
      <c r="I507" t="s">
        <v>723</v>
      </c>
      <c r="J507" t="s">
        <v>727</v>
      </c>
      <c r="K507" t="s">
        <v>1238</v>
      </c>
      <c r="L507">
        <v>395.07</v>
      </c>
      <c r="M507">
        <v>970.27</v>
      </c>
      <c r="N507">
        <v>0.123</v>
      </c>
      <c r="O507">
        <v>38</v>
      </c>
    </row>
    <row r="508" spans="1:15" x14ac:dyDescent="0.3">
      <c r="A508" t="s">
        <v>520</v>
      </c>
      <c r="B508" s="2">
        <v>45774</v>
      </c>
      <c r="C508" s="2">
        <v>45794</v>
      </c>
      <c r="D508" t="s">
        <v>648</v>
      </c>
      <c r="E508" t="s">
        <v>660</v>
      </c>
      <c r="F508" t="s">
        <v>697</v>
      </c>
      <c r="G508" t="s">
        <v>701</v>
      </c>
      <c r="H508" t="s">
        <v>711</v>
      </c>
      <c r="I508" t="s">
        <v>725</v>
      </c>
      <c r="J508" t="s">
        <v>730</v>
      </c>
      <c r="K508" t="s">
        <v>1239</v>
      </c>
      <c r="L508">
        <v>932.26</v>
      </c>
      <c r="M508">
        <v>1624.67</v>
      </c>
      <c r="N508">
        <v>0.23499999999999999</v>
      </c>
      <c r="O508">
        <v>28</v>
      </c>
    </row>
    <row r="509" spans="1:15" x14ac:dyDescent="0.3">
      <c r="A509" t="s">
        <v>521</v>
      </c>
      <c r="B509" s="2">
        <v>45589</v>
      </c>
      <c r="C509" s="2">
        <v>45593</v>
      </c>
      <c r="D509" t="s">
        <v>647</v>
      </c>
      <c r="E509" t="s">
        <v>659</v>
      </c>
      <c r="F509" t="s">
        <v>685</v>
      </c>
      <c r="G509" t="s">
        <v>705</v>
      </c>
      <c r="H509" t="s">
        <v>710</v>
      </c>
      <c r="I509" t="s">
        <v>714</v>
      </c>
      <c r="J509" t="s">
        <v>729</v>
      </c>
      <c r="K509" t="s">
        <v>1240</v>
      </c>
      <c r="L509">
        <v>1331.77</v>
      </c>
      <c r="M509">
        <v>2606.11</v>
      </c>
      <c r="N509">
        <v>0.02</v>
      </c>
      <c r="O509">
        <v>6</v>
      </c>
    </row>
    <row r="510" spans="1:15" x14ac:dyDescent="0.3">
      <c r="A510" t="s">
        <v>522</v>
      </c>
      <c r="B510" s="2">
        <v>45029</v>
      </c>
      <c r="C510" s="2">
        <v>45036</v>
      </c>
      <c r="D510" t="s">
        <v>649</v>
      </c>
      <c r="E510" t="s">
        <v>657</v>
      </c>
      <c r="F510" t="s">
        <v>679</v>
      </c>
      <c r="G510" t="s">
        <v>705</v>
      </c>
      <c r="H510" t="s">
        <v>708</v>
      </c>
      <c r="I510" t="s">
        <v>720</v>
      </c>
      <c r="J510" t="s">
        <v>731</v>
      </c>
      <c r="K510" t="s">
        <v>1241</v>
      </c>
      <c r="L510">
        <v>227.02</v>
      </c>
      <c r="M510">
        <v>434.72</v>
      </c>
      <c r="N510">
        <v>9.8000000000000004E-2</v>
      </c>
      <c r="O510">
        <v>10</v>
      </c>
    </row>
    <row r="511" spans="1:15" x14ac:dyDescent="0.3">
      <c r="A511" t="s">
        <v>523</v>
      </c>
      <c r="B511" s="2">
        <v>45608</v>
      </c>
      <c r="C511" s="2">
        <v>45617</v>
      </c>
      <c r="D511" t="s">
        <v>647</v>
      </c>
      <c r="E511" t="s">
        <v>654</v>
      </c>
      <c r="F511" t="s">
        <v>691</v>
      </c>
      <c r="G511" t="s">
        <v>701</v>
      </c>
      <c r="H511" t="s">
        <v>711</v>
      </c>
      <c r="I511" t="s">
        <v>722</v>
      </c>
      <c r="J511" t="s">
        <v>731</v>
      </c>
      <c r="K511" t="s">
        <v>1242</v>
      </c>
      <c r="L511">
        <v>903.41</v>
      </c>
      <c r="M511">
        <v>1860.41</v>
      </c>
      <c r="N511">
        <v>0.108</v>
      </c>
      <c r="O511">
        <v>5</v>
      </c>
    </row>
    <row r="512" spans="1:15" x14ac:dyDescent="0.3">
      <c r="A512" t="s">
        <v>524</v>
      </c>
      <c r="B512" s="2">
        <v>45056</v>
      </c>
      <c r="C512" s="2">
        <v>45060</v>
      </c>
      <c r="D512" t="s">
        <v>647</v>
      </c>
      <c r="E512" t="s">
        <v>654</v>
      </c>
      <c r="F512" t="s">
        <v>680</v>
      </c>
      <c r="G512" t="s">
        <v>703</v>
      </c>
      <c r="H512" t="s">
        <v>710</v>
      </c>
      <c r="I512" t="s">
        <v>712</v>
      </c>
      <c r="J512" t="s">
        <v>732</v>
      </c>
      <c r="K512" t="s">
        <v>1243</v>
      </c>
      <c r="L512">
        <v>622.6</v>
      </c>
      <c r="M512">
        <v>833.69</v>
      </c>
      <c r="N512">
        <v>0.20899999999999999</v>
      </c>
      <c r="O512">
        <v>14</v>
      </c>
    </row>
    <row r="513" spans="1:15" x14ac:dyDescent="0.3">
      <c r="A513" t="s">
        <v>525</v>
      </c>
      <c r="B513" s="2">
        <v>45353</v>
      </c>
      <c r="C513" s="2">
        <v>45374</v>
      </c>
      <c r="D513" t="s">
        <v>648</v>
      </c>
      <c r="E513" t="s">
        <v>660</v>
      </c>
      <c r="F513" t="s">
        <v>677</v>
      </c>
      <c r="G513" t="s">
        <v>705</v>
      </c>
      <c r="H513" t="s">
        <v>708</v>
      </c>
      <c r="I513" t="s">
        <v>721</v>
      </c>
      <c r="J513" t="s">
        <v>727</v>
      </c>
      <c r="K513" t="s">
        <v>1244</v>
      </c>
      <c r="L513">
        <v>225.01</v>
      </c>
      <c r="M513">
        <v>333.48</v>
      </c>
      <c r="N513">
        <v>0.11899999999999999</v>
      </c>
      <c r="O513">
        <v>12</v>
      </c>
    </row>
    <row r="514" spans="1:15" x14ac:dyDescent="0.3">
      <c r="A514" t="s">
        <v>526</v>
      </c>
      <c r="B514" s="2">
        <v>45575</v>
      </c>
      <c r="C514" s="2">
        <v>45576</v>
      </c>
      <c r="D514" t="s">
        <v>649</v>
      </c>
      <c r="E514" t="s">
        <v>658</v>
      </c>
      <c r="F514" t="s">
        <v>693</v>
      </c>
      <c r="G514" t="s">
        <v>703</v>
      </c>
      <c r="H514" t="s">
        <v>710</v>
      </c>
      <c r="I514" t="s">
        <v>716</v>
      </c>
      <c r="J514" t="s">
        <v>727</v>
      </c>
      <c r="K514" t="s">
        <v>1245</v>
      </c>
      <c r="L514">
        <v>1389.46</v>
      </c>
      <c r="M514">
        <v>1784.7</v>
      </c>
      <c r="N514">
        <v>0.14599999999999999</v>
      </c>
      <c r="O514">
        <v>33</v>
      </c>
    </row>
    <row r="515" spans="1:15" x14ac:dyDescent="0.3">
      <c r="A515" t="s">
        <v>527</v>
      </c>
      <c r="B515" s="2">
        <v>45078</v>
      </c>
      <c r="C515" s="2">
        <v>45085</v>
      </c>
      <c r="D515" t="s">
        <v>649</v>
      </c>
      <c r="E515" t="s">
        <v>656</v>
      </c>
      <c r="F515" t="s">
        <v>698</v>
      </c>
      <c r="G515" t="s">
        <v>704</v>
      </c>
      <c r="H515" t="s">
        <v>708</v>
      </c>
      <c r="I515" t="s">
        <v>720</v>
      </c>
      <c r="J515" t="s">
        <v>730</v>
      </c>
      <c r="K515" t="s">
        <v>1246</v>
      </c>
      <c r="L515">
        <v>804.17</v>
      </c>
      <c r="M515">
        <v>1072.29</v>
      </c>
      <c r="N515">
        <v>3.2000000000000001E-2</v>
      </c>
      <c r="O515">
        <v>5</v>
      </c>
    </row>
    <row r="516" spans="1:15" x14ac:dyDescent="0.3">
      <c r="A516" t="s">
        <v>528</v>
      </c>
      <c r="B516" s="2">
        <v>45661</v>
      </c>
      <c r="C516" s="2">
        <v>45662</v>
      </c>
      <c r="D516" t="s">
        <v>647</v>
      </c>
      <c r="E516" t="s">
        <v>654</v>
      </c>
      <c r="F516" t="s">
        <v>680</v>
      </c>
      <c r="G516" t="s">
        <v>702</v>
      </c>
      <c r="H516" t="s">
        <v>707</v>
      </c>
      <c r="I516" t="s">
        <v>714</v>
      </c>
      <c r="J516" t="s">
        <v>727</v>
      </c>
      <c r="K516" t="s">
        <v>1247</v>
      </c>
      <c r="L516">
        <v>1428.33</v>
      </c>
      <c r="M516">
        <v>3028.05</v>
      </c>
      <c r="N516">
        <v>0</v>
      </c>
      <c r="O516">
        <v>11</v>
      </c>
    </row>
    <row r="517" spans="1:15" x14ac:dyDescent="0.3">
      <c r="A517" t="s">
        <v>529</v>
      </c>
      <c r="B517" s="2">
        <v>45874</v>
      </c>
      <c r="C517" s="2">
        <v>45897</v>
      </c>
      <c r="D517" t="s">
        <v>647</v>
      </c>
      <c r="E517" t="s">
        <v>654</v>
      </c>
      <c r="F517" t="s">
        <v>691</v>
      </c>
      <c r="G517" t="s">
        <v>703</v>
      </c>
      <c r="H517" t="s">
        <v>710</v>
      </c>
      <c r="I517" t="s">
        <v>725</v>
      </c>
      <c r="J517" t="s">
        <v>731</v>
      </c>
      <c r="K517" t="s">
        <v>1248</v>
      </c>
      <c r="L517">
        <v>638.54</v>
      </c>
      <c r="M517">
        <v>987.24</v>
      </c>
      <c r="N517">
        <v>0</v>
      </c>
      <c r="O517">
        <v>11</v>
      </c>
    </row>
    <row r="518" spans="1:15" x14ac:dyDescent="0.3">
      <c r="A518" t="s">
        <v>530</v>
      </c>
      <c r="B518" s="2">
        <v>45199</v>
      </c>
      <c r="C518" s="2">
        <v>45229</v>
      </c>
      <c r="D518" t="s">
        <v>647</v>
      </c>
      <c r="E518" t="s">
        <v>652</v>
      </c>
      <c r="F518" t="s">
        <v>689</v>
      </c>
      <c r="G518" t="s">
        <v>706</v>
      </c>
      <c r="H518" t="s">
        <v>708</v>
      </c>
      <c r="I518" t="s">
        <v>726</v>
      </c>
      <c r="J518" t="s">
        <v>728</v>
      </c>
      <c r="K518" t="s">
        <v>1249</v>
      </c>
      <c r="L518">
        <v>649.13</v>
      </c>
      <c r="M518">
        <v>975.43</v>
      </c>
      <c r="N518">
        <v>0.157</v>
      </c>
      <c r="O518">
        <v>27</v>
      </c>
    </row>
    <row r="519" spans="1:15" x14ac:dyDescent="0.3">
      <c r="A519" t="s">
        <v>531</v>
      </c>
      <c r="B519" s="2">
        <v>45794</v>
      </c>
      <c r="C519" s="2">
        <v>45807</v>
      </c>
      <c r="D519" t="s">
        <v>646</v>
      </c>
      <c r="E519" t="s">
        <v>651</v>
      </c>
      <c r="F519" t="s">
        <v>665</v>
      </c>
      <c r="G519" t="s">
        <v>704</v>
      </c>
      <c r="H519" t="s">
        <v>710</v>
      </c>
      <c r="I519" t="s">
        <v>721</v>
      </c>
      <c r="J519" t="s">
        <v>733</v>
      </c>
      <c r="K519" t="s">
        <v>1250</v>
      </c>
      <c r="L519">
        <v>66.400000000000006</v>
      </c>
      <c r="M519">
        <v>141.43</v>
      </c>
      <c r="N519">
        <v>0.107</v>
      </c>
      <c r="O519">
        <v>8</v>
      </c>
    </row>
    <row r="520" spans="1:15" x14ac:dyDescent="0.3">
      <c r="A520" t="s">
        <v>532</v>
      </c>
      <c r="B520" s="2">
        <v>45413</v>
      </c>
      <c r="C520" s="2">
        <v>45438</v>
      </c>
      <c r="D520" t="s">
        <v>649</v>
      </c>
      <c r="E520" t="s">
        <v>656</v>
      </c>
      <c r="F520" t="s">
        <v>671</v>
      </c>
      <c r="G520" t="s">
        <v>703</v>
      </c>
      <c r="H520" t="s">
        <v>707</v>
      </c>
      <c r="I520" t="s">
        <v>717</v>
      </c>
      <c r="J520" t="s">
        <v>729</v>
      </c>
      <c r="K520" t="s">
        <v>1251</v>
      </c>
      <c r="L520">
        <v>930.71</v>
      </c>
      <c r="M520">
        <v>1625.42</v>
      </c>
      <c r="N520">
        <v>0.13800000000000001</v>
      </c>
      <c r="O520">
        <v>7</v>
      </c>
    </row>
    <row r="521" spans="1:15" x14ac:dyDescent="0.3">
      <c r="A521" t="s">
        <v>533</v>
      </c>
      <c r="B521" s="2">
        <v>45047</v>
      </c>
      <c r="C521" s="2">
        <v>45064</v>
      </c>
      <c r="D521" t="s">
        <v>646</v>
      </c>
      <c r="E521" t="s">
        <v>651</v>
      </c>
      <c r="F521" t="s">
        <v>663</v>
      </c>
      <c r="G521" t="s">
        <v>701</v>
      </c>
      <c r="H521" t="s">
        <v>711</v>
      </c>
      <c r="I521" t="s">
        <v>721</v>
      </c>
      <c r="J521" t="s">
        <v>727</v>
      </c>
      <c r="K521" t="s">
        <v>1252</v>
      </c>
      <c r="L521">
        <v>327.97</v>
      </c>
      <c r="M521">
        <v>299.94</v>
      </c>
      <c r="N521">
        <v>4.9000000000000002E-2</v>
      </c>
      <c r="O521">
        <v>3</v>
      </c>
    </row>
    <row r="522" spans="1:15" x14ac:dyDescent="0.3">
      <c r="A522" t="s">
        <v>534</v>
      </c>
      <c r="B522" s="2">
        <v>45482</v>
      </c>
      <c r="C522" s="2">
        <v>45512</v>
      </c>
      <c r="D522" t="s">
        <v>649</v>
      </c>
      <c r="E522" t="s">
        <v>657</v>
      </c>
      <c r="F522" t="s">
        <v>673</v>
      </c>
      <c r="G522" t="s">
        <v>701</v>
      </c>
      <c r="H522" t="s">
        <v>711</v>
      </c>
      <c r="I522" t="s">
        <v>713</v>
      </c>
      <c r="J522" t="s">
        <v>727</v>
      </c>
      <c r="K522" t="s">
        <v>1253</v>
      </c>
      <c r="L522">
        <v>1062.3800000000001</v>
      </c>
      <c r="M522">
        <v>1503.96</v>
      </c>
      <c r="N522">
        <v>0.18</v>
      </c>
      <c r="O522">
        <v>6</v>
      </c>
    </row>
    <row r="523" spans="1:15" x14ac:dyDescent="0.3">
      <c r="A523" t="s">
        <v>535</v>
      </c>
      <c r="B523" s="2">
        <v>45056</v>
      </c>
      <c r="C523" s="2">
        <v>45073</v>
      </c>
      <c r="D523" t="s">
        <v>647</v>
      </c>
      <c r="E523" t="s">
        <v>654</v>
      </c>
      <c r="F523" t="s">
        <v>691</v>
      </c>
      <c r="G523" t="s">
        <v>704</v>
      </c>
      <c r="H523" t="s">
        <v>707</v>
      </c>
      <c r="I523" t="s">
        <v>724</v>
      </c>
      <c r="J523" t="s">
        <v>731</v>
      </c>
      <c r="K523" t="s">
        <v>1254</v>
      </c>
      <c r="L523">
        <v>1286.1600000000001</v>
      </c>
      <c r="M523">
        <v>3101.11</v>
      </c>
      <c r="N523">
        <v>0.1</v>
      </c>
      <c r="O523">
        <v>23</v>
      </c>
    </row>
    <row r="524" spans="1:15" x14ac:dyDescent="0.3">
      <c r="A524" t="s">
        <v>536</v>
      </c>
      <c r="B524" s="2">
        <v>45482</v>
      </c>
      <c r="C524" s="2">
        <v>45485</v>
      </c>
      <c r="D524" t="s">
        <v>647</v>
      </c>
      <c r="E524" t="s">
        <v>659</v>
      </c>
      <c r="F524" t="s">
        <v>685</v>
      </c>
      <c r="G524" t="s">
        <v>705</v>
      </c>
      <c r="H524" t="s">
        <v>707</v>
      </c>
      <c r="I524" t="s">
        <v>726</v>
      </c>
      <c r="J524" t="s">
        <v>733</v>
      </c>
      <c r="K524" t="s">
        <v>1255</v>
      </c>
      <c r="L524">
        <v>748.39</v>
      </c>
      <c r="M524">
        <v>979.42</v>
      </c>
      <c r="N524">
        <v>0</v>
      </c>
      <c r="O524">
        <v>23</v>
      </c>
    </row>
    <row r="525" spans="1:15" x14ac:dyDescent="0.3">
      <c r="A525" t="s">
        <v>537</v>
      </c>
      <c r="B525" s="2">
        <v>45406</v>
      </c>
      <c r="C525" s="2">
        <v>45422</v>
      </c>
      <c r="D525" t="s">
        <v>646</v>
      </c>
      <c r="E525" t="s">
        <v>650</v>
      </c>
      <c r="F525" t="s">
        <v>662</v>
      </c>
      <c r="G525" t="s">
        <v>703</v>
      </c>
      <c r="H525" t="s">
        <v>708</v>
      </c>
      <c r="I525" t="s">
        <v>725</v>
      </c>
      <c r="J525" t="s">
        <v>732</v>
      </c>
      <c r="K525" t="s">
        <v>1256</v>
      </c>
      <c r="L525">
        <v>513.30999999999995</v>
      </c>
      <c r="M525">
        <v>1186.26</v>
      </c>
      <c r="N525">
        <v>9.4E-2</v>
      </c>
      <c r="O525">
        <v>15</v>
      </c>
    </row>
    <row r="526" spans="1:15" x14ac:dyDescent="0.3">
      <c r="A526" t="s">
        <v>538</v>
      </c>
      <c r="B526" s="2">
        <v>45304</v>
      </c>
      <c r="C526" s="2">
        <v>45306</v>
      </c>
      <c r="D526" t="s">
        <v>648</v>
      </c>
      <c r="E526" t="s">
        <v>660</v>
      </c>
      <c r="F526" t="s">
        <v>686</v>
      </c>
      <c r="G526" t="s">
        <v>703</v>
      </c>
      <c r="H526" t="s">
        <v>711</v>
      </c>
      <c r="I526" t="s">
        <v>718</v>
      </c>
      <c r="J526" t="s">
        <v>727</v>
      </c>
      <c r="K526" t="s">
        <v>1257</v>
      </c>
      <c r="L526">
        <v>1061.3699999999999</v>
      </c>
      <c r="M526">
        <v>1938.33</v>
      </c>
      <c r="N526">
        <v>0.17</v>
      </c>
      <c r="O526">
        <v>4</v>
      </c>
    </row>
    <row r="527" spans="1:15" x14ac:dyDescent="0.3">
      <c r="A527" t="s">
        <v>539</v>
      </c>
      <c r="B527" s="2">
        <v>45398</v>
      </c>
      <c r="C527" s="2">
        <v>45409</v>
      </c>
      <c r="D527" t="s">
        <v>646</v>
      </c>
      <c r="E527" t="s">
        <v>650</v>
      </c>
      <c r="F527" t="s">
        <v>678</v>
      </c>
      <c r="G527" t="s">
        <v>706</v>
      </c>
      <c r="H527" t="s">
        <v>708</v>
      </c>
      <c r="I527" t="s">
        <v>726</v>
      </c>
      <c r="J527" t="s">
        <v>728</v>
      </c>
      <c r="K527" t="s">
        <v>1258</v>
      </c>
      <c r="L527">
        <v>401.3</v>
      </c>
      <c r="M527">
        <v>826.47</v>
      </c>
      <c r="N527">
        <v>0.22500000000000001</v>
      </c>
      <c r="O527">
        <v>13</v>
      </c>
    </row>
    <row r="528" spans="1:15" x14ac:dyDescent="0.3">
      <c r="A528" t="s">
        <v>540</v>
      </c>
      <c r="B528" s="2">
        <v>45695</v>
      </c>
      <c r="C528" s="2">
        <v>45704</v>
      </c>
      <c r="D528" t="s">
        <v>646</v>
      </c>
      <c r="E528" t="s">
        <v>651</v>
      </c>
      <c r="F528" t="s">
        <v>665</v>
      </c>
      <c r="G528" t="s">
        <v>705</v>
      </c>
      <c r="H528" t="s">
        <v>710</v>
      </c>
      <c r="I528" t="s">
        <v>712</v>
      </c>
      <c r="J528" t="s">
        <v>728</v>
      </c>
      <c r="K528" t="s">
        <v>1259</v>
      </c>
      <c r="L528">
        <v>90.68</v>
      </c>
      <c r="M528">
        <v>118.17</v>
      </c>
      <c r="N528">
        <v>0.13500000000000001</v>
      </c>
      <c r="O528">
        <v>21</v>
      </c>
    </row>
    <row r="529" spans="1:15" x14ac:dyDescent="0.3">
      <c r="A529" t="s">
        <v>541</v>
      </c>
      <c r="B529" s="2">
        <v>44938</v>
      </c>
      <c r="C529" s="2">
        <v>44952</v>
      </c>
      <c r="D529" t="s">
        <v>647</v>
      </c>
      <c r="E529" t="s">
        <v>659</v>
      </c>
      <c r="F529" t="s">
        <v>676</v>
      </c>
      <c r="G529" t="s">
        <v>703</v>
      </c>
      <c r="H529" t="s">
        <v>707</v>
      </c>
      <c r="I529" t="s">
        <v>724</v>
      </c>
      <c r="J529" t="s">
        <v>728</v>
      </c>
      <c r="K529" t="s">
        <v>1260</v>
      </c>
      <c r="L529">
        <v>1083.0899999999999</v>
      </c>
      <c r="M529">
        <v>1425.87</v>
      </c>
      <c r="N529">
        <v>0</v>
      </c>
      <c r="O529">
        <v>8</v>
      </c>
    </row>
    <row r="530" spans="1:15" x14ac:dyDescent="0.3">
      <c r="A530" t="s">
        <v>542</v>
      </c>
      <c r="B530" s="2">
        <v>45448</v>
      </c>
      <c r="C530" s="2">
        <v>45466</v>
      </c>
      <c r="D530" t="s">
        <v>646</v>
      </c>
      <c r="E530" t="s">
        <v>650</v>
      </c>
      <c r="F530" t="s">
        <v>664</v>
      </c>
      <c r="G530" t="s">
        <v>704</v>
      </c>
      <c r="H530" t="s">
        <v>710</v>
      </c>
      <c r="I530" t="s">
        <v>726</v>
      </c>
      <c r="J530" t="s">
        <v>731</v>
      </c>
      <c r="K530" t="s">
        <v>1261</v>
      </c>
      <c r="L530">
        <v>1208.74</v>
      </c>
      <c r="M530">
        <v>1594.78</v>
      </c>
      <c r="N530">
        <v>5.8999999999999997E-2</v>
      </c>
      <c r="O530">
        <v>39</v>
      </c>
    </row>
    <row r="531" spans="1:15" x14ac:dyDescent="0.3">
      <c r="A531" t="s">
        <v>543</v>
      </c>
      <c r="B531" s="2">
        <v>45162</v>
      </c>
      <c r="C531" s="2">
        <v>45189</v>
      </c>
      <c r="D531" t="s">
        <v>646</v>
      </c>
      <c r="E531" t="s">
        <v>661</v>
      </c>
      <c r="F531" t="s">
        <v>687</v>
      </c>
      <c r="G531" t="s">
        <v>705</v>
      </c>
      <c r="H531" t="s">
        <v>709</v>
      </c>
      <c r="I531" t="s">
        <v>724</v>
      </c>
      <c r="J531" t="s">
        <v>728</v>
      </c>
      <c r="K531" t="s">
        <v>1262</v>
      </c>
      <c r="L531">
        <v>1399.64</v>
      </c>
      <c r="M531">
        <v>3342.11</v>
      </c>
      <c r="N531">
        <v>0</v>
      </c>
      <c r="O531">
        <v>10</v>
      </c>
    </row>
    <row r="532" spans="1:15" x14ac:dyDescent="0.3">
      <c r="A532" t="s">
        <v>544</v>
      </c>
      <c r="B532" s="2">
        <v>45316</v>
      </c>
      <c r="C532" s="2">
        <v>45330</v>
      </c>
      <c r="D532" t="s">
        <v>647</v>
      </c>
      <c r="E532" t="s">
        <v>652</v>
      </c>
      <c r="F532" t="s">
        <v>666</v>
      </c>
      <c r="G532" t="s">
        <v>704</v>
      </c>
      <c r="H532" t="s">
        <v>709</v>
      </c>
      <c r="I532" t="s">
        <v>714</v>
      </c>
      <c r="J532" t="s">
        <v>729</v>
      </c>
      <c r="K532" t="s">
        <v>1263</v>
      </c>
      <c r="L532">
        <v>937.16</v>
      </c>
      <c r="M532">
        <v>1069.77</v>
      </c>
      <c r="N532">
        <v>3.7999999999999999E-2</v>
      </c>
      <c r="O532">
        <v>9</v>
      </c>
    </row>
    <row r="533" spans="1:15" x14ac:dyDescent="0.3">
      <c r="A533" t="s">
        <v>545</v>
      </c>
      <c r="B533" s="2">
        <v>45727</v>
      </c>
      <c r="C533" s="2">
        <v>45742</v>
      </c>
      <c r="D533" t="s">
        <v>649</v>
      </c>
      <c r="E533" t="s">
        <v>656</v>
      </c>
      <c r="F533" t="s">
        <v>671</v>
      </c>
      <c r="G533" t="s">
        <v>705</v>
      </c>
      <c r="H533" t="s">
        <v>708</v>
      </c>
      <c r="I533" t="s">
        <v>714</v>
      </c>
      <c r="J533" t="s">
        <v>730</v>
      </c>
      <c r="K533" t="s">
        <v>1264</v>
      </c>
      <c r="L533">
        <v>116.97</v>
      </c>
      <c r="M533">
        <v>140.82</v>
      </c>
      <c r="N533">
        <v>0.122</v>
      </c>
      <c r="O533">
        <v>5</v>
      </c>
    </row>
    <row r="534" spans="1:15" x14ac:dyDescent="0.3">
      <c r="A534" t="s">
        <v>546</v>
      </c>
      <c r="B534" s="2">
        <v>45769</v>
      </c>
      <c r="C534" s="2">
        <v>45789</v>
      </c>
      <c r="D534" t="s">
        <v>649</v>
      </c>
      <c r="E534" t="s">
        <v>657</v>
      </c>
      <c r="F534" t="s">
        <v>679</v>
      </c>
      <c r="G534" t="s">
        <v>706</v>
      </c>
      <c r="H534" t="s">
        <v>709</v>
      </c>
      <c r="I534" t="s">
        <v>723</v>
      </c>
      <c r="J534" t="s">
        <v>732</v>
      </c>
      <c r="K534" t="s">
        <v>1265</v>
      </c>
      <c r="L534">
        <v>59.51</v>
      </c>
      <c r="M534">
        <v>67.040000000000006</v>
      </c>
      <c r="N534">
        <v>0.114</v>
      </c>
      <c r="O534">
        <v>9</v>
      </c>
    </row>
    <row r="535" spans="1:15" x14ac:dyDescent="0.3">
      <c r="A535" t="s">
        <v>547</v>
      </c>
      <c r="B535" s="2">
        <v>45155</v>
      </c>
      <c r="C535" s="2">
        <v>45172</v>
      </c>
      <c r="D535" t="s">
        <v>646</v>
      </c>
      <c r="E535" t="s">
        <v>661</v>
      </c>
      <c r="F535" t="s">
        <v>687</v>
      </c>
      <c r="G535" t="s">
        <v>706</v>
      </c>
      <c r="H535" t="s">
        <v>707</v>
      </c>
      <c r="I535" t="s">
        <v>720</v>
      </c>
      <c r="J535" t="s">
        <v>730</v>
      </c>
      <c r="K535" t="s">
        <v>1266</v>
      </c>
      <c r="L535">
        <v>676.37</v>
      </c>
      <c r="M535">
        <v>1276.67</v>
      </c>
      <c r="N535">
        <v>6.6000000000000003E-2</v>
      </c>
      <c r="O535">
        <v>10</v>
      </c>
    </row>
    <row r="536" spans="1:15" x14ac:dyDescent="0.3">
      <c r="A536" t="s">
        <v>548</v>
      </c>
      <c r="B536" s="2">
        <v>45832</v>
      </c>
      <c r="C536" s="2">
        <v>45852</v>
      </c>
      <c r="D536" t="s">
        <v>646</v>
      </c>
      <c r="E536" t="s">
        <v>661</v>
      </c>
      <c r="F536" t="s">
        <v>682</v>
      </c>
      <c r="G536" t="s">
        <v>706</v>
      </c>
      <c r="H536" t="s">
        <v>709</v>
      </c>
      <c r="I536" t="s">
        <v>713</v>
      </c>
      <c r="J536" t="s">
        <v>731</v>
      </c>
      <c r="K536" t="s">
        <v>1267</v>
      </c>
      <c r="L536">
        <v>1151.06</v>
      </c>
      <c r="M536">
        <v>2821.36</v>
      </c>
      <c r="N536">
        <v>0.248</v>
      </c>
      <c r="O536">
        <v>20</v>
      </c>
    </row>
    <row r="537" spans="1:15" x14ac:dyDescent="0.3">
      <c r="A537" t="s">
        <v>549</v>
      </c>
      <c r="B537" s="2">
        <v>45667</v>
      </c>
      <c r="C537" s="2">
        <v>45694</v>
      </c>
      <c r="D537" t="s">
        <v>648</v>
      </c>
      <c r="E537" t="s">
        <v>655</v>
      </c>
      <c r="F537" t="s">
        <v>672</v>
      </c>
      <c r="G537" t="s">
        <v>703</v>
      </c>
      <c r="H537" t="s">
        <v>707</v>
      </c>
      <c r="I537" t="s">
        <v>717</v>
      </c>
      <c r="J537" t="s">
        <v>731</v>
      </c>
      <c r="K537" t="s">
        <v>1268</v>
      </c>
      <c r="L537">
        <v>725.62</v>
      </c>
      <c r="M537">
        <v>1559.19</v>
      </c>
      <c r="N537">
        <v>0.19</v>
      </c>
      <c r="O537">
        <v>12</v>
      </c>
    </row>
    <row r="538" spans="1:15" x14ac:dyDescent="0.3">
      <c r="A538" t="s">
        <v>550</v>
      </c>
      <c r="B538" s="2">
        <v>45108</v>
      </c>
      <c r="C538" s="2">
        <v>45118</v>
      </c>
      <c r="D538" t="s">
        <v>649</v>
      </c>
      <c r="E538" t="s">
        <v>657</v>
      </c>
      <c r="F538" t="s">
        <v>690</v>
      </c>
      <c r="G538" t="s">
        <v>701</v>
      </c>
      <c r="H538" t="s">
        <v>711</v>
      </c>
      <c r="I538" t="s">
        <v>721</v>
      </c>
      <c r="J538" t="s">
        <v>729</v>
      </c>
      <c r="K538" t="s">
        <v>1269</v>
      </c>
      <c r="L538">
        <v>479.5</v>
      </c>
      <c r="M538">
        <v>656.66</v>
      </c>
      <c r="N538">
        <v>0.14899999999999999</v>
      </c>
      <c r="O538">
        <v>14</v>
      </c>
    </row>
    <row r="539" spans="1:15" x14ac:dyDescent="0.3">
      <c r="A539" t="s">
        <v>551</v>
      </c>
      <c r="B539" s="2">
        <v>45520</v>
      </c>
      <c r="C539" s="2">
        <v>45530</v>
      </c>
      <c r="D539" t="s">
        <v>648</v>
      </c>
      <c r="E539" t="s">
        <v>660</v>
      </c>
      <c r="F539" t="s">
        <v>677</v>
      </c>
      <c r="G539" t="s">
        <v>701</v>
      </c>
      <c r="H539" t="s">
        <v>710</v>
      </c>
      <c r="I539" t="s">
        <v>716</v>
      </c>
      <c r="J539" t="s">
        <v>731</v>
      </c>
      <c r="K539" t="s">
        <v>1121</v>
      </c>
      <c r="L539">
        <v>1291.7</v>
      </c>
      <c r="M539">
        <v>2657.84</v>
      </c>
      <c r="N539">
        <v>8.6999999999999994E-2</v>
      </c>
      <c r="O539">
        <v>21</v>
      </c>
    </row>
    <row r="540" spans="1:15" x14ac:dyDescent="0.3">
      <c r="A540" t="s">
        <v>552</v>
      </c>
      <c r="B540" s="2">
        <v>45114</v>
      </c>
      <c r="C540" s="2">
        <v>45120</v>
      </c>
      <c r="D540" t="s">
        <v>646</v>
      </c>
      <c r="E540" t="s">
        <v>661</v>
      </c>
      <c r="F540" t="s">
        <v>695</v>
      </c>
      <c r="G540" t="s">
        <v>705</v>
      </c>
      <c r="H540" t="s">
        <v>709</v>
      </c>
      <c r="I540" t="s">
        <v>717</v>
      </c>
      <c r="J540" t="s">
        <v>733</v>
      </c>
      <c r="K540" t="s">
        <v>1270</v>
      </c>
      <c r="L540">
        <v>612.59</v>
      </c>
      <c r="M540">
        <v>1424.74</v>
      </c>
      <c r="N540">
        <v>4.3999999999999997E-2</v>
      </c>
      <c r="O540">
        <v>15</v>
      </c>
    </row>
    <row r="541" spans="1:15" x14ac:dyDescent="0.3">
      <c r="A541" t="s">
        <v>553</v>
      </c>
      <c r="B541" s="2">
        <v>45288</v>
      </c>
      <c r="C541" s="2">
        <v>45292</v>
      </c>
      <c r="D541" t="s">
        <v>646</v>
      </c>
      <c r="E541" t="s">
        <v>661</v>
      </c>
      <c r="F541" t="s">
        <v>695</v>
      </c>
      <c r="G541" t="s">
        <v>702</v>
      </c>
      <c r="H541" t="s">
        <v>710</v>
      </c>
      <c r="I541" t="s">
        <v>720</v>
      </c>
      <c r="J541" t="s">
        <v>728</v>
      </c>
      <c r="K541" t="s">
        <v>1271</v>
      </c>
      <c r="L541">
        <v>1141.8</v>
      </c>
      <c r="M541">
        <v>2318.7399999999998</v>
      </c>
      <c r="N541">
        <v>0.107</v>
      </c>
      <c r="O541">
        <v>32</v>
      </c>
    </row>
    <row r="542" spans="1:15" x14ac:dyDescent="0.3">
      <c r="A542" t="s">
        <v>554</v>
      </c>
      <c r="B542" s="2">
        <v>44952</v>
      </c>
      <c r="C542" s="2">
        <v>44972</v>
      </c>
      <c r="D542" t="s">
        <v>649</v>
      </c>
      <c r="E542" t="s">
        <v>656</v>
      </c>
      <c r="F542" t="s">
        <v>671</v>
      </c>
      <c r="G542" t="s">
        <v>705</v>
      </c>
      <c r="H542" t="s">
        <v>708</v>
      </c>
      <c r="I542" t="s">
        <v>719</v>
      </c>
      <c r="J542" t="s">
        <v>729</v>
      </c>
      <c r="K542" t="s">
        <v>1272</v>
      </c>
      <c r="L542">
        <v>492.62</v>
      </c>
      <c r="M542">
        <v>366.7</v>
      </c>
      <c r="N542">
        <v>8.8999999999999996E-2</v>
      </c>
      <c r="O542">
        <v>10</v>
      </c>
    </row>
    <row r="543" spans="1:15" x14ac:dyDescent="0.3">
      <c r="A543" t="s">
        <v>555</v>
      </c>
      <c r="B543" s="2">
        <v>45115</v>
      </c>
      <c r="C543" s="2">
        <v>45116</v>
      </c>
      <c r="D543" t="s">
        <v>646</v>
      </c>
      <c r="E543" t="s">
        <v>650</v>
      </c>
      <c r="F543" t="s">
        <v>664</v>
      </c>
      <c r="G543" t="s">
        <v>704</v>
      </c>
      <c r="H543" t="s">
        <v>708</v>
      </c>
      <c r="I543" t="s">
        <v>726</v>
      </c>
      <c r="J543" t="s">
        <v>731</v>
      </c>
      <c r="K543" t="s">
        <v>1273</v>
      </c>
      <c r="L543">
        <v>1258.72</v>
      </c>
      <c r="M543">
        <v>2797.41</v>
      </c>
      <c r="N543">
        <v>0</v>
      </c>
      <c r="O543">
        <v>7</v>
      </c>
    </row>
    <row r="544" spans="1:15" x14ac:dyDescent="0.3">
      <c r="A544" t="s">
        <v>556</v>
      </c>
      <c r="B544" s="2">
        <v>45450</v>
      </c>
      <c r="C544" s="2">
        <v>45452</v>
      </c>
      <c r="D544" t="s">
        <v>647</v>
      </c>
      <c r="E544" t="s">
        <v>659</v>
      </c>
      <c r="F544" t="s">
        <v>685</v>
      </c>
      <c r="G544" t="s">
        <v>701</v>
      </c>
      <c r="H544" t="s">
        <v>707</v>
      </c>
      <c r="I544" t="s">
        <v>719</v>
      </c>
      <c r="J544" t="s">
        <v>732</v>
      </c>
      <c r="K544" t="s">
        <v>1274</v>
      </c>
      <c r="L544">
        <v>1370.28</v>
      </c>
      <c r="M544">
        <v>2209.66</v>
      </c>
      <c r="N544">
        <v>0.13300000000000001</v>
      </c>
      <c r="O544">
        <v>16</v>
      </c>
    </row>
    <row r="545" spans="1:15" x14ac:dyDescent="0.3">
      <c r="A545" t="s">
        <v>557</v>
      </c>
      <c r="B545" s="2">
        <v>44968</v>
      </c>
      <c r="C545" s="2">
        <v>44969</v>
      </c>
      <c r="D545" t="s">
        <v>646</v>
      </c>
      <c r="E545" t="s">
        <v>651</v>
      </c>
      <c r="F545" t="s">
        <v>663</v>
      </c>
      <c r="G545" t="s">
        <v>703</v>
      </c>
      <c r="H545" t="s">
        <v>711</v>
      </c>
      <c r="I545" t="s">
        <v>726</v>
      </c>
      <c r="J545" t="s">
        <v>733</v>
      </c>
      <c r="K545" t="s">
        <v>1275</v>
      </c>
      <c r="L545">
        <v>944.61</v>
      </c>
      <c r="M545">
        <v>839.04</v>
      </c>
      <c r="N545">
        <v>5.8999999999999997E-2</v>
      </c>
      <c r="O545">
        <v>6</v>
      </c>
    </row>
    <row r="546" spans="1:15" x14ac:dyDescent="0.3">
      <c r="A546" t="s">
        <v>558</v>
      </c>
      <c r="B546" s="2">
        <v>45108</v>
      </c>
      <c r="C546" s="2">
        <v>45115</v>
      </c>
      <c r="D546" t="s">
        <v>649</v>
      </c>
      <c r="E546" t="s">
        <v>656</v>
      </c>
      <c r="F546" t="s">
        <v>698</v>
      </c>
      <c r="G546" t="s">
        <v>705</v>
      </c>
      <c r="H546" t="s">
        <v>710</v>
      </c>
      <c r="I546" t="s">
        <v>725</v>
      </c>
      <c r="J546" t="s">
        <v>731</v>
      </c>
      <c r="K546" t="s">
        <v>1276</v>
      </c>
      <c r="L546">
        <v>460.21</v>
      </c>
      <c r="M546">
        <v>1139.1500000000001</v>
      </c>
      <c r="N546">
        <v>0.115</v>
      </c>
      <c r="O546">
        <v>14</v>
      </c>
    </row>
    <row r="547" spans="1:15" x14ac:dyDescent="0.3">
      <c r="A547" t="s">
        <v>559</v>
      </c>
      <c r="B547" s="2">
        <v>45889</v>
      </c>
      <c r="C547" s="2">
        <v>45895</v>
      </c>
      <c r="D547" t="s">
        <v>648</v>
      </c>
      <c r="E547" t="s">
        <v>660</v>
      </c>
      <c r="F547" t="s">
        <v>700</v>
      </c>
      <c r="G547" t="s">
        <v>701</v>
      </c>
      <c r="H547" t="s">
        <v>707</v>
      </c>
      <c r="I547" t="s">
        <v>724</v>
      </c>
      <c r="J547" t="s">
        <v>729</v>
      </c>
      <c r="K547" t="s">
        <v>1277</v>
      </c>
      <c r="L547">
        <v>1304.95</v>
      </c>
      <c r="M547">
        <v>1712.03</v>
      </c>
      <c r="N547">
        <v>0.21199999999999999</v>
      </c>
      <c r="O547">
        <v>8</v>
      </c>
    </row>
    <row r="548" spans="1:15" x14ac:dyDescent="0.3">
      <c r="A548" t="s">
        <v>560</v>
      </c>
      <c r="B548" s="2">
        <v>45355</v>
      </c>
      <c r="C548" s="2">
        <v>45367</v>
      </c>
      <c r="D548" t="s">
        <v>646</v>
      </c>
      <c r="E548" t="s">
        <v>661</v>
      </c>
      <c r="F548" t="s">
        <v>682</v>
      </c>
      <c r="G548" t="s">
        <v>706</v>
      </c>
      <c r="H548" t="s">
        <v>710</v>
      </c>
      <c r="I548" t="s">
        <v>724</v>
      </c>
      <c r="J548" t="s">
        <v>732</v>
      </c>
      <c r="K548" t="s">
        <v>1278</v>
      </c>
      <c r="L548">
        <v>441.08</v>
      </c>
      <c r="M548">
        <v>1054.29</v>
      </c>
      <c r="N548">
        <v>0.23699999999999999</v>
      </c>
      <c r="O548">
        <v>6</v>
      </c>
    </row>
    <row r="549" spans="1:15" x14ac:dyDescent="0.3">
      <c r="A549" t="s">
        <v>561</v>
      </c>
      <c r="B549" s="2">
        <v>45177</v>
      </c>
      <c r="C549" s="2">
        <v>45201</v>
      </c>
      <c r="D549" t="s">
        <v>648</v>
      </c>
      <c r="E549" t="s">
        <v>653</v>
      </c>
      <c r="F549" t="s">
        <v>667</v>
      </c>
      <c r="G549" t="s">
        <v>702</v>
      </c>
      <c r="H549" t="s">
        <v>711</v>
      </c>
      <c r="I549" t="s">
        <v>720</v>
      </c>
      <c r="J549" t="s">
        <v>733</v>
      </c>
      <c r="K549" t="s">
        <v>1279</v>
      </c>
      <c r="L549">
        <v>1299.03</v>
      </c>
      <c r="M549">
        <v>2451.2199999999998</v>
      </c>
      <c r="N549">
        <v>0.20799999999999999</v>
      </c>
      <c r="O549">
        <v>8</v>
      </c>
    </row>
    <row r="550" spans="1:15" x14ac:dyDescent="0.3">
      <c r="A550" t="s">
        <v>562</v>
      </c>
      <c r="B550" s="2">
        <v>44985</v>
      </c>
      <c r="C550" s="2">
        <v>44991</v>
      </c>
      <c r="D550" t="s">
        <v>649</v>
      </c>
      <c r="E550" t="s">
        <v>656</v>
      </c>
      <c r="F550" t="s">
        <v>698</v>
      </c>
      <c r="G550" t="s">
        <v>705</v>
      </c>
      <c r="H550" t="s">
        <v>709</v>
      </c>
      <c r="I550" t="s">
        <v>726</v>
      </c>
      <c r="J550" t="s">
        <v>728</v>
      </c>
      <c r="K550" t="s">
        <v>1280</v>
      </c>
      <c r="L550">
        <v>880.02</v>
      </c>
      <c r="M550">
        <v>1251.21</v>
      </c>
      <c r="N550">
        <v>0.123</v>
      </c>
      <c r="O550">
        <v>29</v>
      </c>
    </row>
    <row r="551" spans="1:15" x14ac:dyDescent="0.3">
      <c r="A551" t="s">
        <v>563</v>
      </c>
      <c r="B551" s="2">
        <v>45486</v>
      </c>
      <c r="C551" s="2">
        <v>45507</v>
      </c>
      <c r="D551" t="s">
        <v>648</v>
      </c>
      <c r="E551" t="s">
        <v>655</v>
      </c>
      <c r="F551" t="s">
        <v>692</v>
      </c>
      <c r="G551" t="s">
        <v>701</v>
      </c>
      <c r="H551" t="s">
        <v>709</v>
      </c>
      <c r="I551" t="s">
        <v>724</v>
      </c>
      <c r="J551" t="s">
        <v>732</v>
      </c>
      <c r="K551" t="s">
        <v>1281</v>
      </c>
      <c r="L551">
        <v>702.98</v>
      </c>
      <c r="M551">
        <v>1104.8</v>
      </c>
      <c r="N551">
        <v>0.17499999999999999</v>
      </c>
      <c r="O551">
        <v>12</v>
      </c>
    </row>
    <row r="552" spans="1:15" x14ac:dyDescent="0.3">
      <c r="A552" t="s">
        <v>564</v>
      </c>
      <c r="B552" s="2">
        <v>45633</v>
      </c>
      <c r="C552" s="2">
        <v>45652</v>
      </c>
      <c r="D552" t="s">
        <v>649</v>
      </c>
      <c r="E552" t="s">
        <v>658</v>
      </c>
      <c r="F552" t="s">
        <v>683</v>
      </c>
      <c r="G552" t="s">
        <v>706</v>
      </c>
      <c r="H552" t="s">
        <v>708</v>
      </c>
      <c r="I552" t="s">
        <v>726</v>
      </c>
      <c r="J552" t="s">
        <v>729</v>
      </c>
      <c r="K552" t="s">
        <v>1282</v>
      </c>
      <c r="L552">
        <v>1035.24</v>
      </c>
      <c r="M552">
        <v>2383.41</v>
      </c>
      <c r="N552">
        <v>0.17</v>
      </c>
      <c r="O552">
        <v>15</v>
      </c>
    </row>
    <row r="553" spans="1:15" x14ac:dyDescent="0.3">
      <c r="A553" t="s">
        <v>565</v>
      </c>
      <c r="B553" s="2">
        <v>45875</v>
      </c>
      <c r="C553" s="2">
        <v>45892</v>
      </c>
      <c r="D553" t="s">
        <v>648</v>
      </c>
      <c r="E553" t="s">
        <v>655</v>
      </c>
      <c r="F553" t="s">
        <v>672</v>
      </c>
      <c r="G553" t="s">
        <v>704</v>
      </c>
      <c r="H553" t="s">
        <v>710</v>
      </c>
      <c r="I553" t="s">
        <v>720</v>
      </c>
      <c r="J553" t="s">
        <v>732</v>
      </c>
      <c r="K553" t="s">
        <v>1283</v>
      </c>
      <c r="L553">
        <v>86.64</v>
      </c>
      <c r="M553">
        <v>213.06</v>
      </c>
      <c r="N553">
        <v>0.21199999999999999</v>
      </c>
      <c r="O553">
        <v>11</v>
      </c>
    </row>
    <row r="554" spans="1:15" x14ac:dyDescent="0.3">
      <c r="A554" t="s">
        <v>566</v>
      </c>
      <c r="B554" s="2">
        <v>44988</v>
      </c>
      <c r="C554" s="2">
        <v>45005</v>
      </c>
      <c r="D554" t="s">
        <v>647</v>
      </c>
      <c r="E554" t="s">
        <v>652</v>
      </c>
      <c r="F554" t="s">
        <v>694</v>
      </c>
      <c r="G554" t="s">
        <v>705</v>
      </c>
      <c r="H554" t="s">
        <v>708</v>
      </c>
      <c r="I554" t="s">
        <v>726</v>
      </c>
      <c r="J554" t="s">
        <v>729</v>
      </c>
      <c r="K554" t="s">
        <v>1284</v>
      </c>
      <c r="L554">
        <v>1171.17</v>
      </c>
      <c r="M554">
        <v>2030.64</v>
      </c>
      <c r="N554">
        <v>0.157</v>
      </c>
      <c r="O554">
        <v>11</v>
      </c>
    </row>
    <row r="555" spans="1:15" x14ac:dyDescent="0.3">
      <c r="A555" t="s">
        <v>567</v>
      </c>
      <c r="B555" s="2">
        <v>45704</v>
      </c>
      <c r="C555" s="2">
        <v>45733</v>
      </c>
      <c r="D555" t="s">
        <v>649</v>
      </c>
      <c r="E555" t="s">
        <v>656</v>
      </c>
      <c r="F555" t="s">
        <v>684</v>
      </c>
      <c r="G555" t="s">
        <v>704</v>
      </c>
      <c r="H555" t="s">
        <v>707</v>
      </c>
      <c r="I555" t="s">
        <v>716</v>
      </c>
      <c r="J555" t="s">
        <v>733</v>
      </c>
      <c r="K555" t="s">
        <v>1285</v>
      </c>
      <c r="L555">
        <v>730.42</v>
      </c>
      <c r="M555">
        <v>956.7</v>
      </c>
      <c r="N555">
        <v>4.2000000000000003E-2</v>
      </c>
      <c r="O555">
        <v>22</v>
      </c>
    </row>
    <row r="556" spans="1:15" x14ac:dyDescent="0.3">
      <c r="A556" t="s">
        <v>568</v>
      </c>
      <c r="B556" s="2">
        <v>45703</v>
      </c>
      <c r="C556" s="2">
        <v>45717</v>
      </c>
      <c r="D556" t="s">
        <v>646</v>
      </c>
      <c r="E556" t="s">
        <v>650</v>
      </c>
      <c r="F556" t="s">
        <v>675</v>
      </c>
      <c r="G556" t="s">
        <v>702</v>
      </c>
      <c r="H556" t="s">
        <v>711</v>
      </c>
      <c r="I556" t="s">
        <v>716</v>
      </c>
      <c r="J556" t="s">
        <v>733</v>
      </c>
      <c r="K556" t="s">
        <v>1286</v>
      </c>
      <c r="L556">
        <v>1162.8599999999999</v>
      </c>
      <c r="M556">
        <v>1447.68</v>
      </c>
      <c r="N556">
        <v>8.6999999999999994E-2</v>
      </c>
      <c r="O556">
        <v>12</v>
      </c>
    </row>
    <row r="557" spans="1:15" x14ac:dyDescent="0.3">
      <c r="A557" t="s">
        <v>569</v>
      </c>
      <c r="B557" s="2">
        <v>45535</v>
      </c>
      <c r="C557" s="2">
        <v>45561</v>
      </c>
      <c r="D557" t="s">
        <v>647</v>
      </c>
      <c r="E557" t="s">
        <v>652</v>
      </c>
      <c r="F557" t="s">
        <v>689</v>
      </c>
      <c r="G557" t="s">
        <v>702</v>
      </c>
      <c r="H557" t="s">
        <v>708</v>
      </c>
      <c r="I557" t="s">
        <v>714</v>
      </c>
      <c r="J557" t="s">
        <v>730</v>
      </c>
      <c r="K557" t="s">
        <v>1287</v>
      </c>
      <c r="L557">
        <v>1189.03</v>
      </c>
      <c r="M557">
        <v>2949.62</v>
      </c>
      <c r="N557">
        <v>0.125</v>
      </c>
      <c r="O557">
        <v>13</v>
      </c>
    </row>
    <row r="558" spans="1:15" x14ac:dyDescent="0.3">
      <c r="A558" t="s">
        <v>570</v>
      </c>
      <c r="B558" s="2">
        <v>45053</v>
      </c>
      <c r="C558" s="2">
        <v>45066</v>
      </c>
      <c r="D558" t="s">
        <v>647</v>
      </c>
      <c r="E558" t="s">
        <v>654</v>
      </c>
      <c r="F558" t="s">
        <v>691</v>
      </c>
      <c r="G558" t="s">
        <v>706</v>
      </c>
      <c r="H558" t="s">
        <v>707</v>
      </c>
      <c r="I558" t="s">
        <v>726</v>
      </c>
      <c r="J558" t="s">
        <v>733</v>
      </c>
      <c r="K558" t="s">
        <v>1288</v>
      </c>
      <c r="L558">
        <v>1443.28</v>
      </c>
      <c r="M558">
        <v>2580.5700000000002</v>
      </c>
      <c r="N558">
        <v>0</v>
      </c>
      <c r="O558">
        <v>18</v>
      </c>
    </row>
    <row r="559" spans="1:15" x14ac:dyDescent="0.3">
      <c r="A559" t="s">
        <v>571</v>
      </c>
      <c r="B559" s="2">
        <v>45791</v>
      </c>
      <c r="C559" s="2">
        <v>45789</v>
      </c>
      <c r="D559" t="s">
        <v>648</v>
      </c>
      <c r="E559" t="s">
        <v>653</v>
      </c>
      <c r="F559" t="s">
        <v>688</v>
      </c>
      <c r="G559" t="s">
        <v>703</v>
      </c>
      <c r="H559" t="s">
        <v>710</v>
      </c>
      <c r="I559" t="s">
        <v>721</v>
      </c>
      <c r="J559" t="s">
        <v>728</v>
      </c>
      <c r="K559" t="s">
        <v>1289</v>
      </c>
      <c r="L559">
        <v>883.5</v>
      </c>
      <c r="M559">
        <v>1978.91</v>
      </c>
      <c r="N559">
        <v>5.3999999999999999E-2</v>
      </c>
      <c r="O559">
        <v>27</v>
      </c>
    </row>
    <row r="560" spans="1:15" x14ac:dyDescent="0.3">
      <c r="A560" t="s">
        <v>572</v>
      </c>
      <c r="B560" s="2">
        <v>45362</v>
      </c>
      <c r="C560" s="2">
        <v>45380</v>
      </c>
      <c r="D560" t="s">
        <v>648</v>
      </c>
      <c r="E560" t="s">
        <v>660</v>
      </c>
      <c r="F560" t="s">
        <v>700</v>
      </c>
      <c r="G560" t="s">
        <v>701</v>
      </c>
      <c r="H560" t="s">
        <v>707</v>
      </c>
      <c r="I560" t="s">
        <v>724</v>
      </c>
      <c r="J560" t="s">
        <v>732</v>
      </c>
      <c r="K560" t="s">
        <v>1290</v>
      </c>
      <c r="L560">
        <v>710.98</v>
      </c>
      <c r="M560">
        <v>1481.45</v>
      </c>
      <c r="N560">
        <v>0.21099999999999999</v>
      </c>
      <c r="O560">
        <v>9</v>
      </c>
    </row>
    <row r="561" spans="1:15" x14ac:dyDescent="0.3">
      <c r="A561" t="s">
        <v>573</v>
      </c>
      <c r="B561" s="2">
        <v>45430</v>
      </c>
      <c r="C561" s="2">
        <v>45434</v>
      </c>
      <c r="D561" t="s">
        <v>646</v>
      </c>
      <c r="E561" t="s">
        <v>650</v>
      </c>
      <c r="F561" t="s">
        <v>664</v>
      </c>
      <c r="G561" t="s">
        <v>701</v>
      </c>
      <c r="H561" t="s">
        <v>711</v>
      </c>
      <c r="I561" t="s">
        <v>722</v>
      </c>
      <c r="J561" t="s">
        <v>733</v>
      </c>
      <c r="K561" t="s">
        <v>1291</v>
      </c>
      <c r="L561">
        <v>857.42</v>
      </c>
      <c r="M561">
        <v>1658.92</v>
      </c>
      <c r="N561">
        <v>0.122</v>
      </c>
      <c r="O561">
        <v>9</v>
      </c>
    </row>
    <row r="562" spans="1:15" x14ac:dyDescent="0.3">
      <c r="A562" t="s">
        <v>574</v>
      </c>
      <c r="B562" s="2">
        <v>45299</v>
      </c>
      <c r="C562" s="2">
        <v>45303</v>
      </c>
      <c r="D562" t="s">
        <v>647</v>
      </c>
      <c r="E562" t="s">
        <v>654</v>
      </c>
      <c r="F562" t="s">
        <v>668</v>
      </c>
      <c r="G562" t="s">
        <v>701</v>
      </c>
      <c r="H562" t="s">
        <v>711</v>
      </c>
      <c r="I562" t="s">
        <v>718</v>
      </c>
      <c r="J562" t="s">
        <v>728</v>
      </c>
      <c r="K562" t="s">
        <v>1292</v>
      </c>
      <c r="L562">
        <v>802.32</v>
      </c>
      <c r="M562">
        <v>602.34</v>
      </c>
      <c r="N562">
        <v>0.12</v>
      </c>
      <c r="O562">
        <v>25</v>
      </c>
    </row>
    <row r="563" spans="1:15" x14ac:dyDescent="0.3">
      <c r="A563" t="s">
        <v>575</v>
      </c>
      <c r="B563" s="2">
        <v>45590</v>
      </c>
      <c r="C563" s="2">
        <v>45601</v>
      </c>
      <c r="D563" t="s">
        <v>648</v>
      </c>
      <c r="E563" t="s">
        <v>660</v>
      </c>
      <c r="F563" t="s">
        <v>700</v>
      </c>
      <c r="G563" t="s">
        <v>701</v>
      </c>
      <c r="H563" t="s">
        <v>710</v>
      </c>
      <c r="I563" t="s">
        <v>725</v>
      </c>
      <c r="J563" t="s">
        <v>727</v>
      </c>
      <c r="K563" t="s">
        <v>1293</v>
      </c>
      <c r="L563">
        <v>446.66</v>
      </c>
      <c r="M563">
        <v>527.64</v>
      </c>
      <c r="N563">
        <v>0.14499999999999999</v>
      </c>
      <c r="O563">
        <v>15</v>
      </c>
    </row>
    <row r="564" spans="1:15" x14ac:dyDescent="0.3">
      <c r="A564" t="s">
        <v>576</v>
      </c>
      <c r="B564" s="2">
        <v>45626</v>
      </c>
      <c r="C564" s="2">
        <v>45645</v>
      </c>
      <c r="D564" t="s">
        <v>646</v>
      </c>
      <c r="E564" t="s">
        <v>650</v>
      </c>
      <c r="F564" t="s">
        <v>662</v>
      </c>
      <c r="G564" t="s">
        <v>701</v>
      </c>
      <c r="H564" t="s">
        <v>708</v>
      </c>
      <c r="I564" t="s">
        <v>716</v>
      </c>
      <c r="J564" t="s">
        <v>730</v>
      </c>
      <c r="K564" t="s">
        <v>1294</v>
      </c>
      <c r="L564">
        <v>1195.98</v>
      </c>
      <c r="M564">
        <v>1841.9</v>
      </c>
      <c r="N564">
        <v>5.5E-2</v>
      </c>
      <c r="O564">
        <v>19</v>
      </c>
    </row>
    <row r="565" spans="1:15" x14ac:dyDescent="0.3">
      <c r="A565" t="s">
        <v>577</v>
      </c>
      <c r="B565" s="2">
        <v>45029</v>
      </c>
      <c r="C565" s="2">
        <v>45048</v>
      </c>
      <c r="D565" t="s">
        <v>648</v>
      </c>
      <c r="E565" t="s">
        <v>653</v>
      </c>
      <c r="F565" t="s">
        <v>681</v>
      </c>
      <c r="G565" t="s">
        <v>704</v>
      </c>
      <c r="H565" t="s">
        <v>710</v>
      </c>
      <c r="I565" t="s">
        <v>718</v>
      </c>
      <c r="J565" t="s">
        <v>732</v>
      </c>
      <c r="K565" t="s">
        <v>1295</v>
      </c>
      <c r="L565">
        <v>671.05</v>
      </c>
      <c r="M565">
        <v>1645.48</v>
      </c>
      <c r="N565">
        <v>0.13700000000000001</v>
      </c>
      <c r="O565">
        <v>6</v>
      </c>
    </row>
    <row r="566" spans="1:15" x14ac:dyDescent="0.3">
      <c r="A566" t="s">
        <v>578</v>
      </c>
      <c r="B566" s="2">
        <v>45692</v>
      </c>
      <c r="C566" s="2">
        <v>45696</v>
      </c>
      <c r="D566" t="s">
        <v>649</v>
      </c>
      <c r="E566" t="s">
        <v>658</v>
      </c>
      <c r="F566" t="s">
        <v>693</v>
      </c>
      <c r="G566" t="s">
        <v>706</v>
      </c>
      <c r="H566" t="s">
        <v>709</v>
      </c>
      <c r="I566" t="s">
        <v>716</v>
      </c>
      <c r="J566" t="s">
        <v>729</v>
      </c>
      <c r="K566" t="s">
        <v>1296</v>
      </c>
      <c r="L566">
        <v>586.21</v>
      </c>
      <c r="M566">
        <v>727.22</v>
      </c>
      <c r="N566">
        <v>6.8000000000000005E-2</v>
      </c>
      <c r="O566">
        <v>15</v>
      </c>
    </row>
    <row r="567" spans="1:15" x14ac:dyDescent="0.3">
      <c r="A567" t="s">
        <v>579</v>
      </c>
      <c r="B567" s="2">
        <v>45315</v>
      </c>
      <c r="C567" s="2">
        <v>45326</v>
      </c>
      <c r="D567" t="s">
        <v>649</v>
      </c>
      <c r="E567" t="s">
        <v>658</v>
      </c>
      <c r="F567" t="s">
        <v>693</v>
      </c>
      <c r="G567" t="s">
        <v>704</v>
      </c>
      <c r="H567" t="s">
        <v>707</v>
      </c>
      <c r="I567" t="s">
        <v>717</v>
      </c>
      <c r="J567" t="s">
        <v>731</v>
      </c>
      <c r="K567" t="s">
        <v>1297</v>
      </c>
      <c r="L567">
        <v>525.34</v>
      </c>
      <c r="M567">
        <v>1233.79</v>
      </c>
      <c r="N567">
        <v>0.14299999999999999</v>
      </c>
      <c r="O567">
        <v>4</v>
      </c>
    </row>
    <row r="568" spans="1:15" x14ac:dyDescent="0.3">
      <c r="A568" t="s">
        <v>580</v>
      </c>
      <c r="B568" s="2">
        <v>45330</v>
      </c>
      <c r="C568" s="2">
        <v>45331</v>
      </c>
      <c r="D568" t="s">
        <v>646</v>
      </c>
      <c r="E568" t="s">
        <v>650</v>
      </c>
      <c r="F568" t="s">
        <v>675</v>
      </c>
      <c r="G568" t="s">
        <v>701</v>
      </c>
      <c r="H568" t="s">
        <v>711</v>
      </c>
      <c r="I568" t="s">
        <v>721</v>
      </c>
      <c r="J568" t="s">
        <v>727</v>
      </c>
      <c r="K568" t="s">
        <v>1298</v>
      </c>
      <c r="L568">
        <v>1233.52</v>
      </c>
      <c r="M568">
        <v>1543.76</v>
      </c>
      <c r="N568">
        <v>0.126</v>
      </c>
      <c r="O568">
        <v>13</v>
      </c>
    </row>
    <row r="569" spans="1:15" x14ac:dyDescent="0.3">
      <c r="A569" t="s">
        <v>581</v>
      </c>
      <c r="B569" s="2">
        <v>45834</v>
      </c>
      <c r="C569" s="2">
        <v>45849</v>
      </c>
      <c r="D569" t="s">
        <v>646</v>
      </c>
      <c r="E569" t="s">
        <v>651</v>
      </c>
      <c r="F569" t="s">
        <v>663</v>
      </c>
      <c r="G569" t="s">
        <v>705</v>
      </c>
      <c r="H569" t="s">
        <v>708</v>
      </c>
      <c r="I569" t="s">
        <v>720</v>
      </c>
      <c r="J569" t="s">
        <v>731</v>
      </c>
      <c r="K569" t="s">
        <v>1299</v>
      </c>
      <c r="L569">
        <v>1170.1500000000001</v>
      </c>
      <c r="M569">
        <v>2115.19</v>
      </c>
      <c r="N569">
        <v>9.1999999999999998E-2</v>
      </c>
      <c r="O569">
        <v>23</v>
      </c>
    </row>
    <row r="570" spans="1:15" x14ac:dyDescent="0.3">
      <c r="A570" t="s">
        <v>582</v>
      </c>
      <c r="B570" s="2">
        <v>45600</v>
      </c>
      <c r="C570" s="2">
        <v>45603</v>
      </c>
      <c r="D570" t="s">
        <v>649</v>
      </c>
      <c r="E570" t="s">
        <v>657</v>
      </c>
      <c r="F570" t="s">
        <v>679</v>
      </c>
      <c r="G570" t="s">
        <v>701</v>
      </c>
      <c r="H570" t="s">
        <v>708</v>
      </c>
      <c r="I570" t="s">
        <v>719</v>
      </c>
      <c r="J570" t="s">
        <v>732</v>
      </c>
      <c r="K570" t="s">
        <v>1300</v>
      </c>
      <c r="L570">
        <v>740.68</v>
      </c>
      <c r="M570">
        <v>1837.19</v>
      </c>
      <c r="N570">
        <v>0.19700000000000001</v>
      </c>
      <c r="O570">
        <v>17</v>
      </c>
    </row>
    <row r="571" spans="1:15" x14ac:dyDescent="0.3">
      <c r="A571" t="s">
        <v>583</v>
      </c>
      <c r="B571" s="2">
        <v>45342</v>
      </c>
      <c r="C571" s="2">
        <v>45342</v>
      </c>
      <c r="D571" t="s">
        <v>648</v>
      </c>
      <c r="E571" t="s">
        <v>660</v>
      </c>
      <c r="F571" t="s">
        <v>700</v>
      </c>
      <c r="G571" t="s">
        <v>706</v>
      </c>
      <c r="H571" t="s">
        <v>708</v>
      </c>
      <c r="I571" t="s">
        <v>712</v>
      </c>
      <c r="J571" t="s">
        <v>729</v>
      </c>
      <c r="K571" t="s">
        <v>1301</v>
      </c>
      <c r="L571">
        <v>1407.05</v>
      </c>
      <c r="M571">
        <v>2858.93</v>
      </c>
      <c r="N571">
        <v>0</v>
      </c>
      <c r="O571">
        <v>12</v>
      </c>
    </row>
    <row r="572" spans="1:15" x14ac:dyDescent="0.3">
      <c r="A572" t="s">
        <v>584</v>
      </c>
      <c r="B572" s="2">
        <v>45760</v>
      </c>
      <c r="C572" s="2">
        <v>45761</v>
      </c>
      <c r="D572" t="s">
        <v>647</v>
      </c>
      <c r="E572" t="s">
        <v>652</v>
      </c>
      <c r="F572" t="s">
        <v>666</v>
      </c>
      <c r="G572" t="s">
        <v>706</v>
      </c>
      <c r="H572" t="s">
        <v>708</v>
      </c>
      <c r="I572" t="s">
        <v>715</v>
      </c>
      <c r="J572" t="s">
        <v>727</v>
      </c>
      <c r="K572" t="s">
        <v>1302</v>
      </c>
      <c r="L572">
        <v>138.9</v>
      </c>
      <c r="M572">
        <v>289.92</v>
      </c>
      <c r="N572">
        <v>2.9000000000000001E-2</v>
      </c>
      <c r="O572">
        <v>12</v>
      </c>
    </row>
    <row r="573" spans="1:15" x14ac:dyDescent="0.3">
      <c r="A573" t="s">
        <v>585</v>
      </c>
      <c r="B573" s="2">
        <v>45078</v>
      </c>
      <c r="C573" s="2">
        <v>45078</v>
      </c>
      <c r="D573" t="s">
        <v>647</v>
      </c>
      <c r="E573" t="s">
        <v>654</v>
      </c>
      <c r="F573" t="s">
        <v>668</v>
      </c>
      <c r="G573" t="s">
        <v>701</v>
      </c>
      <c r="H573" t="s">
        <v>707</v>
      </c>
      <c r="I573" t="s">
        <v>718</v>
      </c>
      <c r="J573" t="s">
        <v>733</v>
      </c>
      <c r="K573" t="s">
        <v>1303</v>
      </c>
      <c r="L573">
        <v>669.37</v>
      </c>
      <c r="M573">
        <v>997.2</v>
      </c>
      <c r="N573">
        <v>8.2000000000000003E-2</v>
      </c>
      <c r="O573">
        <v>5</v>
      </c>
    </row>
    <row r="574" spans="1:15" x14ac:dyDescent="0.3">
      <c r="A574" t="s">
        <v>586</v>
      </c>
      <c r="B574" s="2">
        <v>45740</v>
      </c>
      <c r="C574" s="2">
        <v>45751</v>
      </c>
      <c r="D574" t="s">
        <v>647</v>
      </c>
      <c r="E574" t="s">
        <v>654</v>
      </c>
      <c r="F574" t="s">
        <v>691</v>
      </c>
      <c r="G574" t="s">
        <v>702</v>
      </c>
      <c r="H574" t="s">
        <v>709</v>
      </c>
      <c r="I574" t="s">
        <v>713</v>
      </c>
      <c r="J574" t="s">
        <v>730</v>
      </c>
      <c r="K574" t="s">
        <v>1304</v>
      </c>
      <c r="L574">
        <v>23.83</v>
      </c>
      <c r="M574">
        <v>47.29</v>
      </c>
      <c r="N574">
        <v>6.4000000000000001E-2</v>
      </c>
      <c r="O574">
        <v>19</v>
      </c>
    </row>
    <row r="575" spans="1:15" x14ac:dyDescent="0.3">
      <c r="A575" t="s">
        <v>587</v>
      </c>
      <c r="B575" s="2">
        <v>45293</v>
      </c>
      <c r="C575" s="2">
        <v>45293</v>
      </c>
      <c r="D575" t="s">
        <v>648</v>
      </c>
      <c r="E575" t="s">
        <v>653</v>
      </c>
      <c r="F575" t="s">
        <v>688</v>
      </c>
      <c r="G575" t="s">
        <v>702</v>
      </c>
      <c r="H575" t="s">
        <v>711</v>
      </c>
      <c r="I575" t="s">
        <v>720</v>
      </c>
      <c r="J575" t="s">
        <v>731</v>
      </c>
      <c r="K575" t="s">
        <v>1305</v>
      </c>
      <c r="L575">
        <v>444.41</v>
      </c>
      <c r="M575">
        <v>754.24</v>
      </c>
      <c r="N575">
        <v>0.20699999999999999</v>
      </c>
      <c r="O575">
        <v>32</v>
      </c>
    </row>
    <row r="576" spans="1:15" x14ac:dyDescent="0.3">
      <c r="A576" t="s">
        <v>588</v>
      </c>
      <c r="B576" s="2">
        <v>45279</v>
      </c>
      <c r="C576" s="2">
        <v>45292</v>
      </c>
      <c r="D576" t="s">
        <v>648</v>
      </c>
      <c r="E576" t="s">
        <v>653</v>
      </c>
      <c r="F576" t="s">
        <v>667</v>
      </c>
      <c r="G576" t="s">
        <v>706</v>
      </c>
      <c r="H576" t="s">
        <v>707</v>
      </c>
      <c r="I576" t="s">
        <v>723</v>
      </c>
      <c r="J576" t="s">
        <v>732</v>
      </c>
      <c r="K576" t="s">
        <v>1306</v>
      </c>
      <c r="L576">
        <v>856.1</v>
      </c>
      <c r="M576">
        <v>901.48</v>
      </c>
      <c r="N576">
        <v>5.6000000000000001E-2</v>
      </c>
      <c r="O576">
        <v>17</v>
      </c>
    </row>
    <row r="577" spans="1:15" x14ac:dyDescent="0.3">
      <c r="A577" t="s">
        <v>589</v>
      </c>
      <c r="B577" s="2">
        <v>45042</v>
      </c>
      <c r="C577" s="2">
        <v>45042</v>
      </c>
      <c r="D577" t="s">
        <v>649</v>
      </c>
      <c r="E577" t="s">
        <v>657</v>
      </c>
      <c r="F577" t="s">
        <v>673</v>
      </c>
      <c r="G577" t="s">
        <v>704</v>
      </c>
      <c r="H577" t="s">
        <v>711</v>
      </c>
      <c r="I577" t="s">
        <v>724</v>
      </c>
      <c r="J577" t="s">
        <v>727</v>
      </c>
      <c r="K577" t="s">
        <v>1307</v>
      </c>
      <c r="L577">
        <v>81.489999999999995</v>
      </c>
      <c r="M577">
        <v>113.08</v>
      </c>
      <c r="N577">
        <v>0.121</v>
      </c>
      <c r="O577">
        <v>5</v>
      </c>
    </row>
    <row r="578" spans="1:15" x14ac:dyDescent="0.3">
      <c r="A578" t="s">
        <v>590</v>
      </c>
      <c r="B578" s="2">
        <v>45872</v>
      </c>
      <c r="C578" s="2">
        <v>45885</v>
      </c>
      <c r="D578" t="s">
        <v>648</v>
      </c>
      <c r="E578" t="s">
        <v>653</v>
      </c>
      <c r="F578" t="s">
        <v>681</v>
      </c>
      <c r="G578" t="s">
        <v>706</v>
      </c>
      <c r="H578" t="s">
        <v>710</v>
      </c>
      <c r="I578" t="s">
        <v>719</v>
      </c>
      <c r="J578" t="s">
        <v>729</v>
      </c>
      <c r="K578" t="s">
        <v>1308</v>
      </c>
      <c r="L578">
        <v>698.66</v>
      </c>
      <c r="M578">
        <v>868.62</v>
      </c>
      <c r="N578">
        <v>7.1999999999999995E-2</v>
      </c>
      <c r="O578">
        <v>15</v>
      </c>
    </row>
    <row r="579" spans="1:15" x14ac:dyDescent="0.3">
      <c r="A579" t="s">
        <v>591</v>
      </c>
      <c r="B579" s="2">
        <v>45140</v>
      </c>
      <c r="C579" s="2">
        <v>45157</v>
      </c>
      <c r="D579" t="s">
        <v>648</v>
      </c>
      <c r="E579" t="s">
        <v>653</v>
      </c>
      <c r="F579" t="s">
        <v>688</v>
      </c>
      <c r="G579" t="s">
        <v>701</v>
      </c>
      <c r="H579" t="s">
        <v>708</v>
      </c>
      <c r="I579" t="s">
        <v>721</v>
      </c>
      <c r="J579" t="s">
        <v>729</v>
      </c>
      <c r="K579" t="s">
        <v>1309</v>
      </c>
      <c r="L579">
        <v>175.38</v>
      </c>
      <c r="M579">
        <v>347.9</v>
      </c>
      <c r="N579">
        <v>7.1999999999999995E-2</v>
      </c>
      <c r="O579">
        <v>43</v>
      </c>
    </row>
    <row r="580" spans="1:15" x14ac:dyDescent="0.3">
      <c r="A580" t="s">
        <v>592</v>
      </c>
      <c r="B580" s="2">
        <v>45092</v>
      </c>
      <c r="C580" s="2">
        <v>45119</v>
      </c>
      <c r="D580" t="s">
        <v>649</v>
      </c>
      <c r="E580" t="s">
        <v>658</v>
      </c>
      <c r="F580" t="s">
        <v>693</v>
      </c>
      <c r="G580" t="s">
        <v>704</v>
      </c>
      <c r="H580" t="s">
        <v>711</v>
      </c>
      <c r="I580" t="s">
        <v>714</v>
      </c>
      <c r="J580" t="s">
        <v>733</v>
      </c>
      <c r="K580" t="s">
        <v>1310</v>
      </c>
      <c r="L580">
        <v>751.28</v>
      </c>
      <c r="M580">
        <v>1111.8800000000001</v>
      </c>
      <c r="N580">
        <v>0.13500000000000001</v>
      </c>
      <c r="O580">
        <v>7</v>
      </c>
    </row>
    <row r="581" spans="1:15" x14ac:dyDescent="0.3">
      <c r="A581" t="s">
        <v>593</v>
      </c>
      <c r="B581" s="2">
        <v>45607</v>
      </c>
      <c r="C581" s="2">
        <v>45620</v>
      </c>
      <c r="D581" t="s">
        <v>649</v>
      </c>
      <c r="E581" t="s">
        <v>658</v>
      </c>
      <c r="F581" t="s">
        <v>683</v>
      </c>
      <c r="G581" t="s">
        <v>701</v>
      </c>
      <c r="H581" t="s">
        <v>707</v>
      </c>
      <c r="I581" t="s">
        <v>718</v>
      </c>
      <c r="J581" t="s">
        <v>729</v>
      </c>
      <c r="K581" t="s">
        <v>1311</v>
      </c>
      <c r="L581">
        <v>164.53</v>
      </c>
      <c r="M581">
        <v>327.72</v>
      </c>
      <c r="N581">
        <v>6.7000000000000004E-2</v>
      </c>
      <c r="O581">
        <v>14</v>
      </c>
    </row>
    <row r="582" spans="1:15" x14ac:dyDescent="0.3">
      <c r="A582" t="s">
        <v>594</v>
      </c>
      <c r="B582" s="2">
        <v>45849</v>
      </c>
      <c r="C582" s="2">
        <v>45872</v>
      </c>
      <c r="D582" t="s">
        <v>646</v>
      </c>
      <c r="E582" t="s">
        <v>650</v>
      </c>
      <c r="F582" t="s">
        <v>678</v>
      </c>
      <c r="G582" t="s">
        <v>705</v>
      </c>
      <c r="H582" t="s">
        <v>707</v>
      </c>
      <c r="I582" t="s">
        <v>712</v>
      </c>
      <c r="J582" t="s">
        <v>730</v>
      </c>
      <c r="K582" t="s">
        <v>1312</v>
      </c>
      <c r="L582">
        <v>389.93</v>
      </c>
      <c r="M582">
        <v>486.13</v>
      </c>
      <c r="N582">
        <v>0.13200000000000001</v>
      </c>
      <c r="O582">
        <v>17</v>
      </c>
    </row>
    <row r="583" spans="1:15" x14ac:dyDescent="0.3">
      <c r="A583" t="s">
        <v>595</v>
      </c>
      <c r="B583" s="2">
        <v>45080</v>
      </c>
      <c r="C583" s="2">
        <v>45108</v>
      </c>
      <c r="D583" t="s">
        <v>648</v>
      </c>
      <c r="E583" t="s">
        <v>655</v>
      </c>
      <c r="F583" t="s">
        <v>672</v>
      </c>
      <c r="G583" t="s">
        <v>705</v>
      </c>
      <c r="H583" t="s">
        <v>709</v>
      </c>
      <c r="I583" t="s">
        <v>720</v>
      </c>
      <c r="J583" t="s">
        <v>727</v>
      </c>
      <c r="K583" t="s">
        <v>1313</v>
      </c>
      <c r="L583">
        <v>860.4</v>
      </c>
      <c r="M583">
        <v>2066.6</v>
      </c>
      <c r="N583">
        <v>0.01</v>
      </c>
      <c r="O583">
        <v>3</v>
      </c>
    </row>
    <row r="584" spans="1:15" x14ac:dyDescent="0.3">
      <c r="A584" t="s">
        <v>596</v>
      </c>
      <c r="B584" s="2">
        <v>44955</v>
      </c>
      <c r="C584" s="2">
        <v>44963</v>
      </c>
      <c r="D584" t="s">
        <v>648</v>
      </c>
      <c r="E584" t="s">
        <v>655</v>
      </c>
      <c r="F584" t="s">
        <v>672</v>
      </c>
      <c r="G584" t="s">
        <v>701</v>
      </c>
      <c r="H584" t="s">
        <v>709</v>
      </c>
      <c r="I584" t="s">
        <v>726</v>
      </c>
      <c r="J584" t="s">
        <v>732</v>
      </c>
      <c r="K584" t="s">
        <v>1314</v>
      </c>
      <c r="L584">
        <v>41.84</v>
      </c>
      <c r="M584">
        <v>86.2</v>
      </c>
      <c r="N584">
        <v>0.22600000000000001</v>
      </c>
      <c r="O584">
        <v>27</v>
      </c>
    </row>
    <row r="585" spans="1:15" x14ac:dyDescent="0.3">
      <c r="A585" t="s">
        <v>597</v>
      </c>
      <c r="B585" s="2">
        <v>45541</v>
      </c>
      <c r="C585" s="2">
        <v>45539</v>
      </c>
      <c r="D585" t="s">
        <v>647</v>
      </c>
      <c r="E585" t="s">
        <v>652</v>
      </c>
      <c r="F585" t="s">
        <v>666</v>
      </c>
      <c r="G585" t="s">
        <v>701</v>
      </c>
      <c r="H585" t="s">
        <v>711</v>
      </c>
      <c r="I585" t="s">
        <v>720</v>
      </c>
      <c r="J585" t="s">
        <v>731</v>
      </c>
      <c r="K585" t="s">
        <v>1315</v>
      </c>
      <c r="L585">
        <v>1368.17</v>
      </c>
      <c r="M585">
        <v>2307.75</v>
      </c>
      <c r="N585">
        <v>0.16300000000000001</v>
      </c>
      <c r="O585">
        <v>21</v>
      </c>
    </row>
    <row r="586" spans="1:15" x14ac:dyDescent="0.3">
      <c r="A586" t="s">
        <v>598</v>
      </c>
      <c r="B586" s="2">
        <v>45507</v>
      </c>
      <c r="C586" s="2">
        <v>45513</v>
      </c>
      <c r="D586" t="s">
        <v>646</v>
      </c>
      <c r="E586" t="s">
        <v>650</v>
      </c>
      <c r="F586" t="s">
        <v>675</v>
      </c>
      <c r="G586" t="s">
        <v>704</v>
      </c>
      <c r="H586" t="s">
        <v>709</v>
      </c>
      <c r="I586" t="s">
        <v>722</v>
      </c>
      <c r="J586" t="s">
        <v>731</v>
      </c>
      <c r="K586" t="s">
        <v>1316</v>
      </c>
      <c r="L586">
        <v>643.21</v>
      </c>
      <c r="M586">
        <v>1112.81</v>
      </c>
      <c r="N586">
        <v>0.14099999999999999</v>
      </c>
      <c r="O586">
        <v>4</v>
      </c>
    </row>
    <row r="587" spans="1:15" x14ac:dyDescent="0.3">
      <c r="A587" t="s">
        <v>599</v>
      </c>
      <c r="B587" s="2">
        <v>45764</v>
      </c>
      <c r="C587" s="2">
        <v>45764</v>
      </c>
      <c r="D587" t="s">
        <v>648</v>
      </c>
      <c r="E587" t="s">
        <v>655</v>
      </c>
      <c r="F587" t="s">
        <v>670</v>
      </c>
      <c r="G587" t="s">
        <v>701</v>
      </c>
      <c r="H587" t="s">
        <v>710</v>
      </c>
      <c r="I587" t="s">
        <v>716</v>
      </c>
      <c r="J587" t="s">
        <v>730</v>
      </c>
      <c r="K587" t="s">
        <v>1317</v>
      </c>
      <c r="L587">
        <v>719.41</v>
      </c>
      <c r="M587">
        <v>1125.99</v>
      </c>
      <c r="N587">
        <v>4.1000000000000002E-2</v>
      </c>
      <c r="O587">
        <v>21</v>
      </c>
    </row>
    <row r="588" spans="1:15" x14ac:dyDescent="0.3">
      <c r="A588" t="s">
        <v>600</v>
      </c>
      <c r="B588" s="2">
        <v>45049</v>
      </c>
      <c r="C588" s="2">
        <v>45062</v>
      </c>
      <c r="D588" t="s">
        <v>648</v>
      </c>
      <c r="E588" t="s">
        <v>660</v>
      </c>
      <c r="F588" t="s">
        <v>700</v>
      </c>
      <c r="G588" t="s">
        <v>701</v>
      </c>
      <c r="H588" t="s">
        <v>709</v>
      </c>
      <c r="I588" t="s">
        <v>716</v>
      </c>
      <c r="J588" t="s">
        <v>730</v>
      </c>
      <c r="K588" t="s">
        <v>1318</v>
      </c>
      <c r="L588">
        <v>64.5</v>
      </c>
      <c r="M588">
        <v>123.62</v>
      </c>
      <c r="N588">
        <v>0</v>
      </c>
      <c r="O588">
        <v>3</v>
      </c>
    </row>
    <row r="589" spans="1:15" x14ac:dyDescent="0.3">
      <c r="A589" t="s">
        <v>601</v>
      </c>
      <c r="B589" s="2">
        <v>45364</v>
      </c>
      <c r="C589" s="2">
        <v>45388</v>
      </c>
      <c r="D589" t="s">
        <v>646</v>
      </c>
      <c r="E589" t="s">
        <v>651</v>
      </c>
      <c r="F589" t="s">
        <v>669</v>
      </c>
      <c r="G589" t="s">
        <v>704</v>
      </c>
      <c r="H589" t="s">
        <v>710</v>
      </c>
      <c r="I589" t="s">
        <v>716</v>
      </c>
      <c r="J589" t="s">
        <v>727</v>
      </c>
      <c r="K589" t="s">
        <v>1319</v>
      </c>
      <c r="L589">
        <v>1232.78</v>
      </c>
      <c r="M589">
        <v>1731.75</v>
      </c>
      <c r="N589">
        <v>9.2999999999999999E-2</v>
      </c>
      <c r="O589">
        <v>16</v>
      </c>
    </row>
    <row r="590" spans="1:15" x14ac:dyDescent="0.3">
      <c r="A590" t="s">
        <v>602</v>
      </c>
      <c r="B590" s="2">
        <v>45459</v>
      </c>
      <c r="C590" s="2">
        <v>45464</v>
      </c>
      <c r="D590" t="s">
        <v>647</v>
      </c>
      <c r="E590" t="s">
        <v>652</v>
      </c>
      <c r="F590" t="s">
        <v>689</v>
      </c>
      <c r="G590" t="s">
        <v>705</v>
      </c>
      <c r="H590" t="s">
        <v>710</v>
      </c>
      <c r="I590" t="s">
        <v>721</v>
      </c>
      <c r="J590" t="s">
        <v>730</v>
      </c>
      <c r="K590" t="s">
        <v>1320</v>
      </c>
      <c r="L590">
        <v>1367.13</v>
      </c>
      <c r="M590">
        <v>3062.01</v>
      </c>
      <c r="N590">
        <v>0.10299999999999999</v>
      </c>
      <c r="O590">
        <v>25</v>
      </c>
    </row>
    <row r="591" spans="1:15" x14ac:dyDescent="0.3">
      <c r="A591" t="s">
        <v>603</v>
      </c>
      <c r="B591" s="2">
        <v>45703</v>
      </c>
      <c r="C591" s="2">
        <v>45715</v>
      </c>
      <c r="D591" t="s">
        <v>649</v>
      </c>
      <c r="E591" t="s">
        <v>657</v>
      </c>
      <c r="F591" t="s">
        <v>679</v>
      </c>
      <c r="G591" t="s">
        <v>703</v>
      </c>
      <c r="H591" t="s">
        <v>711</v>
      </c>
      <c r="I591" t="s">
        <v>723</v>
      </c>
      <c r="J591" t="s">
        <v>733</v>
      </c>
      <c r="K591" t="s">
        <v>1321</v>
      </c>
      <c r="L591">
        <v>1027.26</v>
      </c>
      <c r="M591">
        <v>2200.41</v>
      </c>
      <c r="N591">
        <v>8.7999999999999995E-2</v>
      </c>
      <c r="O591">
        <v>6</v>
      </c>
    </row>
    <row r="592" spans="1:15" x14ac:dyDescent="0.3">
      <c r="A592" t="s">
        <v>604</v>
      </c>
      <c r="B592" s="2">
        <v>45019</v>
      </c>
      <c r="C592" s="2">
        <v>45032</v>
      </c>
      <c r="D592" t="s">
        <v>649</v>
      </c>
      <c r="E592" t="s">
        <v>657</v>
      </c>
      <c r="F592" t="s">
        <v>673</v>
      </c>
      <c r="G592" t="s">
        <v>703</v>
      </c>
      <c r="H592" t="s">
        <v>709</v>
      </c>
      <c r="I592" t="s">
        <v>724</v>
      </c>
      <c r="J592" t="s">
        <v>733</v>
      </c>
      <c r="K592" t="s">
        <v>1322</v>
      </c>
      <c r="L592">
        <v>790.54</v>
      </c>
      <c r="M592">
        <v>601.49</v>
      </c>
      <c r="N592">
        <v>0</v>
      </c>
      <c r="O592">
        <v>15</v>
      </c>
    </row>
    <row r="593" spans="1:15" x14ac:dyDescent="0.3">
      <c r="A593" t="s">
        <v>605</v>
      </c>
      <c r="B593" s="2">
        <v>45899</v>
      </c>
      <c r="C593" s="2">
        <v>45922</v>
      </c>
      <c r="D593" t="s">
        <v>649</v>
      </c>
      <c r="E593" t="s">
        <v>657</v>
      </c>
      <c r="F593" t="s">
        <v>673</v>
      </c>
      <c r="G593" t="s">
        <v>701</v>
      </c>
      <c r="H593" t="s">
        <v>711</v>
      </c>
      <c r="I593" t="s">
        <v>718</v>
      </c>
      <c r="J593" t="s">
        <v>727</v>
      </c>
      <c r="K593" t="s">
        <v>1323</v>
      </c>
      <c r="L593">
        <v>663.9</v>
      </c>
      <c r="M593">
        <v>947.77</v>
      </c>
      <c r="N593">
        <v>0.17399999999999999</v>
      </c>
      <c r="O593">
        <v>15</v>
      </c>
    </row>
    <row r="594" spans="1:15" x14ac:dyDescent="0.3">
      <c r="A594" t="s">
        <v>606</v>
      </c>
      <c r="B594" s="2">
        <v>44984</v>
      </c>
      <c r="C594" s="2">
        <v>44983</v>
      </c>
      <c r="D594" t="s">
        <v>648</v>
      </c>
      <c r="E594" t="s">
        <v>660</v>
      </c>
      <c r="F594" t="s">
        <v>686</v>
      </c>
      <c r="G594" t="s">
        <v>703</v>
      </c>
      <c r="H594" t="s">
        <v>708</v>
      </c>
      <c r="I594" t="s">
        <v>716</v>
      </c>
      <c r="J594" t="s">
        <v>729</v>
      </c>
      <c r="K594" t="s">
        <v>1324</v>
      </c>
      <c r="L594">
        <v>1015.91</v>
      </c>
      <c r="M594">
        <v>2331.48</v>
      </c>
      <c r="N594">
        <v>0.14599999999999999</v>
      </c>
      <c r="O594">
        <v>26</v>
      </c>
    </row>
    <row r="595" spans="1:15" x14ac:dyDescent="0.3">
      <c r="A595" t="s">
        <v>607</v>
      </c>
      <c r="B595" s="2">
        <v>45504</v>
      </c>
      <c r="C595" s="2">
        <v>45519</v>
      </c>
      <c r="D595" t="s">
        <v>647</v>
      </c>
      <c r="E595" t="s">
        <v>652</v>
      </c>
      <c r="F595" t="s">
        <v>689</v>
      </c>
      <c r="G595" t="s">
        <v>701</v>
      </c>
      <c r="H595" t="s">
        <v>709</v>
      </c>
      <c r="I595" t="s">
        <v>721</v>
      </c>
      <c r="J595" t="s">
        <v>732</v>
      </c>
      <c r="K595" t="s">
        <v>1325</v>
      </c>
      <c r="L595">
        <v>1252.52</v>
      </c>
      <c r="M595">
        <v>1417.24</v>
      </c>
      <c r="N595">
        <v>0.192</v>
      </c>
      <c r="O595">
        <v>5</v>
      </c>
    </row>
    <row r="596" spans="1:15" x14ac:dyDescent="0.3">
      <c r="A596" t="s">
        <v>608</v>
      </c>
      <c r="B596" s="2">
        <v>45823</v>
      </c>
      <c r="C596" s="2">
        <v>45850</v>
      </c>
      <c r="D596" t="s">
        <v>649</v>
      </c>
      <c r="E596" t="s">
        <v>657</v>
      </c>
      <c r="F596" t="s">
        <v>673</v>
      </c>
      <c r="G596" t="s">
        <v>704</v>
      </c>
      <c r="H596" t="s">
        <v>711</v>
      </c>
      <c r="I596" t="s">
        <v>712</v>
      </c>
      <c r="J596" t="s">
        <v>733</v>
      </c>
      <c r="K596" t="s">
        <v>1326</v>
      </c>
      <c r="L596">
        <v>318.83</v>
      </c>
      <c r="M596">
        <v>699.5</v>
      </c>
      <c r="N596">
        <v>0.08</v>
      </c>
      <c r="O596">
        <v>13</v>
      </c>
    </row>
    <row r="597" spans="1:15" x14ac:dyDescent="0.3">
      <c r="A597" t="s">
        <v>609</v>
      </c>
      <c r="B597" s="2">
        <v>45473</v>
      </c>
      <c r="C597" s="2">
        <v>45494</v>
      </c>
      <c r="D597" t="s">
        <v>646</v>
      </c>
      <c r="E597" t="s">
        <v>650</v>
      </c>
      <c r="F597" t="s">
        <v>662</v>
      </c>
      <c r="G597" t="s">
        <v>705</v>
      </c>
      <c r="H597" t="s">
        <v>707</v>
      </c>
      <c r="I597" t="s">
        <v>723</v>
      </c>
      <c r="J597" t="s">
        <v>731</v>
      </c>
      <c r="K597" t="s">
        <v>1327</v>
      </c>
      <c r="L597">
        <v>753.43</v>
      </c>
      <c r="M597">
        <v>1787.2</v>
      </c>
      <c r="N597">
        <v>7.2999999999999995E-2</v>
      </c>
      <c r="O597">
        <v>9</v>
      </c>
    </row>
    <row r="598" spans="1:15" x14ac:dyDescent="0.3">
      <c r="A598" t="s">
        <v>610</v>
      </c>
      <c r="B598" s="2">
        <v>45705</v>
      </c>
      <c r="C598" s="2">
        <v>45703</v>
      </c>
      <c r="D598" t="s">
        <v>648</v>
      </c>
      <c r="E598" t="s">
        <v>653</v>
      </c>
      <c r="F598" t="s">
        <v>667</v>
      </c>
      <c r="G598" t="s">
        <v>705</v>
      </c>
      <c r="H598" t="s">
        <v>707</v>
      </c>
      <c r="I598" t="s">
        <v>726</v>
      </c>
      <c r="J598" t="s">
        <v>727</v>
      </c>
      <c r="K598" t="s">
        <v>1328</v>
      </c>
      <c r="L598">
        <v>1133.47</v>
      </c>
      <c r="M598">
        <v>1698.75</v>
      </c>
      <c r="N598">
        <v>4.2999999999999997E-2</v>
      </c>
      <c r="O598">
        <v>5</v>
      </c>
    </row>
    <row r="599" spans="1:15" x14ac:dyDescent="0.3">
      <c r="A599" t="s">
        <v>611</v>
      </c>
      <c r="B599" s="2">
        <v>44933</v>
      </c>
      <c r="C599" s="2">
        <v>44956</v>
      </c>
      <c r="D599" t="s">
        <v>646</v>
      </c>
      <c r="E599" t="s">
        <v>661</v>
      </c>
      <c r="F599" t="s">
        <v>695</v>
      </c>
      <c r="G599" t="s">
        <v>704</v>
      </c>
      <c r="H599" t="s">
        <v>708</v>
      </c>
      <c r="I599" t="s">
        <v>720</v>
      </c>
      <c r="J599" t="s">
        <v>728</v>
      </c>
      <c r="K599" t="s">
        <v>1329</v>
      </c>
      <c r="L599">
        <v>299.02</v>
      </c>
      <c r="M599">
        <v>724.7</v>
      </c>
      <c r="N599">
        <v>0.14000000000000001</v>
      </c>
      <c r="O599">
        <v>5</v>
      </c>
    </row>
    <row r="600" spans="1:15" x14ac:dyDescent="0.3">
      <c r="A600" t="s">
        <v>612</v>
      </c>
      <c r="B600" s="2">
        <v>45726</v>
      </c>
      <c r="C600" s="2">
        <v>45751</v>
      </c>
      <c r="D600" t="s">
        <v>647</v>
      </c>
      <c r="E600" t="s">
        <v>652</v>
      </c>
      <c r="F600" t="s">
        <v>666</v>
      </c>
      <c r="G600" t="s">
        <v>701</v>
      </c>
      <c r="H600" t="s">
        <v>711</v>
      </c>
      <c r="I600" t="s">
        <v>722</v>
      </c>
      <c r="J600" t="s">
        <v>728</v>
      </c>
      <c r="K600" t="s">
        <v>1330</v>
      </c>
      <c r="L600">
        <v>783.72</v>
      </c>
      <c r="M600">
        <v>1355.94</v>
      </c>
      <c r="N600">
        <v>0.187</v>
      </c>
      <c r="O600">
        <v>4</v>
      </c>
    </row>
    <row r="601" spans="1:15" x14ac:dyDescent="0.3">
      <c r="A601" t="s">
        <v>613</v>
      </c>
      <c r="B601" s="2">
        <v>45521</v>
      </c>
      <c r="C601" s="2">
        <v>45519</v>
      </c>
      <c r="D601" t="s">
        <v>648</v>
      </c>
      <c r="E601" t="s">
        <v>655</v>
      </c>
      <c r="F601" t="s">
        <v>692</v>
      </c>
      <c r="G601" t="s">
        <v>704</v>
      </c>
      <c r="H601" t="s">
        <v>711</v>
      </c>
      <c r="I601" t="s">
        <v>724</v>
      </c>
      <c r="J601" t="s">
        <v>732</v>
      </c>
      <c r="K601" t="s">
        <v>1331</v>
      </c>
      <c r="L601">
        <v>165.3</v>
      </c>
      <c r="M601">
        <v>275.07</v>
      </c>
      <c r="N601">
        <v>0.13300000000000001</v>
      </c>
      <c r="O601">
        <v>25</v>
      </c>
    </row>
    <row r="602" spans="1:15" x14ac:dyDescent="0.3">
      <c r="A602" t="s">
        <v>614</v>
      </c>
      <c r="B602" s="2">
        <v>45360</v>
      </c>
      <c r="C602" s="2">
        <v>45373</v>
      </c>
      <c r="D602" t="s">
        <v>649</v>
      </c>
      <c r="E602" t="s">
        <v>658</v>
      </c>
      <c r="F602" t="s">
        <v>693</v>
      </c>
      <c r="G602" t="s">
        <v>704</v>
      </c>
      <c r="H602" t="s">
        <v>708</v>
      </c>
      <c r="I602" t="s">
        <v>718</v>
      </c>
      <c r="J602" t="s">
        <v>731</v>
      </c>
      <c r="K602" t="s">
        <v>1332</v>
      </c>
      <c r="L602">
        <v>985.45</v>
      </c>
      <c r="M602">
        <v>1802.44</v>
      </c>
      <c r="N602">
        <v>8.9999999999999993E-3</v>
      </c>
      <c r="O602">
        <v>19</v>
      </c>
    </row>
    <row r="603" spans="1:15" x14ac:dyDescent="0.3">
      <c r="A603" t="s">
        <v>615</v>
      </c>
      <c r="B603" s="2">
        <v>45523</v>
      </c>
      <c r="C603" s="2">
        <v>45537</v>
      </c>
      <c r="D603" t="s">
        <v>648</v>
      </c>
      <c r="E603" t="s">
        <v>653</v>
      </c>
      <c r="F603" t="s">
        <v>667</v>
      </c>
      <c r="G603" t="s">
        <v>704</v>
      </c>
      <c r="H603" t="s">
        <v>710</v>
      </c>
      <c r="I603" t="s">
        <v>712</v>
      </c>
      <c r="J603" t="s">
        <v>728</v>
      </c>
      <c r="K603" t="s">
        <v>1333</v>
      </c>
      <c r="L603">
        <v>1337.01</v>
      </c>
      <c r="M603">
        <v>1269.78</v>
      </c>
      <c r="N603">
        <v>0.16</v>
      </c>
      <c r="O603">
        <v>7</v>
      </c>
    </row>
    <row r="604" spans="1:15" x14ac:dyDescent="0.3">
      <c r="A604" t="s">
        <v>616</v>
      </c>
      <c r="B604" s="2">
        <v>45880</v>
      </c>
      <c r="C604" s="2">
        <v>45897</v>
      </c>
      <c r="D604" t="s">
        <v>649</v>
      </c>
      <c r="E604" t="s">
        <v>657</v>
      </c>
      <c r="F604" t="s">
        <v>690</v>
      </c>
      <c r="G604" t="s">
        <v>702</v>
      </c>
      <c r="H604" t="s">
        <v>708</v>
      </c>
      <c r="I604" t="s">
        <v>721</v>
      </c>
      <c r="J604" t="s">
        <v>729</v>
      </c>
      <c r="K604" t="s">
        <v>1334</v>
      </c>
      <c r="L604">
        <v>416.16</v>
      </c>
      <c r="M604">
        <v>571.9</v>
      </c>
      <c r="N604">
        <v>7.0999999999999994E-2</v>
      </c>
      <c r="O604">
        <v>2</v>
      </c>
    </row>
    <row r="605" spans="1:15" x14ac:dyDescent="0.3">
      <c r="A605" t="s">
        <v>617</v>
      </c>
      <c r="B605" s="2">
        <v>45793</v>
      </c>
      <c r="C605" s="2">
        <v>45795</v>
      </c>
      <c r="D605" t="s">
        <v>647</v>
      </c>
      <c r="E605" t="s">
        <v>652</v>
      </c>
      <c r="F605" t="s">
        <v>689</v>
      </c>
      <c r="G605" t="s">
        <v>706</v>
      </c>
      <c r="H605" t="s">
        <v>707</v>
      </c>
      <c r="I605" t="s">
        <v>713</v>
      </c>
      <c r="J605" t="s">
        <v>728</v>
      </c>
      <c r="K605" t="s">
        <v>1335</v>
      </c>
      <c r="L605">
        <v>1144.3800000000001</v>
      </c>
      <c r="M605">
        <v>2755.04</v>
      </c>
      <c r="N605">
        <v>0.15</v>
      </c>
      <c r="O605">
        <v>17</v>
      </c>
    </row>
    <row r="606" spans="1:15" x14ac:dyDescent="0.3">
      <c r="A606" t="s">
        <v>618</v>
      </c>
      <c r="B606" s="2">
        <v>45026</v>
      </c>
      <c r="C606" s="2">
        <v>45041</v>
      </c>
      <c r="D606" t="s">
        <v>649</v>
      </c>
      <c r="E606" t="s">
        <v>658</v>
      </c>
      <c r="F606" t="s">
        <v>683</v>
      </c>
      <c r="G606" t="s">
        <v>705</v>
      </c>
      <c r="H606" t="s">
        <v>707</v>
      </c>
      <c r="I606" t="s">
        <v>726</v>
      </c>
      <c r="J606" t="s">
        <v>728</v>
      </c>
      <c r="K606" t="s">
        <v>1336</v>
      </c>
      <c r="L606">
        <v>405.66</v>
      </c>
      <c r="M606">
        <v>962.51</v>
      </c>
      <c r="N606">
        <v>0.19</v>
      </c>
      <c r="O606">
        <v>7</v>
      </c>
    </row>
    <row r="607" spans="1:15" x14ac:dyDescent="0.3">
      <c r="A607" t="s">
        <v>619</v>
      </c>
      <c r="B607" s="2">
        <v>45186</v>
      </c>
      <c r="C607" s="2">
        <v>45201</v>
      </c>
      <c r="D607" t="s">
        <v>648</v>
      </c>
      <c r="E607" t="s">
        <v>655</v>
      </c>
      <c r="F607" t="s">
        <v>692</v>
      </c>
      <c r="G607" t="s">
        <v>705</v>
      </c>
      <c r="H607" t="s">
        <v>707</v>
      </c>
      <c r="I607" t="s">
        <v>717</v>
      </c>
      <c r="J607" t="s">
        <v>731</v>
      </c>
      <c r="K607" t="s">
        <v>1337</v>
      </c>
      <c r="L607">
        <v>689.33</v>
      </c>
      <c r="M607">
        <v>668.27</v>
      </c>
      <c r="N607">
        <v>0.186</v>
      </c>
      <c r="O607">
        <v>13</v>
      </c>
    </row>
    <row r="608" spans="1:15" x14ac:dyDescent="0.3">
      <c r="A608" t="s">
        <v>620</v>
      </c>
      <c r="B608" s="2">
        <v>45038</v>
      </c>
      <c r="C608" s="2">
        <v>45060</v>
      </c>
      <c r="D608" t="s">
        <v>647</v>
      </c>
      <c r="E608" t="s">
        <v>652</v>
      </c>
      <c r="F608" t="s">
        <v>694</v>
      </c>
      <c r="G608" t="s">
        <v>706</v>
      </c>
      <c r="H608" t="s">
        <v>707</v>
      </c>
      <c r="I608" t="s">
        <v>720</v>
      </c>
      <c r="J608" t="s">
        <v>733</v>
      </c>
      <c r="K608" t="s">
        <v>1338</v>
      </c>
      <c r="L608">
        <v>1209.22</v>
      </c>
      <c r="M608">
        <v>1404.33</v>
      </c>
      <c r="N608">
        <v>0.10299999999999999</v>
      </c>
      <c r="O608">
        <v>11</v>
      </c>
    </row>
    <row r="609" spans="1:15" x14ac:dyDescent="0.3">
      <c r="A609" t="s">
        <v>621</v>
      </c>
      <c r="B609" s="2">
        <v>45827</v>
      </c>
      <c r="C609" s="2">
        <v>45829</v>
      </c>
      <c r="D609" t="s">
        <v>646</v>
      </c>
      <c r="E609" t="s">
        <v>661</v>
      </c>
      <c r="F609" t="s">
        <v>682</v>
      </c>
      <c r="G609" t="s">
        <v>705</v>
      </c>
      <c r="I609" t="s">
        <v>722</v>
      </c>
      <c r="J609" t="s">
        <v>730</v>
      </c>
      <c r="K609" t="s">
        <v>1339</v>
      </c>
      <c r="L609">
        <v>1466.27</v>
      </c>
      <c r="M609">
        <v>3589.89</v>
      </c>
      <c r="N609">
        <v>9.7000000000000003E-2</v>
      </c>
      <c r="O609">
        <v>9</v>
      </c>
    </row>
    <row r="610" spans="1:15" x14ac:dyDescent="0.3">
      <c r="A610" t="s">
        <v>622</v>
      </c>
      <c r="B610" s="2">
        <v>45623</v>
      </c>
      <c r="C610" s="2">
        <v>45650</v>
      </c>
      <c r="D610" t="s">
        <v>646</v>
      </c>
      <c r="E610" t="s">
        <v>650</v>
      </c>
      <c r="F610" t="s">
        <v>675</v>
      </c>
      <c r="G610" t="s">
        <v>701</v>
      </c>
      <c r="H610" t="s">
        <v>710</v>
      </c>
      <c r="I610" t="s">
        <v>717</v>
      </c>
      <c r="J610" t="s">
        <v>728</v>
      </c>
      <c r="K610" t="s">
        <v>1340</v>
      </c>
      <c r="L610">
        <v>143.33000000000001</v>
      </c>
      <c r="M610">
        <v>233.51</v>
      </c>
      <c r="N610">
        <v>0.16300000000000001</v>
      </c>
      <c r="O610">
        <v>14</v>
      </c>
    </row>
    <row r="611" spans="1:15" x14ac:dyDescent="0.3">
      <c r="A611" t="s">
        <v>623</v>
      </c>
      <c r="B611" s="2">
        <v>45319</v>
      </c>
      <c r="C611" s="2">
        <v>45318</v>
      </c>
      <c r="D611" t="s">
        <v>646</v>
      </c>
      <c r="E611" t="s">
        <v>661</v>
      </c>
      <c r="F611" t="s">
        <v>695</v>
      </c>
      <c r="G611" t="s">
        <v>706</v>
      </c>
      <c r="H611" t="s">
        <v>711</v>
      </c>
      <c r="I611" t="s">
        <v>719</v>
      </c>
      <c r="J611" t="s">
        <v>727</v>
      </c>
      <c r="K611" t="s">
        <v>1341</v>
      </c>
      <c r="L611">
        <v>109.75</v>
      </c>
      <c r="M611">
        <v>124.25</v>
      </c>
      <c r="N611">
        <v>0.12</v>
      </c>
      <c r="O611">
        <v>19</v>
      </c>
    </row>
    <row r="612" spans="1:15" x14ac:dyDescent="0.3">
      <c r="A612" t="s">
        <v>624</v>
      </c>
      <c r="B612" s="2">
        <v>45032</v>
      </c>
      <c r="C612" s="2">
        <v>45039</v>
      </c>
      <c r="D612" t="s">
        <v>648</v>
      </c>
      <c r="E612" t="s">
        <v>660</v>
      </c>
      <c r="F612" t="s">
        <v>697</v>
      </c>
      <c r="G612" t="s">
        <v>701</v>
      </c>
      <c r="H612" t="s">
        <v>710</v>
      </c>
      <c r="I612" t="s">
        <v>719</v>
      </c>
      <c r="J612" t="s">
        <v>728</v>
      </c>
      <c r="K612" t="s">
        <v>1342</v>
      </c>
      <c r="L612">
        <v>1099.1500000000001</v>
      </c>
      <c r="M612">
        <v>1431.37</v>
      </c>
      <c r="N612">
        <v>0.104</v>
      </c>
      <c r="O612">
        <v>8</v>
      </c>
    </row>
    <row r="613" spans="1:15" x14ac:dyDescent="0.3">
      <c r="A613" t="s">
        <v>625</v>
      </c>
      <c r="B613" s="2">
        <v>45323</v>
      </c>
      <c r="C613" s="2">
        <v>45323</v>
      </c>
      <c r="D613" t="s">
        <v>648</v>
      </c>
      <c r="E613" t="s">
        <v>660</v>
      </c>
      <c r="F613" t="s">
        <v>697</v>
      </c>
      <c r="G613" t="s">
        <v>704</v>
      </c>
      <c r="H613" t="s">
        <v>710</v>
      </c>
      <c r="I613" t="s">
        <v>722</v>
      </c>
      <c r="J613" t="s">
        <v>728</v>
      </c>
      <c r="K613" t="s">
        <v>1343</v>
      </c>
      <c r="L613">
        <v>714.43</v>
      </c>
      <c r="M613">
        <v>1595.52</v>
      </c>
      <c r="N613">
        <v>0.19400000000000001</v>
      </c>
      <c r="O613">
        <v>14</v>
      </c>
    </row>
    <row r="614" spans="1:15" x14ac:dyDescent="0.3">
      <c r="A614" t="s">
        <v>626</v>
      </c>
      <c r="B614" s="2">
        <v>45584</v>
      </c>
      <c r="C614" s="2">
        <v>45602</v>
      </c>
      <c r="D614" t="s">
        <v>648</v>
      </c>
      <c r="E614" t="s">
        <v>660</v>
      </c>
      <c r="F614" t="s">
        <v>677</v>
      </c>
      <c r="G614" t="s">
        <v>702</v>
      </c>
      <c r="I614" t="s">
        <v>712</v>
      </c>
      <c r="J614" t="s">
        <v>732</v>
      </c>
      <c r="K614" t="s">
        <v>1344</v>
      </c>
      <c r="L614">
        <v>942.02</v>
      </c>
      <c r="M614">
        <v>1028.46</v>
      </c>
      <c r="N614">
        <v>0</v>
      </c>
      <c r="O614">
        <v>9</v>
      </c>
    </row>
    <row r="615" spans="1:15" x14ac:dyDescent="0.3">
      <c r="A615" t="s">
        <v>627</v>
      </c>
      <c r="B615" s="2">
        <v>45468</v>
      </c>
      <c r="C615" s="2">
        <v>45473</v>
      </c>
      <c r="D615" t="s">
        <v>646</v>
      </c>
      <c r="E615" t="s">
        <v>650</v>
      </c>
      <c r="F615" t="s">
        <v>662</v>
      </c>
      <c r="G615" t="s">
        <v>702</v>
      </c>
      <c r="H615" t="s">
        <v>711</v>
      </c>
      <c r="I615" t="s">
        <v>724</v>
      </c>
      <c r="J615" t="s">
        <v>729</v>
      </c>
      <c r="K615" t="s">
        <v>1345</v>
      </c>
      <c r="L615">
        <v>1323.55</v>
      </c>
      <c r="M615">
        <v>3230.35</v>
      </c>
      <c r="N615">
        <v>2.1999999999999999E-2</v>
      </c>
      <c r="O615">
        <v>26</v>
      </c>
    </row>
    <row r="616" spans="1:15" x14ac:dyDescent="0.3">
      <c r="A616" t="s">
        <v>628</v>
      </c>
      <c r="B616" s="2">
        <v>45137</v>
      </c>
      <c r="C616" s="2">
        <v>45157</v>
      </c>
      <c r="D616" t="s">
        <v>649</v>
      </c>
      <c r="E616" t="s">
        <v>657</v>
      </c>
      <c r="F616" t="s">
        <v>690</v>
      </c>
      <c r="G616" t="s">
        <v>706</v>
      </c>
      <c r="H616" t="s">
        <v>709</v>
      </c>
      <c r="I616" t="s">
        <v>715</v>
      </c>
      <c r="J616" t="s">
        <v>729</v>
      </c>
      <c r="K616" t="s">
        <v>1346</v>
      </c>
      <c r="L616">
        <v>1418.51</v>
      </c>
      <c r="M616">
        <v>2789.61</v>
      </c>
      <c r="N616">
        <v>0.17100000000000001</v>
      </c>
      <c r="O616">
        <v>8</v>
      </c>
    </row>
    <row r="617" spans="1:15" x14ac:dyDescent="0.3">
      <c r="A617" t="s">
        <v>629</v>
      </c>
      <c r="B617" s="2">
        <v>45727</v>
      </c>
      <c r="C617" s="2">
        <v>45743</v>
      </c>
      <c r="D617" t="s">
        <v>647</v>
      </c>
      <c r="E617" t="s">
        <v>652</v>
      </c>
      <c r="F617" t="s">
        <v>689</v>
      </c>
      <c r="G617" t="s">
        <v>706</v>
      </c>
      <c r="H617" t="s">
        <v>710</v>
      </c>
      <c r="I617" t="s">
        <v>717</v>
      </c>
      <c r="J617" t="s">
        <v>728</v>
      </c>
      <c r="K617" t="s">
        <v>1347</v>
      </c>
      <c r="L617">
        <v>1317.58</v>
      </c>
      <c r="M617">
        <v>1897.74</v>
      </c>
      <c r="N617">
        <v>8.1000000000000003E-2</v>
      </c>
      <c r="O617">
        <v>6</v>
      </c>
    </row>
    <row r="618" spans="1:15" x14ac:dyDescent="0.3">
      <c r="A618" t="s">
        <v>630</v>
      </c>
      <c r="B618" s="2">
        <v>45208</v>
      </c>
      <c r="C618" s="2">
        <v>45210</v>
      </c>
      <c r="D618" t="s">
        <v>646</v>
      </c>
      <c r="E618" t="s">
        <v>651</v>
      </c>
      <c r="F618" t="s">
        <v>663</v>
      </c>
      <c r="G618" t="s">
        <v>702</v>
      </c>
      <c r="H618" t="s">
        <v>709</v>
      </c>
      <c r="I618" t="s">
        <v>723</v>
      </c>
      <c r="J618" t="s">
        <v>729</v>
      </c>
      <c r="K618" t="s">
        <v>1348</v>
      </c>
      <c r="L618">
        <v>391.16</v>
      </c>
      <c r="M618">
        <v>902.47</v>
      </c>
      <c r="N618">
        <v>4.0000000000000001E-3</v>
      </c>
      <c r="O618">
        <v>12</v>
      </c>
    </row>
    <row r="619" spans="1:15" x14ac:dyDescent="0.3">
      <c r="A619" t="s">
        <v>631</v>
      </c>
      <c r="B619" s="2">
        <v>45643</v>
      </c>
      <c r="C619" s="2">
        <v>45673</v>
      </c>
      <c r="D619" t="s">
        <v>649</v>
      </c>
      <c r="E619" t="s">
        <v>658</v>
      </c>
      <c r="F619" t="s">
        <v>693</v>
      </c>
      <c r="G619" t="s">
        <v>701</v>
      </c>
      <c r="H619" t="s">
        <v>707</v>
      </c>
      <c r="I619" t="s">
        <v>726</v>
      </c>
      <c r="J619" t="s">
        <v>732</v>
      </c>
      <c r="K619" t="s">
        <v>1349</v>
      </c>
      <c r="L619">
        <v>722.87</v>
      </c>
      <c r="M619">
        <v>-33.659999999999997</v>
      </c>
      <c r="N619">
        <v>0.10199999999999999</v>
      </c>
      <c r="O619">
        <v>28</v>
      </c>
    </row>
    <row r="620" spans="1:15" x14ac:dyDescent="0.3">
      <c r="A620" t="s">
        <v>632</v>
      </c>
      <c r="B620" s="2">
        <v>45849</v>
      </c>
      <c r="C620" s="2">
        <v>45854</v>
      </c>
      <c r="D620" t="s">
        <v>649</v>
      </c>
      <c r="E620" t="s">
        <v>658</v>
      </c>
      <c r="F620" t="s">
        <v>683</v>
      </c>
      <c r="G620" t="s">
        <v>706</v>
      </c>
      <c r="H620" t="s">
        <v>708</v>
      </c>
      <c r="I620" t="s">
        <v>723</v>
      </c>
      <c r="J620" t="s">
        <v>728</v>
      </c>
      <c r="K620" t="s">
        <v>1350</v>
      </c>
      <c r="L620">
        <v>930.03</v>
      </c>
      <c r="M620">
        <v>1086.68</v>
      </c>
      <c r="N620">
        <v>0.109</v>
      </c>
      <c r="O620">
        <v>26</v>
      </c>
    </row>
    <row r="621" spans="1:15" x14ac:dyDescent="0.3">
      <c r="A621" t="s">
        <v>633</v>
      </c>
      <c r="B621" s="2">
        <v>45578</v>
      </c>
      <c r="C621" s="2">
        <v>45589</v>
      </c>
      <c r="D621" t="s">
        <v>649</v>
      </c>
      <c r="E621" t="s">
        <v>657</v>
      </c>
      <c r="F621" t="s">
        <v>690</v>
      </c>
      <c r="G621" t="s">
        <v>702</v>
      </c>
      <c r="H621" t="s">
        <v>710</v>
      </c>
      <c r="I621" t="s">
        <v>721</v>
      </c>
      <c r="J621" t="s">
        <v>727</v>
      </c>
      <c r="K621" t="s">
        <v>1351</v>
      </c>
      <c r="L621">
        <v>816.7</v>
      </c>
      <c r="M621">
        <v>1010.75</v>
      </c>
      <c r="N621">
        <v>4.7E-2</v>
      </c>
      <c r="O621">
        <v>43</v>
      </c>
    </row>
    <row r="622" spans="1:15" x14ac:dyDescent="0.3">
      <c r="A622" t="s">
        <v>634</v>
      </c>
      <c r="B622" s="2">
        <v>45177</v>
      </c>
      <c r="C622" s="2">
        <v>45183</v>
      </c>
      <c r="D622" t="s">
        <v>646</v>
      </c>
      <c r="E622" t="s">
        <v>650</v>
      </c>
      <c r="F622" t="s">
        <v>678</v>
      </c>
      <c r="G622" t="s">
        <v>702</v>
      </c>
      <c r="H622" t="s">
        <v>711</v>
      </c>
      <c r="I622" t="s">
        <v>714</v>
      </c>
      <c r="J622" t="s">
        <v>733</v>
      </c>
      <c r="K622" t="s">
        <v>1352</v>
      </c>
      <c r="L622">
        <v>251.03</v>
      </c>
      <c r="M622">
        <v>411.48</v>
      </c>
      <c r="N622">
        <v>0.16500000000000001</v>
      </c>
      <c r="O622">
        <v>3</v>
      </c>
    </row>
    <row r="623" spans="1:15" x14ac:dyDescent="0.3">
      <c r="A623" t="s">
        <v>635</v>
      </c>
      <c r="B623" s="2">
        <v>45764</v>
      </c>
      <c r="C623" s="2">
        <v>45780</v>
      </c>
      <c r="D623" t="s">
        <v>648</v>
      </c>
      <c r="E623" t="s">
        <v>655</v>
      </c>
      <c r="F623" t="s">
        <v>692</v>
      </c>
      <c r="G623" t="s">
        <v>704</v>
      </c>
      <c r="H623" t="s">
        <v>709</v>
      </c>
      <c r="I623" t="s">
        <v>713</v>
      </c>
      <c r="J623" t="s">
        <v>729</v>
      </c>
      <c r="K623" t="s">
        <v>1353</v>
      </c>
      <c r="L623">
        <v>168.68</v>
      </c>
      <c r="M623">
        <v>413.34</v>
      </c>
      <c r="N623">
        <v>0.186</v>
      </c>
      <c r="O623">
        <v>7</v>
      </c>
    </row>
    <row r="624" spans="1:15" x14ac:dyDescent="0.3">
      <c r="A624" t="s">
        <v>636</v>
      </c>
      <c r="B624" s="2">
        <v>45501</v>
      </c>
      <c r="C624" s="2">
        <v>45527</v>
      </c>
      <c r="D624" t="s">
        <v>647</v>
      </c>
      <c r="E624" t="s">
        <v>654</v>
      </c>
      <c r="F624" t="s">
        <v>696</v>
      </c>
      <c r="G624" t="s">
        <v>701</v>
      </c>
      <c r="H624" t="s">
        <v>707</v>
      </c>
      <c r="I624" t="s">
        <v>713</v>
      </c>
      <c r="J624" t="s">
        <v>729</v>
      </c>
      <c r="K624" t="s">
        <v>1354</v>
      </c>
      <c r="L624">
        <v>1339.24</v>
      </c>
      <c r="M624">
        <v>1558.89</v>
      </c>
      <c r="N624">
        <v>0.192</v>
      </c>
      <c r="O624">
        <v>24</v>
      </c>
    </row>
    <row r="625" spans="1:15" x14ac:dyDescent="0.3">
      <c r="A625" t="s">
        <v>637</v>
      </c>
      <c r="B625" s="2">
        <v>45857</v>
      </c>
      <c r="C625" s="2">
        <v>45869</v>
      </c>
      <c r="D625" t="s">
        <v>646</v>
      </c>
      <c r="E625" t="s">
        <v>650</v>
      </c>
      <c r="F625" t="s">
        <v>664</v>
      </c>
      <c r="G625" t="s">
        <v>705</v>
      </c>
      <c r="H625" t="s">
        <v>709</v>
      </c>
      <c r="I625" t="s">
        <v>719</v>
      </c>
      <c r="J625" t="s">
        <v>733</v>
      </c>
      <c r="K625" t="s">
        <v>1355</v>
      </c>
      <c r="L625">
        <v>619.64</v>
      </c>
      <c r="M625">
        <v>861.16</v>
      </c>
      <c r="N625">
        <v>0.113</v>
      </c>
      <c r="O625">
        <v>14</v>
      </c>
    </row>
    <row r="626" spans="1:15" x14ac:dyDescent="0.3">
      <c r="A626" t="s">
        <v>638</v>
      </c>
      <c r="B626" s="2">
        <v>45141</v>
      </c>
      <c r="C626" s="2">
        <v>45140</v>
      </c>
      <c r="D626" t="s">
        <v>647</v>
      </c>
      <c r="E626" t="s">
        <v>659</v>
      </c>
      <c r="F626" t="s">
        <v>685</v>
      </c>
      <c r="G626" t="s">
        <v>703</v>
      </c>
      <c r="H626" t="s">
        <v>711</v>
      </c>
      <c r="I626" t="s">
        <v>713</v>
      </c>
      <c r="J626" t="s">
        <v>729</v>
      </c>
      <c r="K626" t="s">
        <v>1356</v>
      </c>
      <c r="L626">
        <v>1021.97</v>
      </c>
      <c r="M626">
        <v>2296.25</v>
      </c>
      <c r="N626">
        <v>0.161</v>
      </c>
      <c r="O626">
        <v>26</v>
      </c>
    </row>
    <row r="627" spans="1:15" x14ac:dyDescent="0.3">
      <c r="A627" t="s">
        <v>639</v>
      </c>
      <c r="B627" s="2">
        <v>45249</v>
      </c>
      <c r="C627" s="2">
        <v>45272</v>
      </c>
      <c r="D627" t="s">
        <v>647</v>
      </c>
      <c r="E627" t="s">
        <v>654</v>
      </c>
      <c r="F627" t="s">
        <v>680</v>
      </c>
      <c r="G627" t="s">
        <v>705</v>
      </c>
      <c r="H627" t="s">
        <v>711</v>
      </c>
      <c r="I627" t="s">
        <v>712</v>
      </c>
      <c r="J627" t="s">
        <v>729</v>
      </c>
      <c r="K627" t="s">
        <v>1357</v>
      </c>
      <c r="L627">
        <v>1349.04</v>
      </c>
      <c r="M627">
        <v>2636.6</v>
      </c>
      <c r="N627">
        <v>0.114</v>
      </c>
      <c r="O627">
        <v>14</v>
      </c>
    </row>
    <row r="628" spans="1:15" x14ac:dyDescent="0.3">
      <c r="A628" t="s">
        <v>640</v>
      </c>
      <c r="B628" s="2">
        <v>45282</v>
      </c>
      <c r="C628" s="2">
        <v>45307</v>
      </c>
      <c r="D628" t="s">
        <v>647</v>
      </c>
      <c r="E628" t="s">
        <v>654</v>
      </c>
      <c r="F628" t="s">
        <v>696</v>
      </c>
      <c r="G628" t="s">
        <v>705</v>
      </c>
      <c r="H628" t="s">
        <v>707</v>
      </c>
      <c r="I628" t="s">
        <v>720</v>
      </c>
      <c r="J628" t="s">
        <v>727</v>
      </c>
      <c r="K628" t="s">
        <v>1358</v>
      </c>
      <c r="L628">
        <v>1346.81</v>
      </c>
      <c r="M628">
        <v>978.09</v>
      </c>
      <c r="N628">
        <v>0.159</v>
      </c>
      <c r="O628">
        <v>17</v>
      </c>
    </row>
    <row r="629" spans="1:15" x14ac:dyDescent="0.3">
      <c r="A629" t="s">
        <v>641</v>
      </c>
      <c r="B629" s="2">
        <v>45141</v>
      </c>
      <c r="C629" s="2">
        <v>45168</v>
      </c>
      <c r="D629" t="s">
        <v>647</v>
      </c>
      <c r="E629" t="s">
        <v>659</v>
      </c>
      <c r="F629" t="s">
        <v>685</v>
      </c>
      <c r="G629" t="s">
        <v>704</v>
      </c>
      <c r="H629" t="s">
        <v>710</v>
      </c>
      <c r="I629" t="s">
        <v>725</v>
      </c>
      <c r="J629" t="s">
        <v>732</v>
      </c>
      <c r="K629" t="s">
        <v>1359</v>
      </c>
      <c r="L629">
        <v>226.04</v>
      </c>
      <c r="M629">
        <v>545.72</v>
      </c>
      <c r="N629">
        <v>0.151</v>
      </c>
      <c r="O629">
        <v>11</v>
      </c>
    </row>
    <row r="630" spans="1:15" x14ac:dyDescent="0.3">
      <c r="A630" t="s">
        <v>642</v>
      </c>
      <c r="B630" s="2">
        <v>45100</v>
      </c>
      <c r="C630" s="2">
        <v>45125</v>
      </c>
      <c r="D630" t="s">
        <v>648</v>
      </c>
      <c r="E630" t="s">
        <v>653</v>
      </c>
      <c r="F630" t="s">
        <v>688</v>
      </c>
      <c r="G630" t="s">
        <v>706</v>
      </c>
      <c r="H630" t="s">
        <v>708</v>
      </c>
      <c r="I630" t="s">
        <v>725</v>
      </c>
      <c r="J630" t="s">
        <v>730</v>
      </c>
      <c r="K630" t="s">
        <v>1360</v>
      </c>
      <c r="L630">
        <v>807.02</v>
      </c>
      <c r="M630">
        <v>1435.54</v>
      </c>
      <c r="N630">
        <v>0</v>
      </c>
      <c r="O630">
        <v>23</v>
      </c>
    </row>
    <row r="631" spans="1:15" x14ac:dyDescent="0.3">
      <c r="A631" t="s">
        <v>643</v>
      </c>
      <c r="B631" s="2">
        <v>45267</v>
      </c>
      <c r="C631" s="2">
        <v>45293</v>
      </c>
      <c r="D631" t="s">
        <v>649</v>
      </c>
      <c r="E631" t="s">
        <v>656</v>
      </c>
      <c r="F631" t="s">
        <v>698</v>
      </c>
      <c r="G631" t="s">
        <v>706</v>
      </c>
      <c r="H631" t="s">
        <v>710</v>
      </c>
      <c r="I631" t="s">
        <v>718</v>
      </c>
      <c r="J631" t="s">
        <v>727</v>
      </c>
      <c r="K631" t="s">
        <v>1361</v>
      </c>
      <c r="L631">
        <v>1071.99</v>
      </c>
      <c r="M631">
        <v>2397.3000000000002</v>
      </c>
      <c r="N631">
        <v>6.2E-2</v>
      </c>
      <c r="O631">
        <v>18</v>
      </c>
    </row>
    <row r="632" spans="1:15" x14ac:dyDescent="0.3">
      <c r="A632" t="s">
        <v>644</v>
      </c>
      <c r="B632" s="2">
        <v>45249</v>
      </c>
      <c r="C632" s="2">
        <v>45279</v>
      </c>
      <c r="D632" t="s">
        <v>647</v>
      </c>
      <c r="E632" t="s">
        <v>652</v>
      </c>
      <c r="F632" t="s">
        <v>694</v>
      </c>
      <c r="G632" t="s">
        <v>704</v>
      </c>
      <c r="H632" t="s">
        <v>707</v>
      </c>
      <c r="J632" t="s">
        <v>730</v>
      </c>
      <c r="K632" t="s">
        <v>1362</v>
      </c>
      <c r="L632">
        <v>807.11</v>
      </c>
      <c r="M632">
        <v>1853.86</v>
      </c>
      <c r="N632">
        <v>0.13900000000000001</v>
      </c>
      <c r="O632">
        <v>8</v>
      </c>
    </row>
    <row r="633" spans="1:15" x14ac:dyDescent="0.3">
      <c r="A633" t="s">
        <v>645</v>
      </c>
      <c r="B633" s="2">
        <v>45716</v>
      </c>
      <c r="C633" s="2">
        <v>45726</v>
      </c>
      <c r="D633" t="s">
        <v>647</v>
      </c>
      <c r="E633" t="s">
        <v>652</v>
      </c>
      <c r="F633" t="s">
        <v>666</v>
      </c>
      <c r="G633" t="s">
        <v>702</v>
      </c>
      <c r="H633" t="s">
        <v>710</v>
      </c>
      <c r="I633" t="s">
        <v>725</v>
      </c>
      <c r="J633" t="s">
        <v>731</v>
      </c>
      <c r="K633" t="s">
        <v>1363</v>
      </c>
      <c r="L633">
        <v>51.86</v>
      </c>
      <c r="M633">
        <v>45.98</v>
      </c>
      <c r="N633">
        <v>0.17299999999999999</v>
      </c>
      <c r="O633">
        <v>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632"/>
  <sheetViews>
    <sheetView topLeftCell="AB607" workbookViewId="0">
      <selection activeCell="T2" sqref="T2:T632"/>
    </sheetView>
  </sheetViews>
  <sheetFormatPr defaultRowHeight="14.4" x14ac:dyDescent="0.3"/>
  <cols>
    <col min="1" max="1" width="16.109375" style="3" bestFit="1" customWidth="1"/>
    <col min="2" max="2" width="10.5546875" style="10" bestFit="1" customWidth="1"/>
    <col min="3" max="3" width="10.5546875" style="10" customWidth="1"/>
    <col min="4" max="4" width="20.77734375" style="4" bestFit="1" customWidth="1"/>
    <col min="5" max="5" width="12.77734375" style="7" bestFit="1" customWidth="1"/>
    <col min="6" max="6" width="8.44140625" bestFit="1" customWidth="1"/>
    <col min="7" max="7" width="14" bestFit="1" customWidth="1"/>
    <col min="8" max="8" width="12.44140625" bestFit="1" customWidth="1"/>
    <col min="9" max="9" width="16.6640625" bestFit="1" customWidth="1"/>
    <col min="10" max="10" width="11.21875" bestFit="1" customWidth="1"/>
    <col min="11" max="11" width="11" bestFit="1" customWidth="1"/>
    <col min="12" max="12" width="15.33203125" bestFit="1" customWidth="1"/>
    <col min="13" max="13" width="10" style="3" bestFit="1" customWidth="1"/>
    <col min="14" max="14" width="8.21875" style="5" bestFit="1" customWidth="1"/>
    <col min="15" max="15" width="8.6640625" style="5" bestFit="1" customWidth="1"/>
    <col min="16" max="16" width="8.6640625" style="5" customWidth="1"/>
    <col min="17" max="17" width="11" style="9" bestFit="1" customWidth="1"/>
    <col min="18" max="18" width="11" style="9" customWidth="1"/>
    <col min="19" max="19" width="8.33203125" style="7" bestFit="1" customWidth="1"/>
    <col min="20" max="20" width="13.44140625" style="7" bestFit="1" customWidth="1"/>
    <col min="21" max="21" width="12.6640625" style="7" bestFit="1" customWidth="1"/>
    <col min="22" max="22" width="10.6640625" style="7" bestFit="1" customWidth="1"/>
    <col min="23" max="23" width="10.109375" style="6" bestFit="1" customWidth="1"/>
    <col min="24" max="24" width="12.33203125" customWidth="1"/>
    <col min="25" max="25" width="20.33203125" customWidth="1"/>
  </cols>
  <sheetData>
    <row r="1" spans="1:31" x14ac:dyDescent="0.3">
      <c r="A1" s="19" t="s">
        <v>0</v>
      </c>
      <c r="B1" s="46" t="s">
        <v>1</v>
      </c>
      <c r="C1" s="46" t="s">
        <v>1448</v>
      </c>
      <c r="D1" s="20" t="s">
        <v>1443</v>
      </c>
      <c r="E1" s="21" t="s">
        <v>1445</v>
      </c>
      <c r="F1" s="22" t="s">
        <v>3</v>
      </c>
      <c r="G1" s="22" t="s">
        <v>4</v>
      </c>
      <c r="H1" s="22" t="s">
        <v>5</v>
      </c>
      <c r="I1" s="22" t="s">
        <v>6</v>
      </c>
      <c r="J1" s="22" t="s">
        <v>7</v>
      </c>
      <c r="K1" s="22" t="s">
        <v>8</v>
      </c>
      <c r="L1" s="22" t="s">
        <v>9</v>
      </c>
      <c r="M1" s="19" t="s">
        <v>10</v>
      </c>
      <c r="N1" s="23" t="s">
        <v>11</v>
      </c>
      <c r="O1" s="23" t="s">
        <v>12</v>
      </c>
      <c r="P1" s="23" t="s">
        <v>1450</v>
      </c>
      <c r="Q1" s="41" t="s">
        <v>13</v>
      </c>
      <c r="R1" s="41"/>
      <c r="S1" s="24" t="s">
        <v>14</v>
      </c>
      <c r="T1" s="23" t="s">
        <v>1426</v>
      </c>
      <c r="U1" s="23" t="s">
        <v>1427</v>
      </c>
      <c r="V1" s="23" t="s">
        <v>1488</v>
      </c>
      <c r="W1" s="23" t="s">
        <v>1428</v>
      </c>
      <c r="X1" s="53" t="s">
        <v>1468</v>
      </c>
      <c r="Y1" s="53" t="s">
        <v>1474</v>
      </c>
      <c r="Z1" s="53" t="s">
        <v>1485</v>
      </c>
      <c r="AA1" s="53" t="s">
        <v>1490</v>
      </c>
      <c r="AB1" s="53" t="s">
        <v>1489</v>
      </c>
      <c r="AC1" s="53" t="s">
        <v>1486</v>
      </c>
      <c r="AD1" s="53" t="s">
        <v>1487</v>
      </c>
      <c r="AE1" s="53" t="s">
        <v>1491</v>
      </c>
    </row>
    <row r="2" spans="1:31" x14ac:dyDescent="0.3">
      <c r="A2" s="25" t="s">
        <v>15</v>
      </c>
      <c r="B2" s="47">
        <v>45362</v>
      </c>
      <c r="C2" s="47" t="str">
        <f>"Q"&amp;ROUNDUP(MONTH(B2)/3,0)&amp;"-"&amp;YEAR(B2)</f>
        <v>Q1-2024</v>
      </c>
      <c r="D2" s="26">
        <v>45388</v>
      </c>
      <c r="E2" s="27">
        <f t="shared" ref="E2:E65" si="0">D2-B2</f>
        <v>26</v>
      </c>
      <c r="F2" s="28" t="s">
        <v>646</v>
      </c>
      <c r="G2" s="28" t="s">
        <v>650</v>
      </c>
      <c r="H2" s="28" t="s">
        <v>662</v>
      </c>
      <c r="I2" s="28" t="s">
        <v>701</v>
      </c>
      <c r="J2" s="28" t="s">
        <v>707</v>
      </c>
      <c r="K2" s="28" t="s">
        <v>712</v>
      </c>
      <c r="L2" s="28" t="s">
        <v>727</v>
      </c>
      <c r="M2" s="29" t="s">
        <v>734</v>
      </c>
      <c r="N2" s="30">
        <v>279.24</v>
      </c>
      <c r="O2" s="30">
        <v>608.9</v>
      </c>
      <c r="P2" s="30" t="str">
        <f>IF(O2&lt;=_xlfn.PERCENTILE.INC(IF(L2:L632=L2, O2:O632), 0.33), "Low", IF(O2&lt;=_xlfn.PERCENTILE.INC(IF(L2:L632=L2, O2:O632), 0.66), "Medium", IF(O2 &gt; _xlfn.PERCENTILE.INC(IF(L2:L632=L2, O2:O632), 0.66), "High")))</f>
        <v>Low</v>
      </c>
      <c r="Q2" s="42">
        <v>0.112</v>
      </c>
      <c r="R2" s="42" t="str">
        <f>IF(Q2&lt;=0.1,"Low",IF(Q2&gt;0.2,"High","Medium"))</f>
        <v>Medium</v>
      </c>
      <c r="S2" s="27">
        <v>9</v>
      </c>
      <c r="T2" s="30">
        <v>4866.3287999999993</v>
      </c>
      <c r="U2" s="30">
        <v>2513.16</v>
      </c>
      <c r="V2" s="30">
        <v>2353.1687999999995</v>
      </c>
      <c r="W2" s="30">
        <v>0.48356140670149533</v>
      </c>
      <c r="X2" t="str">
        <f>IF(E2&lt;=7,"On-time","Delayed")</f>
        <v>Delayed</v>
      </c>
      <c r="Y2" t="str">
        <f>IF(Q2&lt;=0.2, "Compliant Discount", "Non-compliant Discount")</f>
        <v>Compliant Discount</v>
      </c>
      <c r="Z2" s="9">
        <f>MIN(Q2,'Scenario Modelling'!$B$2)</f>
        <v>0.112</v>
      </c>
      <c r="AA2">
        <f>O2*(1-Z2)</f>
        <v>540.70320000000004</v>
      </c>
      <c r="AB2">
        <f>N2*(1+'Scenario Modelling'!$B$3)</f>
        <v>307.16400000000004</v>
      </c>
      <c r="AC2">
        <f>ROUNDUP(S2*(1+'Scenario Modelling'!$B$4),0)</f>
        <v>10</v>
      </c>
      <c r="AD2">
        <f>AA2*AC2</f>
        <v>5407.0320000000002</v>
      </c>
      <c r="AE2">
        <f>(AA2-AB2)*AC2</f>
        <v>2335.3919999999998</v>
      </c>
    </row>
    <row r="3" spans="1:31" x14ac:dyDescent="0.3">
      <c r="A3" s="31" t="s">
        <v>16</v>
      </c>
      <c r="B3" s="48">
        <v>45588</v>
      </c>
      <c r="C3" s="47" t="str">
        <f t="shared" ref="C3:C66" si="1">"Q"&amp;ROUNDUP(MONTH(B3)/3,0)&amp;"-"&amp;YEAR(B3)</f>
        <v>Q4-2024</v>
      </c>
      <c r="D3" s="32">
        <v>45595</v>
      </c>
      <c r="E3" s="17">
        <f t="shared" si="0"/>
        <v>7</v>
      </c>
      <c r="F3" s="33" t="s">
        <v>646</v>
      </c>
      <c r="G3" s="33" t="s">
        <v>651</v>
      </c>
      <c r="H3" s="33" t="s">
        <v>663</v>
      </c>
      <c r="I3" s="33" t="s">
        <v>702</v>
      </c>
      <c r="J3" s="33" t="s">
        <v>708</v>
      </c>
      <c r="K3" s="33" t="s">
        <v>713</v>
      </c>
      <c r="L3" s="33" t="s">
        <v>728</v>
      </c>
      <c r="M3" s="34" t="s">
        <v>735</v>
      </c>
      <c r="N3" s="35">
        <v>1084.3900000000001</v>
      </c>
      <c r="O3" s="35">
        <v>759.33</v>
      </c>
      <c r="P3" s="30" t="str">
        <f t="shared" ref="P3:P66" si="2">IF(O3&lt;=_xlfn.PERCENTILE.INC(IF(L3:L633=L3, O3:O633), 0.33), "Low", IF(O3&lt;=_xlfn.PERCENTILE.INC(IF(L3:L633=L3, O3:O633), 0.66), "Medium", IF(O3 &gt; _xlfn.PERCENTILE.INC(IF(L3:L633=L3, O3:O633), 0.66), "High")))</f>
        <v>Low</v>
      </c>
      <c r="Q3" s="43">
        <v>0.23699999999999999</v>
      </c>
      <c r="R3" s="42" t="str">
        <f t="shared" ref="R3:R66" si="3">IF(Q3&lt;=0.1,"Low",IF(Q3&gt;0.2,"High","Medium"))</f>
        <v>High</v>
      </c>
      <c r="S3" s="17">
        <v>31</v>
      </c>
      <c r="T3" s="30">
        <v>17960.432489999999</v>
      </c>
      <c r="U3" s="30">
        <v>33616.090000000004</v>
      </c>
      <c r="V3" s="30">
        <v>-15655.657510000005</v>
      </c>
      <c r="W3" s="30">
        <v>-0.87167486187856302</v>
      </c>
      <c r="X3" t="str">
        <f t="shared" ref="X3:X66" si="4">IF(E3&lt;=7,"On-time","Delayed")</f>
        <v>On-time</v>
      </c>
      <c r="Y3" t="str">
        <f t="shared" ref="Y3:Y66" si="5">IF(Q3&lt;=0.2, "Compliant Discount", "Non-compliant Discount")</f>
        <v>Non-compliant Discount</v>
      </c>
      <c r="Z3" s="9">
        <f>MIN(Q3,'Scenario Modelling'!$B$2)</f>
        <v>0.2</v>
      </c>
      <c r="AA3">
        <f t="shared" ref="AA3:AA66" si="6">O3*(1-Z3)</f>
        <v>607.46400000000006</v>
      </c>
      <c r="AB3">
        <f>N3*(1+'Scenario Modelling'!$B$3)</f>
        <v>1192.8290000000002</v>
      </c>
      <c r="AC3">
        <f>ROUNDUP(S3*(1+'Scenario Modelling'!$B$4),0)</f>
        <v>33</v>
      </c>
      <c r="AD3">
        <f t="shared" ref="AD3:AD66" si="7">AA3*AC3</f>
        <v>20046.312000000002</v>
      </c>
      <c r="AE3">
        <f t="shared" ref="AE3:AE66" si="8">(AA3-AB3)*AC3</f>
        <v>-19317.045000000006</v>
      </c>
    </row>
    <row r="4" spans="1:31" x14ac:dyDescent="0.3">
      <c r="A4" s="36" t="s">
        <v>17</v>
      </c>
      <c r="B4" s="49">
        <v>44985</v>
      </c>
      <c r="C4" s="47" t="str">
        <f t="shared" si="1"/>
        <v>Q1-2023</v>
      </c>
      <c r="D4" s="37">
        <v>45010</v>
      </c>
      <c r="E4" s="16">
        <f t="shared" si="0"/>
        <v>25</v>
      </c>
      <c r="F4" s="38" t="s">
        <v>646</v>
      </c>
      <c r="G4" s="38" t="s">
        <v>650</v>
      </c>
      <c r="H4" s="38" t="s">
        <v>664</v>
      </c>
      <c r="I4" s="38" t="s">
        <v>701</v>
      </c>
      <c r="J4" s="38" t="s">
        <v>707</v>
      </c>
      <c r="K4" s="38" t="s">
        <v>714</v>
      </c>
      <c r="L4" s="38" t="s">
        <v>729</v>
      </c>
      <c r="M4" s="39" t="s">
        <v>736</v>
      </c>
      <c r="N4" s="40">
        <v>1460.76</v>
      </c>
      <c r="O4" s="40">
        <v>30.66</v>
      </c>
      <c r="P4" s="30" t="str">
        <f t="shared" si="2"/>
        <v>Low</v>
      </c>
      <c r="Q4" s="44">
        <v>0.13100000000000001</v>
      </c>
      <c r="R4" s="42" t="str">
        <f t="shared" si="3"/>
        <v>Medium</v>
      </c>
      <c r="S4" s="16">
        <v>12</v>
      </c>
      <c r="T4" s="30">
        <v>319.72248000000002</v>
      </c>
      <c r="U4" s="30">
        <v>17529.12</v>
      </c>
      <c r="V4" s="30">
        <v>-17209.397519999999</v>
      </c>
      <c r="W4" s="30">
        <v>-53.826047890032626</v>
      </c>
      <c r="X4" t="str">
        <f t="shared" si="4"/>
        <v>Delayed</v>
      </c>
      <c r="Y4" t="str">
        <f t="shared" si="5"/>
        <v>Compliant Discount</v>
      </c>
      <c r="Z4" s="9">
        <f>MIN(Q4,'Scenario Modelling'!$B$2)</f>
        <v>0.13100000000000001</v>
      </c>
      <c r="AA4">
        <f t="shared" si="6"/>
        <v>26.643540000000002</v>
      </c>
      <c r="AB4">
        <f>N4*(1+'Scenario Modelling'!$B$3)</f>
        <v>1606.836</v>
      </c>
      <c r="AC4">
        <f>ROUNDUP(S4*(1+'Scenario Modelling'!$B$4),0)</f>
        <v>13</v>
      </c>
      <c r="AD4">
        <f t="shared" si="7"/>
        <v>346.36602000000005</v>
      </c>
      <c r="AE4">
        <f t="shared" si="8"/>
        <v>-20542.501980000001</v>
      </c>
    </row>
    <row r="5" spans="1:31" x14ac:dyDescent="0.3">
      <c r="A5" s="31" t="s">
        <v>18</v>
      </c>
      <c r="B5" s="48">
        <v>45745</v>
      </c>
      <c r="C5" s="47" t="str">
        <f t="shared" si="1"/>
        <v>Q1-2025</v>
      </c>
      <c r="D5" s="32">
        <v>45749</v>
      </c>
      <c r="E5" s="17">
        <f t="shared" si="0"/>
        <v>4</v>
      </c>
      <c r="F5" s="33" t="s">
        <v>646</v>
      </c>
      <c r="G5" s="33" t="s">
        <v>651</v>
      </c>
      <c r="H5" s="33" t="s">
        <v>665</v>
      </c>
      <c r="I5" s="33" t="s">
        <v>703</v>
      </c>
      <c r="J5" s="33" t="s">
        <v>709</v>
      </c>
      <c r="K5" s="33" t="s">
        <v>715</v>
      </c>
      <c r="L5" s="33" t="s">
        <v>730</v>
      </c>
      <c r="M5" s="34" t="s">
        <v>737</v>
      </c>
      <c r="N5" s="35">
        <v>259.93</v>
      </c>
      <c r="O5" s="35">
        <v>255.94</v>
      </c>
      <c r="P5" s="30" t="str">
        <f t="shared" si="2"/>
        <v>Low</v>
      </c>
      <c r="Q5" s="43">
        <v>7.1999999999999995E-2</v>
      </c>
      <c r="R5" s="42" t="str">
        <f t="shared" si="3"/>
        <v>Low</v>
      </c>
      <c r="S5" s="17">
        <v>22</v>
      </c>
      <c r="T5" s="30">
        <v>5225.2710400000005</v>
      </c>
      <c r="U5" s="30">
        <v>5718.46</v>
      </c>
      <c r="V5" s="30">
        <v>-493.1889599999995</v>
      </c>
      <c r="W5" s="30">
        <v>-9.4385335463861311E-2</v>
      </c>
      <c r="X5" t="str">
        <f t="shared" si="4"/>
        <v>On-time</v>
      </c>
      <c r="Y5" t="str">
        <f t="shared" si="5"/>
        <v>Compliant Discount</v>
      </c>
      <c r="Z5" s="9">
        <f>MIN(Q5,'Scenario Modelling'!$B$2)</f>
        <v>7.1999999999999995E-2</v>
      </c>
      <c r="AA5">
        <f t="shared" si="6"/>
        <v>237.51232000000002</v>
      </c>
      <c r="AB5">
        <f>N5*(1+'Scenario Modelling'!$B$3)</f>
        <v>285.92300000000006</v>
      </c>
      <c r="AC5">
        <f>ROUNDUP(S5*(1+'Scenario Modelling'!$B$4),0)</f>
        <v>24</v>
      </c>
      <c r="AD5">
        <f t="shared" si="7"/>
        <v>5700.2956800000002</v>
      </c>
      <c r="AE5">
        <f t="shared" si="8"/>
        <v>-1161.856320000001</v>
      </c>
    </row>
    <row r="6" spans="1:31" x14ac:dyDescent="0.3">
      <c r="A6" s="36" t="s">
        <v>19</v>
      </c>
      <c r="B6" s="49">
        <v>45266</v>
      </c>
      <c r="C6" s="47" t="str">
        <f t="shared" si="1"/>
        <v>Q4-2023</v>
      </c>
      <c r="D6" s="37">
        <v>45291</v>
      </c>
      <c r="E6" s="16">
        <f t="shared" si="0"/>
        <v>25</v>
      </c>
      <c r="F6" s="38" t="s">
        <v>647</v>
      </c>
      <c r="G6" s="38" t="s">
        <v>652</v>
      </c>
      <c r="H6" s="38" t="s">
        <v>666</v>
      </c>
      <c r="I6" s="38" t="s">
        <v>704</v>
      </c>
      <c r="J6" s="38" t="s">
        <v>707</v>
      </c>
      <c r="K6" s="38" t="s">
        <v>716</v>
      </c>
      <c r="L6" s="38" t="s">
        <v>728</v>
      </c>
      <c r="M6" s="39" t="s">
        <v>738</v>
      </c>
      <c r="N6" s="40">
        <v>663.03</v>
      </c>
      <c r="O6" s="40">
        <v>813.51</v>
      </c>
      <c r="P6" s="30" t="str">
        <f t="shared" si="2"/>
        <v>Low</v>
      </c>
      <c r="Q6" s="44">
        <v>0.10199999999999999</v>
      </c>
      <c r="R6" s="42" t="str">
        <f t="shared" si="3"/>
        <v>Medium</v>
      </c>
      <c r="S6" s="16">
        <v>15</v>
      </c>
      <c r="T6" s="30">
        <v>10957.9797</v>
      </c>
      <c r="U6" s="30">
        <v>9945.4499999999989</v>
      </c>
      <c r="V6" s="30">
        <v>1012.529700000001</v>
      </c>
      <c r="W6" s="30">
        <v>9.2401129379715952E-2</v>
      </c>
      <c r="X6" t="str">
        <f t="shared" si="4"/>
        <v>Delayed</v>
      </c>
      <c r="Y6" t="str">
        <f t="shared" si="5"/>
        <v>Compliant Discount</v>
      </c>
      <c r="Z6" s="9">
        <f>MIN(Q6,'Scenario Modelling'!$B$2)</f>
        <v>0.10199999999999999</v>
      </c>
      <c r="AA6">
        <f t="shared" si="6"/>
        <v>730.53197999999998</v>
      </c>
      <c r="AB6">
        <f>N6*(1+'Scenario Modelling'!$B$3)</f>
        <v>729.33300000000008</v>
      </c>
      <c r="AC6">
        <f>ROUNDUP(S6*(1+'Scenario Modelling'!$B$4),0)</f>
        <v>16</v>
      </c>
      <c r="AD6">
        <f t="shared" si="7"/>
        <v>11688.51168</v>
      </c>
      <c r="AE6">
        <f t="shared" si="8"/>
        <v>19.183679999998276</v>
      </c>
    </row>
    <row r="7" spans="1:31" x14ac:dyDescent="0.3">
      <c r="A7" s="31" t="s">
        <v>20</v>
      </c>
      <c r="B7" s="48">
        <v>44928</v>
      </c>
      <c r="C7" s="47" t="str">
        <f t="shared" si="1"/>
        <v>Q1-2023</v>
      </c>
      <c r="D7" s="32">
        <v>44931</v>
      </c>
      <c r="E7" s="17">
        <f t="shared" si="0"/>
        <v>3</v>
      </c>
      <c r="F7" s="33" t="s">
        <v>648</v>
      </c>
      <c r="G7" s="33" t="s">
        <v>653</v>
      </c>
      <c r="H7" s="33" t="s">
        <v>667</v>
      </c>
      <c r="I7" s="33" t="s">
        <v>701</v>
      </c>
      <c r="J7" s="33" t="s">
        <v>710</v>
      </c>
      <c r="K7" s="33" t="s">
        <v>717</v>
      </c>
      <c r="L7" s="33" t="s">
        <v>731</v>
      </c>
      <c r="M7" s="34" t="s">
        <v>739</v>
      </c>
      <c r="N7" s="35">
        <v>315.87</v>
      </c>
      <c r="O7" s="35">
        <v>591.67999999999995</v>
      </c>
      <c r="P7" s="30" t="str">
        <f t="shared" si="2"/>
        <v>Low</v>
      </c>
      <c r="Q7" s="43">
        <v>0</v>
      </c>
      <c r="R7" s="42" t="str">
        <f t="shared" si="3"/>
        <v>Low</v>
      </c>
      <c r="S7" s="17">
        <v>7</v>
      </c>
      <c r="T7" s="30">
        <v>4141.7599999999993</v>
      </c>
      <c r="U7" s="30">
        <v>2211.09</v>
      </c>
      <c r="V7" s="30">
        <v>1930.6699999999992</v>
      </c>
      <c r="W7" s="30">
        <v>0.46614724175229844</v>
      </c>
      <c r="X7" t="str">
        <f t="shared" si="4"/>
        <v>On-time</v>
      </c>
      <c r="Y7" t="str">
        <f t="shared" si="5"/>
        <v>Compliant Discount</v>
      </c>
      <c r="Z7" s="9">
        <f>MIN(Q7,'Scenario Modelling'!$B$2)</f>
        <v>0</v>
      </c>
      <c r="AA7">
        <f t="shared" si="6"/>
        <v>591.67999999999995</v>
      </c>
      <c r="AB7">
        <f>N7*(1+'Scenario Modelling'!$B$3)</f>
        <v>347.45700000000005</v>
      </c>
      <c r="AC7">
        <f>ROUNDUP(S7*(1+'Scenario Modelling'!$B$4),0)</f>
        <v>8</v>
      </c>
      <c r="AD7">
        <f t="shared" si="7"/>
        <v>4733.4399999999996</v>
      </c>
      <c r="AE7">
        <f t="shared" si="8"/>
        <v>1953.7839999999992</v>
      </c>
    </row>
    <row r="8" spans="1:31" x14ac:dyDescent="0.3">
      <c r="A8" s="36" t="s">
        <v>21</v>
      </c>
      <c r="B8" s="49">
        <v>45653</v>
      </c>
      <c r="C8" s="47" t="str">
        <f t="shared" si="1"/>
        <v>Q4-2024</v>
      </c>
      <c r="D8" s="37">
        <v>45671</v>
      </c>
      <c r="E8" s="16">
        <f t="shared" si="0"/>
        <v>18</v>
      </c>
      <c r="F8" s="38" t="s">
        <v>647</v>
      </c>
      <c r="G8" s="38" t="s">
        <v>654</v>
      </c>
      <c r="H8" s="38" t="s">
        <v>668</v>
      </c>
      <c r="I8" s="38" t="s">
        <v>705</v>
      </c>
      <c r="J8" s="38" t="s">
        <v>709</v>
      </c>
      <c r="K8" s="38" t="s">
        <v>718</v>
      </c>
      <c r="L8" s="38" t="s">
        <v>732</v>
      </c>
      <c r="M8" s="39" t="s">
        <v>740</v>
      </c>
      <c r="N8" s="40">
        <v>586.07000000000005</v>
      </c>
      <c r="O8" s="40">
        <v>845.97</v>
      </c>
      <c r="P8" s="30" t="str">
        <f t="shared" si="2"/>
        <v>Medium</v>
      </c>
      <c r="Q8" s="44">
        <v>0.14699999999999999</v>
      </c>
      <c r="R8" s="42" t="str">
        <f t="shared" si="3"/>
        <v>Medium</v>
      </c>
      <c r="S8" s="16">
        <v>4</v>
      </c>
      <c r="T8" s="30">
        <v>2886.4496399999998</v>
      </c>
      <c r="U8" s="30">
        <v>2344.2800000000002</v>
      </c>
      <c r="V8" s="30">
        <v>542.16963999999962</v>
      </c>
      <c r="W8" s="30">
        <v>0.18783270370862928</v>
      </c>
      <c r="X8" t="str">
        <f t="shared" si="4"/>
        <v>Delayed</v>
      </c>
      <c r="Y8" t="str">
        <f t="shared" si="5"/>
        <v>Compliant Discount</v>
      </c>
      <c r="Z8" s="9">
        <f>MIN(Q8,'Scenario Modelling'!$B$2)</f>
        <v>0.14699999999999999</v>
      </c>
      <c r="AA8">
        <f t="shared" si="6"/>
        <v>721.61240999999995</v>
      </c>
      <c r="AB8">
        <f>N8*(1+'Scenario Modelling'!$B$3)</f>
        <v>644.67700000000013</v>
      </c>
      <c r="AC8">
        <f>ROUNDUP(S8*(1+'Scenario Modelling'!$B$4),0)</f>
        <v>5</v>
      </c>
      <c r="AD8">
        <f t="shared" si="7"/>
        <v>3608.0620499999995</v>
      </c>
      <c r="AE8">
        <f t="shared" si="8"/>
        <v>384.6770499999991</v>
      </c>
    </row>
    <row r="9" spans="1:31" x14ac:dyDescent="0.3">
      <c r="A9" s="31" t="s">
        <v>22</v>
      </c>
      <c r="B9" s="48">
        <v>44941</v>
      </c>
      <c r="C9" s="47" t="str">
        <f t="shared" si="1"/>
        <v>Q1-2023</v>
      </c>
      <c r="D9" s="32">
        <v>44948</v>
      </c>
      <c r="E9" s="17">
        <f t="shared" si="0"/>
        <v>7</v>
      </c>
      <c r="F9" s="33" t="s">
        <v>646</v>
      </c>
      <c r="G9" s="33" t="s">
        <v>651</v>
      </c>
      <c r="H9" s="33" t="s">
        <v>669</v>
      </c>
      <c r="I9" s="33" t="s">
        <v>702</v>
      </c>
      <c r="J9" s="33" t="s">
        <v>708</v>
      </c>
      <c r="K9" s="33" t="s">
        <v>719</v>
      </c>
      <c r="L9" s="33" t="s">
        <v>728</v>
      </c>
      <c r="M9" s="34" t="s">
        <v>741</v>
      </c>
      <c r="N9" s="35">
        <v>28.38</v>
      </c>
      <c r="O9" s="35">
        <v>47.22</v>
      </c>
      <c r="P9" s="30" t="str">
        <f t="shared" si="2"/>
        <v>Low</v>
      </c>
      <c r="Q9" s="43">
        <v>0.19400000000000001</v>
      </c>
      <c r="R9" s="42" t="str">
        <f t="shared" si="3"/>
        <v>Medium</v>
      </c>
      <c r="S9" s="17">
        <v>18</v>
      </c>
      <c r="T9" s="30">
        <v>685.06776000000002</v>
      </c>
      <c r="U9" s="30">
        <v>510.84</v>
      </c>
      <c r="V9" s="30">
        <v>174.22776000000005</v>
      </c>
      <c r="W9" s="30">
        <v>0.25432193743871417</v>
      </c>
      <c r="X9" t="str">
        <f t="shared" si="4"/>
        <v>On-time</v>
      </c>
      <c r="Y9" t="str">
        <f t="shared" si="5"/>
        <v>Compliant Discount</v>
      </c>
      <c r="Z9" s="9">
        <f>MIN(Q9,'Scenario Modelling'!$B$2)</f>
        <v>0.19400000000000001</v>
      </c>
      <c r="AA9">
        <f t="shared" si="6"/>
        <v>38.05932</v>
      </c>
      <c r="AB9">
        <f>N9*(1+'Scenario Modelling'!$B$3)</f>
        <v>31.218</v>
      </c>
      <c r="AC9">
        <f>ROUNDUP(S9*(1+'Scenario Modelling'!$B$4),0)</f>
        <v>19</v>
      </c>
      <c r="AD9">
        <f t="shared" si="7"/>
        <v>723.12707999999998</v>
      </c>
      <c r="AE9">
        <f t="shared" si="8"/>
        <v>129.98507999999998</v>
      </c>
    </row>
    <row r="10" spans="1:31" x14ac:dyDescent="0.3">
      <c r="A10" s="36" t="s">
        <v>23</v>
      </c>
      <c r="B10" s="49">
        <v>45416</v>
      </c>
      <c r="C10" s="47" t="str">
        <f t="shared" si="1"/>
        <v>Q2-2024</v>
      </c>
      <c r="D10" s="37">
        <v>45441</v>
      </c>
      <c r="E10" s="16">
        <f t="shared" si="0"/>
        <v>25</v>
      </c>
      <c r="F10" s="38" t="s">
        <v>646</v>
      </c>
      <c r="G10" s="38" t="s">
        <v>651</v>
      </c>
      <c r="H10" s="38" t="s">
        <v>669</v>
      </c>
      <c r="I10" s="38" t="s">
        <v>703</v>
      </c>
      <c r="J10" s="38" t="s">
        <v>709</v>
      </c>
      <c r="K10" s="38" t="s">
        <v>719</v>
      </c>
      <c r="L10" s="38" t="s">
        <v>732</v>
      </c>
      <c r="M10" s="39" t="s">
        <v>742</v>
      </c>
      <c r="N10" s="40">
        <v>1295.3399999999999</v>
      </c>
      <c r="O10" s="40">
        <v>2530.81</v>
      </c>
      <c r="P10" s="30" t="str">
        <f t="shared" si="2"/>
        <v>High</v>
      </c>
      <c r="Q10" s="44">
        <v>3.1E-2</v>
      </c>
      <c r="R10" s="42" t="str">
        <f t="shared" si="3"/>
        <v>Low</v>
      </c>
      <c r="S10" s="16">
        <v>6</v>
      </c>
      <c r="T10" s="30">
        <v>14714.12934</v>
      </c>
      <c r="U10" s="30">
        <v>7772.0399999999991</v>
      </c>
      <c r="V10" s="30">
        <v>6942.0893400000004</v>
      </c>
      <c r="W10" s="30">
        <v>0.4717974933880798</v>
      </c>
      <c r="X10" t="str">
        <f t="shared" si="4"/>
        <v>Delayed</v>
      </c>
      <c r="Y10" t="str">
        <f t="shared" si="5"/>
        <v>Compliant Discount</v>
      </c>
      <c r="Z10" s="9">
        <f>MIN(Q10,'Scenario Modelling'!$B$2)</f>
        <v>3.1E-2</v>
      </c>
      <c r="AA10">
        <f t="shared" si="6"/>
        <v>2452.3548900000001</v>
      </c>
      <c r="AB10">
        <f>N10*(1+'Scenario Modelling'!$B$3)</f>
        <v>1424.874</v>
      </c>
      <c r="AC10">
        <f>ROUNDUP(S10*(1+'Scenario Modelling'!$B$4),0)</f>
        <v>7</v>
      </c>
      <c r="AD10">
        <f t="shared" si="7"/>
        <v>17166.484230000002</v>
      </c>
      <c r="AE10">
        <f t="shared" si="8"/>
        <v>7192.3662300000005</v>
      </c>
    </row>
    <row r="11" spans="1:31" x14ac:dyDescent="0.3">
      <c r="A11" s="31" t="s">
        <v>24</v>
      </c>
      <c r="B11" s="48">
        <v>45798</v>
      </c>
      <c r="C11" s="47" t="str">
        <f t="shared" si="1"/>
        <v>Q2-2025</v>
      </c>
      <c r="D11" s="32">
        <v>45817</v>
      </c>
      <c r="E11" s="17">
        <f t="shared" si="0"/>
        <v>19</v>
      </c>
      <c r="F11" s="33" t="s">
        <v>648</v>
      </c>
      <c r="G11" s="33" t="s">
        <v>655</v>
      </c>
      <c r="H11" s="33" t="s">
        <v>670</v>
      </c>
      <c r="I11" s="33" t="s">
        <v>703</v>
      </c>
      <c r="J11" s="33" t="s">
        <v>708</v>
      </c>
      <c r="K11" s="33" t="s">
        <v>720</v>
      </c>
      <c r="L11" s="33" t="s">
        <v>727</v>
      </c>
      <c r="M11" s="34" t="s">
        <v>743</v>
      </c>
      <c r="N11" s="35">
        <v>1331.38</v>
      </c>
      <c r="O11" s="35">
        <v>2309.56</v>
      </c>
      <c r="P11" s="30" t="str">
        <f t="shared" si="2"/>
        <v>High</v>
      </c>
      <c r="Q11" s="43">
        <v>0.14899999999999999</v>
      </c>
      <c r="R11" s="42" t="str">
        <f t="shared" si="3"/>
        <v>Medium</v>
      </c>
      <c r="S11" s="17">
        <v>31</v>
      </c>
      <c r="T11" s="30">
        <v>60928.502359999999</v>
      </c>
      <c r="U11" s="30">
        <v>41272.780000000006</v>
      </c>
      <c r="V11" s="30">
        <v>19655.722359999992</v>
      </c>
      <c r="W11" s="30">
        <v>0.32260307735553528</v>
      </c>
      <c r="X11" t="str">
        <f t="shared" si="4"/>
        <v>Delayed</v>
      </c>
      <c r="Y11" t="str">
        <f t="shared" si="5"/>
        <v>Compliant Discount</v>
      </c>
      <c r="Z11" s="9">
        <f>MIN(Q11,'Scenario Modelling'!$B$2)</f>
        <v>0.14899999999999999</v>
      </c>
      <c r="AA11">
        <f t="shared" si="6"/>
        <v>1965.4355599999999</v>
      </c>
      <c r="AB11">
        <f>N11*(1+'Scenario Modelling'!$B$3)</f>
        <v>1464.5180000000003</v>
      </c>
      <c r="AC11">
        <f>ROUNDUP(S11*(1+'Scenario Modelling'!$B$4),0)</f>
        <v>33</v>
      </c>
      <c r="AD11">
        <f t="shared" si="7"/>
        <v>64859.373479999995</v>
      </c>
      <c r="AE11">
        <f t="shared" si="8"/>
        <v>16530.279479999987</v>
      </c>
    </row>
    <row r="12" spans="1:31" x14ac:dyDescent="0.3">
      <c r="A12" s="36" t="s">
        <v>25</v>
      </c>
      <c r="B12" s="49">
        <v>45319</v>
      </c>
      <c r="C12" s="47" t="str">
        <f t="shared" si="1"/>
        <v>Q1-2024</v>
      </c>
      <c r="D12" s="37">
        <v>45331</v>
      </c>
      <c r="E12" s="16">
        <f t="shared" si="0"/>
        <v>12</v>
      </c>
      <c r="F12" s="38" t="s">
        <v>649</v>
      </c>
      <c r="G12" s="38" t="s">
        <v>656</v>
      </c>
      <c r="H12" s="38" t="s">
        <v>671</v>
      </c>
      <c r="I12" s="38" t="s">
        <v>701</v>
      </c>
      <c r="J12" s="38" t="s">
        <v>708</v>
      </c>
      <c r="K12" s="38" t="s">
        <v>715</v>
      </c>
      <c r="L12" s="38" t="s">
        <v>733</v>
      </c>
      <c r="M12" s="39" t="s">
        <v>744</v>
      </c>
      <c r="N12" s="40">
        <v>644.16999999999996</v>
      </c>
      <c r="O12" s="40">
        <v>700.12</v>
      </c>
      <c r="P12" s="30" t="str">
        <f t="shared" si="2"/>
        <v>Low</v>
      </c>
      <c r="Q12" s="44">
        <v>6.0000000000000001E-3</v>
      </c>
      <c r="R12" s="42" t="str">
        <f t="shared" si="3"/>
        <v>Low</v>
      </c>
      <c r="S12" s="16">
        <v>23</v>
      </c>
      <c r="T12" s="30">
        <v>16006.14344</v>
      </c>
      <c r="U12" s="30">
        <v>14815.91</v>
      </c>
      <c r="V12" s="30">
        <v>1190.23344</v>
      </c>
      <c r="W12" s="30">
        <v>7.436103796405813E-2</v>
      </c>
      <c r="X12" t="str">
        <f t="shared" si="4"/>
        <v>Delayed</v>
      </c>
      <c r="Y12" t="str">
        <f t="shared" si="5"/>
        <v>Compliant Discount</v>
      </c>
      <c r="Z12" s="9">
        <f>MIN(Q12,'Scenario Modelling'!$B$2)</f>
        <v>6.0000000000000001E-3</v>
      </c>
      <c r="AA12">
        <f t="shared" si="6"/>
        <v>695.91927999999996</v>
      </c>
      <c r="AB12">
        <f>N12*(1+'Scenario Modelling'!$B$3)</f>
        <v>708.58699999999999</v>
      </c>
      <c r="AC12">
        <f>ROUNDUP(S12*(1+'Scenario Modelling'!$B$4),0)</f>
        <v>25</v>
      </c>
      <c r="AD12">
        <f t="shared" si="7"/>
        <v>17397.982</v>
      </c>
      <c r="AE12">
        <f t="shared" si="8"/>
        <v>-316.69300000000078</v>
      </c>
    </row>
    <row r="13" spans="1:31" x14ac:dyDescent="0.3">
      <c r="A13" s="31" t="s">
        <v>26</v>
      </c>
      <c r="B13" s="48">
        <v>45660</v>
      </c>
      <c r="C13" s="47" t="str">
        <f t="shared" si="1"/>
        <v>Q1-2025</v>
      </c>
      <c r="D13" s="32">
        <v>45680</v>
      </c>
      <c r="E13" s="17">
        <f t="shared" si="0"/>
        <v>20</v>
      </c>
      <c r="F13" s="33" t="s">
        <v>647</v>
      </c>
      <c r="G13" s="33" t="s">
        <v>652</v>
      </c>
      <c r="H13" s="33" t="s">
        <v>666</v>
      </c>
      <c r="I13" s="33" t="s">
        <v>701</v>
      </c>
      <c r="J13" s="33" t="s">
        <v>710</v>
      </c>
      <c r="K13" s="33" t="s">
        <v>721</v>
      </c>
      <c r="L13" s="33" t="s">
        <v>730</v>
      </c>
      <c r="M13" s="34" t="s">
        <v>745</v>
      </c>
      <c r="N13" s="35">
        <v>908.6</v>
      </c>
      <c r="O13" s="35">
        <v>691.37</v>
      </c>
      <c r="P13" s="30" t="str">
        <f t="shared" si="2"/>
        <v>Low</v>
      </c>
      <c r="Q13" s="43">
        <v>0.25</v>
      </c>
      <c r="R13" s="42" t="str">
        <f t="shared" si="3"/>
        <v>High</v>
      </c>
      <c r="S13" s="17">
        <v>20</v>
      </c>
      <c r="T13" s="30">
        <v>10370.549999999999</v>
      </c>
      <c r="U13" s="30">
        <v>18172</v>
      </c>
      <c r="V13" s="30">
        <v>-7801.4500000000007</v>
      </c>
      <c r="W13" s="30">
        <v>-0.75226964818645115</v>
      </c>
      <c r="X13" t="str">
        <f t="shared" si="4"/>
        <v>Delayed</v>
      </c>
      <c r="Y13" t="str">
        <f t="shared" si="5"/>
        <v>Non-compliant Discount</v>
      </c>
      <c r="Z13" s="9">
        <f>MIN(Q13,'Scenario Modelling'!$B$2)</f>
        <v>0.2</v>
      </c>
      <c r="AA13">
        <f t="shared" si="6"/>
        <v>553.096</v>
      </c>
      <c r="AB13">
        <f>N13*(1+'Scenario Modelling'!$B$3)</f>
        <v>999.46000000000015</v>
      </c>
      <c r="AC13">
        <f>ROUNDUP(S13*(1+'Scenario Modelling'!$B$4),0)</f>
        <v>21</v>
      </c>
      <c r="AD13">
        <f t="shared" si="7"/>
        <v>11615.016</v>
      </c>
      <c r="AE13">
        <f t="shared" si="8"/>
        <v>-9373.6440000000039</v>
      </c>
    </row>
    <row r="14" spans="1:31" x14ac:dyDescent="0.3">
      <c r="A14" s="36" t="s">
        <v>27</v>
      </c>
      <c r="B14" s="49">
        <v>45722</v>
      </c>
      <c r="C14" s="47" t="str">
        <f t="shared" si="1"/>
        <v>Q1-2025</v>
      </c>
      <c r="D14" s="37">
        <v>45747</v>
      </c>
      <c r="E14" s="16">
        <f t="shared" si="0"/>
        <v>25</v>
      </c>
      <c r="F14" s="38" t="s">
        <v>648</v>
      </c>
      <c r="G14" s="38" t="s">
        <v>655</v>
      </c>
      <c r="H14" s="38" t="s">
        <v>672</v>
      </c>
      <c r="I14" s="38" t="s">
        <v>703</v>
      </c>
      <c r="J14" s="38" t="s">
        <v>708</v>
      </c>
      <c r="K14" s="38" t="s">
        <v>713</v>
      </c>
      <c r="L14" s="38" t="s">
        <v>727</v>
      </c>
      <c r="M14" s="39" t="s">
        <v>746</v>
      </c>
      <c r="N14" s="40">
        <v>331.57</v>
      </c>
      <c r="O14" s="40">
        <v>548.4</v>
      </c>
      <c r="P14" s="30" t="str">
        <f t="shared" si="2"/>
        <v>Low</v>
      </c>
      <c r="Q14" s="44">
        <v>9.4E-2</v>
      </c>
      <c r="R14" s="42" t="str">
        <f t="shared" si="3"/>
        <v>Low</v>
      </c>
      <c r="S14" s="16">
        <v>10</v>
      </c>
      <c r="T14" s="30">
        <v>4968.5039999999999</v>
      </c>
      <c r="U14" s="30">
        <v>3315.7</v>
      </c>
      <c r="V14" s="30">
        <v>1652.8040000000001</v>
      </c>
      <c r="W14" s="30">
        <v>0.33265626836568918</v>
      </c>
      <c r="X14" t="str">
        <f t="shared" si="4"/>
        <v>Delayed</v>
      </c>
      <c r="Y14" t="str">
        <f t="shared" si="5"/>
        <v>Compliant Discount</v>
      </c>
      <c r="Z14" s="9">
        <f>MIN(Q14,'Scenario Modelling'!$B$2)</f>
        <v>9.4E-2</v>
      </c>
      <c r="AA14">
        <f t="shared" si="6"/>
        <v>496.85039999999998</v>
      </c>
      <c r="AB14">
        <f>N14*(1+'Scenario Modelling'!$B$3)</f>
        <v>364.72700000000003</v>
      </c>
      <c r="AC14">
        <f>ROUNDUP(S14*(1+'Scenario Modelling'!$B$4),0)</f>
        <v>11</v>
      </c>
      <c r="AD14">
        <f t="shared" si="7"/>
        <v>5465.3544000000002</v>
      </c>
      <c r="AE14">
        <f t="shared" si="8"/>
        <v>1453.3573999999994</v>
      </c>
    </row>
    <row r="15" spans="1:31" x14ac:dyDescent="0.3">
      <c r="A15" s="31" t="s">
        <v>28</v>
      </c>
      <c r="B15" s="48">
        <v>45311</v>
      </c>
      <c r="C15" s="47" t="str">
        <f t="shared" si="1"/>
        <v>Q1-2024</v>
      </c>
      <c r="D15" s="32">
        <v>45335</v>
      </c>
      <c r="E15" s="17">
        <f t="shared" si="0"/>
        <v>24</v>
      </c>
      <c r="F15" s="33" t="s">
        <v>649</v>
      </c>
      <c r="G15" s="33" t="s">
        <v>657</v>
      </c>
      <c r="H15" s="33" t="s">
        <v>673</v>
      </c>
      <c r="I15" s="33" t="s">
        <v>701</v>
      </c>
      <c r="J15" s="33" t="s">
        <v>707</v>
      </c>
      <c r="K15" s="33" t="s">
        <v>722</v>
      </c>
      <c r="L15" s="33" t="s">
        <v>728</v>
      </c>
      <c r="M15" s="34" t="s">
        <v>747</v>
      </c>
      <c r="N15" s="35">
        <v>643.53</v>
      </c>
      <c r="O15" s="35">
        <v>1439.01</v>
      </c>
      <c r="P15" s="30" t="str">
        <f t="shared" si="2"/>
        <v>Medium</v>
      </c>
      <c r="Q15" s="43">
        <v>0</v>
      </c>
      <c r="R15" s="42" t="str">
        <f t="shared" si="3"/>
        <v>Low</v>
      </c>
      <c r="S15" s="17">
        <v>15</v>
      </c>
      <c r="T15" s="30">
        <v>21585.15</v>
      </c>
      <c r="U15" s="30">
        <v>9652.9499999999989</v>
      </c>
      <c r="V15" s="30">
        <v>11932.200000000003</v>
      </c>
      <c r="W15" s="30">
        <v>0.55279671440782208</v>
      </c>
      <c r="X15" t="str">
        <f t="shared" si="4"/>
        <v>Delayed</v>
      </c>
      <c r="Y15" t="str">
        <f t="shared" si="5"/>
        <v>Compliant Discount</v>
      </c>
      <c r="Z15" s="9">
        <f>MIN(Q15,'Scenario Modelling'!$B$2)</f>
        <v>0</v>
      </c>
      <c r="AA15">
        <f t="shared" si="6"/>
        <v>1439.01</v>
      </c>
      <c r="AB15">
        <f>N15*(1+'Scenario Modelling'!$B$3)</f>
        <v>707.88300000000004</v>
      </c>
      <c r="AC15">
        <f>ROUNDUP(S15*(1+'Scenario Modelling'!$B$4),0)</f>
        <v>16</v>
      </c>
      <c r="AD15">
        <f t="shared" si="7"/>
        <v>23024.16</v>
      </c>
      <c r="AE15">
        <f t="shared" si="8"/>
        <v>11698.031999999999</v>
      </c>
    </row>
    <row r="16" spans="1:31" x14ac:dyDescent="0.3">
      <c r="A16" s="36" t="s">
        <v>29</v>
      </c>
      <c r="B16" s="49">
        <v>45901</v>
      </c>
      <c r="C16" s="47" t="str">
        <f t="shared" si="1"/>
        <v>Q3-2025</v>
      </c>
      <c r="D16" s="37">
        <v>45930</v>
      </c>
      <c r="E16" s="16">
        <f t="shared" si="0"/>
        <v>29</v>
      </c>
      <c r="F16" s="38" t="s">
        <v>648</v>
      </c>
      <c r="G16" s="38" t="s">
        <v>655</v>
      </c>
      <c r="H16" s="38" t="s">
        <v>672</v>
      </c>
      <c r="I16" s="38" t="s">
        <v>702</v>
      </c>
      <c r="J16" s="38" t="s">
        <v>707</v>
      </c>
      <c r="K16" s="38" t="s">
        <v>723</v>
      </c>
      <c r="L16" s="38" t="s">
        <v>733</v>
      </c>
      <c r="M16" s="39" t="s">
        <v>748</v>
      </c>
      <c r="N16" s="40">
        <v>780.59</v>
      </c>
      <c r="O16" s="40">
        <v>631.57000000000005</v>
      </c>
      <c r="P16" s="30" t="str">
        <f t="shared" si="2"/>
        <v>Low</v>
      </c>
      <c r="Q16" s="44">
        <v>0</v>
      </c>
      <c r="R16" s="42" t="str">
        <f t="shared" si="3"/>
        <v>Low</v>
      </c>
      <c r="S16" s="16">
        <v>12</v>
      </c>
      <c r="T16" s="30">
        <v>7578.84</v>
      </c>
      <c r="U16" s="30">
        <v>9367.08</v>
      </c>
      <c r="V16" s="30">
        <v>-1788.2399999999998</v>
      </c>
      <c r="W16" s="30">
        <v>-0.23595167598207639</v>
      </c>
      <c r="X16" t="str">
        <f t="shared" si="4"/>
        <v>Delayed</v>
      </c>
      <c r="Y16" t="str">
        <f t="shared" si="5"/>
        <v>Compliant Discount</v>
      </c>
      <c r="Z16" s="9">
        <f>MIN(Q16,'Scenario Modelling'!$B$2)</f>
        <v>0</v>
      </c>
      <c r="AA16">
        <f t="shared" si="6"/>
        <v>631.57000000000005</v>
      </c>
      <c r="AB16">
        <f>N16*(1+'Scenario Modelling'!$B$3)</f>
        <v>858.64900000000011</v>
      </c>
      <c r="AC16">
        <f>ROUNDUP(S16*(1+'Scenario Modelling'!$B$4),0)</f>
        <v>13</v>
      </c>
      <c r="AD16">
        <f t="shared" si="7"/>
        <v>8210.41</v>
      </c>
      <c r="AE16">
        <f t="shared" si="8"/>
        <v>-2952.027000000001</v>
      </c>
    </row>
    <row r="17" spans="1:31" x14ac:dyDescent="0.3">
      <c r="A17" s="31" t="s">
        <v>30</v>
      </c>
      <c r="B17" s="48">
        <v>45039</v>
      </c>
      <c r="C17" s="47" t="str">
        <f t="shared" si="1"/>
        <v>Q2-2023</v>
      </c>
      <c r="D17" s="32">
        <v>45046</v>
      </c>
      <c r="E17" s="17">
        <f t="shared" si="0"/>
        <v>7</v>
      </c>
      <c r="F17" s="33" t="s">
        <v>646</v>
      </c>
      <c r="G17" s="33" t="s">
        <v>650</v>
      </c>
      <c r="H17" s="33" t="s">
        <v>664</v>
      </c>
      <c r="I17" s="33" t="s">
        <v>705</v>
      </c>
      <c r="J17" s="33" t="s">
        <v>711</v>
      </c>
      <c r="K17" s="33" t="s">
        <v>718</v>
      </c>
      <c r="L17" s="33" t="s">
        <v>731</v>
      </c>
      <c r="M17" s="34" t="s">
        <v>749</v>
      </c>
      <c r="N17" s="35">
        <v>756.51</v>
      </c>
      <c r="O17" s="35">
        <v>850.8</v>
      </c>
      <c r="P17" s="30" t="str">
        <f t="shared" si="2"/>
        <v>Medium</v>
      </c>
      <c r="Q17" s="43">
        <v>7.3999999999999996E-2</v>
      </c>
      <c r="R17" s="42" t="str">
        <f t="shared" si="3"/>
        <v>Low</v>
      </c>
      <c r="S17" s="17">
        <v>9</v>
      </c>
      <c r="T17" s="30">
        <v>7090.5672000000004</v>
      </c>
      <c r="U17" s="30">
        <v>6808.59</v>
      </c>
      <c r="V17" s="30">
        <v>281.97720000000027</v>
      </c>
      <c r="W17" s="30">
        <v>3.9767932810791252E-2</v>
      </c>
      <c r="X17" t="str">
        <f t="shared" si="4"/>
        <v>On-time</v>
      </c>
      <c r="Y17" t="str">
        <f t="shared" si="5"/>
        <v>Compliant Discount</v>
      </c>
      <c r="Z17" s="9">
        <f>MIN(Q17,'Scenario Modelling'!$B$2)</f>
        <v>7.3999999999999996E-2</v>
      </c>
      <c r="AA17">
        <f t="shared" si="6"/>
        <v>787.84079999999994</v>
      </c>
      <c r="AB17">
        <f>N17*(1+'Scenario Modelling'!$B$3)</f>
        <v>832.16100000000006</v>
      </c>
      <c r="AC17">
        <f>ROUNDUP(S17*(1+'Scenario Modelling'!$B$4),0)</f>
        <v>10</v>
      </c>
      <c r="AD17">
        <f t="shared" si="7"/>
        <v>7878.4079999999994</v>
      </c>
      <c r="AE17">
        <f t="shared" si="8"/>
        <v>-443.20200000000114</v>
      </c>
    </row>
    <row r="18" spans="1:31" x14ac:dyDescent="0.3">
      <c r="A18" s="36" t="s">
        <v>31</v>
      </c>
      <c r="B18" s="49">
        <v>45636</v>
      </c>
      <c r="C18" s="47" t="str">
        <f t="shared" si="1"/>
        <v>Q4-2024</v>
      </c>
      <c r="D18" s="37">
        <v>45665</v>
      </c>
      <c r="E18" s="16">
        <f t="shared" si="0"/>
        <v>29</v>
      </c>
      <c r="F18" s="38" t="s">
        <v>649</v>
      </c>
      <c r="G18" s="38" t="s">
        <v>657</v>
      </c>
      <c r="H18" s="38" t="s">
        <v>673</v>
      </c>
      <c r="I18" s="38" t="s">
        <v>705</v>
      </c>
      <c r="J18" s="38" t="s">
        <v>707</v>
      </c>
      <c r="K18" s="38" t="s">
        <v>723</v>
      </c>
      <c r="L18" s="38" t="s">
        <v>728</v>
      </c>
      <c r="M18" s="39" t="s">
        <v>750</v>
      </c>
      <c r="N18" s="40">
        <v>891.08</v>
      </c>
      <c r="O18" s="40">
        <v>1040.0999999999999</v>
      </c>
      <c r="P18" s="30" t="str">
        <f t="shared" si="2"/>
        <v>Medium</v>
      </c>
      <c r="Q18" s="44">
        <v>0.109</v>
      </c>
      <c r="R18" s="42" t="str">
        <f t="shared" si="3"/>
        <v>Medium</v>
      </c>
      <c r="S18" s="16">
        <v>28</v>
      </c>
      <c r="T18" s="30">
        <v>25948.414799999995</v>
      </c>
      <c r="U18" s="30">
        <v>24950.240000000002</v>
      </c>
      <c r="V18" s="30">
        <v>998.17479999999341</v>
      </c>
      <c r="W18" s="30">
        <v>3.8467660074556598E-2</v>
      </c>
      <c r="X18" t="str">
        <f t="shared" si="4"/>
        <v>Delayed</v>
      </c>
      <c r="Y18" t="str">
        <f t="shared" si="5"/>
        <v>Compliant Discount</v>
      </c>
      <c r="Z18" s="9">
        <f>MIN(Q18,'Scenario Modelling'!$B$2)</f>
        <v>0.109</v>
      </c>
      <c r="AA18">
        <f t="shared" si="6"/>
        <v>926.7290999999999</v>
      </c>
      <c r="AB18">
        <f>N18*(1+'Scenario Modelling'!$B$3)</f>
        <v>980.1880000000001</v>
      </c>
      <c r="AC18">
        <f>ROUNDUP(S18*(1+'Scenario Modelling'!$B$4),0)</f>
        <v>30</v>
      </c>
      <c r="AD18">
        <f t="shared" si="7"/>
        <v>27801.872999999996</v>
      </c>
      <c r="AE18">
        <f t="shared" si="8"/>
        <v>-1603.767000000006</v>
      </c>
    </row>
    <row r="19" spans="1:31" x14ac:dyDescent="0.3">
      <c r="A19" s="31" t="s">
        <v>32</v>
      </c>
      <c r="B19" s="48">
        <v>45908</v>
      </c>
      <c r="C19" s="47" t="str">
        <f t="shared" si="1"/>
        <v>Q3-2025</v>
      </c>
      <c r="D19" s="32">
        <v>45916</v>
      </c>
      <c r="E19" s="17">
        <f t="shared" si="0"/>
        <v>8</v>
      </c>
      <c r="F19" s="33" t="s">
        <v>647</v>
      </c>
      <c r="G19" s="33" t="s">
        <v>652</v>
      </c>
      <c r="H19" s="33" t="s">
        <v>666</v>
      </c>
      <c r="I19" s="33" t="s">
        <v>701</v>
      </c>
      <c r="J19" s="33" t="s">
        <v>710</v>
      </c>
      <c r="K19" s="33" t="s">
        <v>712</v>
      </c>
      <c r="L19" s="33" t="s">
        <v>730</v>
      </c>
      <c r="M19" s="34" t="s">
        <v>751</v>
      </c>
      <c r="N19" s="35">
        <v>1225.57</v>
      </c>
      <c r="O19" s="35">
        <v>2705.57</v>
      </c>
      <c r="P19" s="30" t="str">
        <f t="shared" si="2"/>
        <v>High</v>
      </c>
      <c r="Q19" s="43">
        <v>0.183</v>
      </c>
      <c r="R19" s="42" t="str">
        <f t="shared" si="3"/>
        <v>Medium</v>
      </c>
      <c r="S19" s="17">
        <v>16</v>
      </c>
      <c r="T19" s="30">
        <v>35367.211040000002</v>
      </c>
      <c r="U19" s="30">
        <v>19609.12</v>
      </c>
      <c r="V19" s="30">
        <v>15758.091040000003</v>
      </c>
      <c r="W19" s="30">
        <v>0.44555650775453404</v>
      </c>
      <c r="X19" t="str">
        <f t="shared" si="4"/>
        <v>Delayed</v>
      </c>
      <c r="Y19" t="str">
        <f t="shared" si="5"/>
        <v>Compliant Discount</v>
      </c>
      <c r="Z19" s="9">
        <f>MIN(Q19,'Scenario Modelling'!$B$2)</f>
        <v>0.183</v>
      </c>
      <c r="AA19">
        <f t="shared" si="6"/>
        <v>2210.4506900000001</v>
      </c>
      <c r="AB19">
        <f>N19*(1+'Scenario Modelling'!$B$3)</f>
        <v>1348.127</v>
      </c>
      <c r="AC19">
        <f>ROUNDUP(S19*(1+'Scenario Modelling'!$B$4),0)</f>
        <v>17</v>
      </c>
      <c r="AD19">
        <f t="shared" si="7"/>
        <v>37577.66173</v>
      </c>
      <c r="AE19">
        <f t="shared" si="8"/>
        <v>14659.502730000004</v>
      </c>
    </row>
    <row r="20" spans="1:31" x14ac:dyDescent="0.3">
      <c r="A20" s="36" t="s">
        <v>33</v>
      </c>
      <c r="B20" s="49">
        <v>45858</v>
      </c>
      <c r="C20" s="47" t="str">
        <f t="shared" si="1"/>
        <v>Q3-2025</v>
      </c>
      <c r="D20" s="37">
        <v>45874</v>
      </c>
      <c r="E20" s="16">
        <f t="shared" si="0"/>
        <v>16</v>
      </c>
      <c r="F20" s="38" t="s">
        <v>648</v>
      </c>
      <c r="G20" s="38" t="s">
        <v>655</v>
      </c>
      <c r="H20" s="38" t="s">
        <v>672</v>
      </c>
      <c r="I20" s="38" t="s">
        <v>706</v>
      </c>
      <c r="J20" s="38" t="s">
        <v>709</v>
      </c>
      <c r="K20" s="38" t="s">
        <v>715</v>
      </c>
      <c r="L20" s="38" t="s">
        <v>733</v>
      </c>
      <c r="M20" s="39" t="s">
        <v>752</v>
      </c>
      <c r="N20" s="40">
        <v>1068.17</v>
      </c>
      <c r="O20" s="40">
        <v>2375.37</v>
      </c>
      <c r="P20" s="30" t="str">
        <f t="shared" si="2"/>
        <v>High</v>
      </c>
      <c r="Q20" s="44">
        <v>0.109</v>
      </c>
      <c r="R20" s="42" t="str">
        <f t="shared" si="3"/>
        <v>Medium</v>
      </c>
      <c r="S20" s="16">
        <v>18</v>
      </c>
      <c r="T20" s="30">
        <v>38096.18406</v>
      </c>
      <c r="U20" s="30">
        <v>19227.060000000001</v>
      </c>
      <c r="V20" s="30">
        <v>18869.124059999998</v>
      </c>
      <c r="W20" s="30">
        <v>0.49530220744108822</v>
      </c>
      <c r="X20" t="str">
        <f t="shared" si="4"/>
        <v>Delayed</v>
      </c>
      <c r="Y20" t="str">
        <f t="shared" si="5"/>
        <v>Compliant Discount</v>
      </c>
      <c r="Z20" s="9">
        <f>MIN(Q20,'Scenario Modelling'!$B$2)</f>
        <v>0.109</v>
      </c>
      <c r="AA20">
        <f t="shared" si="6"/>
        <v>2116.4546700000001</v>
      </c>
      <c r="AB20">
        <f>N20*(1+'Scenario Modelling'!$B$3)</f>
        <v>1174.9870000000001</v>
      </c>
      <c r="AC20">
        <f>ROUNDUP(S20*(1+'Scenario Modelling'!$B$4),0)</f>
        <v>19</v>
      </c>
      <c r="AD20">
        <f t="shared" si="7"/>
        <v>40212.638729999999</v>
      </c>
      <c r="AE20">
        <f t="shared" si="8"/>
        <v>17887.885730000002</v>
      </c>
    </row>
    <row r="21" spans="1:31" x14ac:dyDescent="0.3">
      <c r="A21" s="31" t="s">
        <v>34</v>
      </c>
      <c r="B21" s="48">
        <v>45798</v>
      </c>
      <c r="C21" s="47" t="str">
        <f t="shared" si="1"/>
        <v>Q2-2025</v>
      </c>
      <c r="D21" s="32">
        <v>45805</v>
      </c>
      <c r="E21" s="17">
        <f t="shared" si="0"/>
        <v>7</v>
      </c>
      <c r="F21" s="33" t="s">
        <v>649</v>
      </c>
      <c r="G21" s="33" t="s">
        <v>658</v>
      </c>
      <c r="H21" s="33" t="s">
        <v>674</v>
      </c>
      <c r="I21" s="33" t="s">
        <v>706</v>
      </c>
      <c r="J21" s="33" t="s">
        <v>708</v>
      </c>
      <c r="K21" s="33" t="s">
        <v>724</v>
      </c>
      <c r="L21" s="33" t="s">
        <v>731</v>
      </c>
      <c r="M21" s="34" t="s">
        <v>753</v>
      </c>
      <c r="N21" s="35">
        <v>1015.16</v>
      </c>
      <c r="O21" s="35">
        <v>2148.14</v>
      </c>
      <c r="P21" s="30" t="str">
        <f t="shared" si="2"/>
        <v>High</v>
      </c>
      <c r="Q21" s="43">
        <v>3.7999999999999999E-2</v>
      </c>
      <c r="R21" s="42" t="str">
        <f t="shared" si="3"/>
        <v>Low</v>
      </c>
      <c r="S21" s="17">
        <v>19</v>
      </c>
      <c r="T21" s="30">
        <v>39263.702919999996</v>
      </c>
      <c r="U21" s="30">
        <v>19288.04</v>
      </c>
      <c r="V21" s="30">
        <v>19975.662919999995</v>
      </c>
      <c r="W21" s="30">
        <v>0.50875647059322227</v>
      </c>
      <c r="X21" t="str">
        <f t="shared" si="4"/>
        <v>On-time</v>
      </c>
      <c r="Y21" t="str">
        <f t="shared" si="5"/>
        <v>Compliant Discount</v>
      </c>
      <c r="Z21" s="9">
        <f>MIN(Q21,'Scenario Modelling'!$B$2)</f>
        <v>3.7999999999999999E-2</v>
      </c>
      <c r="AA21">
        <f t="shared" si="6"/>
        <v>2066.5106799999999</v>
      </c>
      <c r="AB21">
        <f>N21*(1+'Scenario Modelling'!$B$3)</f>
        <v>1116.6760000000002</v>
      </c>
      <c r="AC21">
        <f>ROUNDUP(S21*(1+'Scenario Modelling'!$B$4),0)</f>
        <v>20</v>
      </c>
      <c r="AD21">
        <f t="shared" si="7"/>
        <v>41330.213599999995</v>
      </c>
      <c r="AE21">
        <f t="shared" si="8"/>
        <v>18996.693599999995</v>
      </c>
    </row>
    <row r="22" spans="1:31" x14ac:dyDescent="0.3">
      <c r="A22" s="36" t="s">
        <v>35</v>
      </c>
      <c r="B22" s="49">
        <v>45498</v>
      </c>
      <c r="C22" s="47" t="str">
        <f t="shared" si="1"/>
        <v>Q3-2024</v>
      </c>
      <c r="D22" s="37">
        <v>45505</v>
      </c>
      <c r="E22" s="16">
        <f t="shared" si="0"/>
        <v>7</v>
      </c>
      <c r="F22" s="38" t="s">
        <v>646</v>
      </c>
      <c r="G22" s="38" t="s">
        <v>650</v>
      </c>
      <c r="H22" s="38" t="s">
        <v>675</v>
      </c>
      <c r="I22" s="38" t="s">
        <v>703</v>
      </c>
      <c r="J22" s="38" t="s">
        <v>711</v>
      </c>
      <c r="K22" s="38" t="s">
        <v>713</v>
      </c>
      <c r="L22" s="38" t="s">
        <v>731</v>
      </c>
      <c r="M22" s="39" t="s">
        <v>754</v>
      </c>
      <c r="N22" s="40">
        <v>1494.4</v>
      </c>
      <c r="O22" s="40">
        <v>3661.07</v>
      </c>
      <c r="P22" s="30" t="str">
        <f t="shared" si="2"/>
        <v>High</v>
      </c>
      <c r="Q22" s="44">
        <v>7.1999999999999995E-2</v>
      </c>
      <c r="R22" s="42" t="str">
        <f t="shared" si="3"/>
        <v>Low</v>
      </c>
      <c r="S22" s="16">
        <v>7</v>
      </c>
      <c r="T22" s="30">
        <v>23782.310720000001</v>
      </c>
      <c r="U22" s="30">
        <v>10460.800000000001</v>
      </c>
      <c r="V22" s="30">
        <v>13321.51072</v>
      </c>
      <c r="W22" s="30">
        <v>0.56014366630897339</v>
      </c>
      <c r="X22" t="str">
        <f t="shared" si="4"/>
        <v>On-time</v>
      </c>
      <c r="Y22" t="str">
        <f t="shared" si="5"/>
        <v>Compliant Discount</v>
      </c>
      <c r="Z22" s="9">
        <f>MIN(Q22,'Scenario Modelling'!$B$2)</f>
        <v>7.1999999999999995E-2</v>
      </c>
      <c r="AA22">
        <f t="shared" si="6"/>
        <v>3397.4729600000005</v>
      </c>
      <c r="AB22">
        <f>N22*(1+'Scenario Modelling'!$B$3)</f>
        <v>1643.8400000000001</v>
      </c>
      <c r="AC22">
        <f>ROUNDUP(S22*(1+'Scenario Modelling'!$B$4),0)</f>
        <v>8</v>
      </c>
      <c r="AD22">
        <f t="shared" si="7"/>
        <v>27179.783680000004</v>
      </c>
      <c r="AE22">
        <f t="shared" si="8"/>
        <v>14029.063680000003</v>
      </c>
    </row>
    <row r="23" spans="1:31" x14ac:dyDescent="0.3">
      <c r="A23" s="31" t="s">
        <v>36</v>
      </c>
      <c r="B23" s="48">
        <v>45057</v>
      </c>
      <c r="C23" s="47" t="str">
        <f t="shared" si="1"/>
        <v>Q2-2023</v>
      </c>
      <c r="D23" s="32">
        <v>45074</v>
      </c>
      <c r="E23" s="17">
        <f t="shared" si="0"/>
        <v>17</v>
      </c>
      <c r="F23" s="33" t="s">
        <v>647</v>
      </c>
      <c r="G23" s="33" t="s">
        <v>659</v>
      </c>
      <c r="H23" s="33" t="s">
        <v>676</v>
      </c>
      <c r="I23" s="33" t="s">
        <v>706</v>
      </c>
      <c r="J23" s="33" t="s">
        <v>709</v>
      </c>
      <c r="K23" s="33" t="s">
        <v>718</v>
      </c>
      <c r="L23" s="33" t="s">
        <v>729</v>
      </c>
      <c r="M23" s="34" t="s">
        <v>755</v>
      </c>
      <c r="N23" s="35">
        <v>1331.19</v>
      </c>
      <c r="O23" s="35">
        <v>2903.09</v>
      </c>
      <c r="P23" s="30" t="str">
        <f t="shared" si="2"/>
        <v>High</v>
      </c>
      <c r="Q23" s="43">
        <v>0.14299999999999999</v>
      </c>
      <c r="R23" s="42" t="str">
        <f t="shared" si="3"/>
        <v>Medium</v>
      </c>
      <c r="S23" s="17">
        <v>8</v>
      </c>
      <c r="T23" s="30">
        <v>19903.585040000002</v>
      </c>
      <c r="U23" s="30">
        <v>10649.52</v>
      </c>
      <c r="V23" s="30">
        <v>9254.0650400000013</v>
      </c>
      <c r="W23" s="30">
        <v>0.46494463290920784</v>
      </c>
      <c r="X23" t="str">
        <f t="shared" si="4"/>
        <v>Delayed</v>
      </c>
      <c r="Y23" t="str">
        <f t="shared" si="5"/>
        <v>Compliant Discount</v>
      </c>
      <c r="Z23" s="9">
        <f>MIN(Q23,'Scenario Modelling'!$B$2)</f>
        <v>0.14299999999999999</v>
      </c>
      <c r="AA23">
        <f t="shared" si="6"/>
        <v>2487.9481300000002</v>
      </c>
      <c r="AB23">
        <f>N23*(1+'Scenario Modelling'!$B$3)</f>
        <v>1464.3090000000002</v>
      </c>
      <c r="AC23">
        <f>ROUNDUP(S23*(1+'Scenario Modelling'!$B$4),0)</f>
        <v>9</v>
      </c>
      <c r="AD23">
        <f t="shared" si="7"/>
        <v>22391.533170000002</v>
      </c>
      <c r="AE23">
        <f t="shared" si="8"/>
        <v>9212.7521699999998</v>
      </c>
    </row>
    <row r="24" spans="1:31" x14ac:dyDescent="0.3">
      <c r="A24" s="36" t="s">
        <v>37</v>
      </c>
      <c r="B24" s="49">
        <v>45822</v>
      </c>
      <c r="C24" s="47" t="str">
        <f t="shared" si="1"/>
        <v>Q2-2025</v>
      </c>
      <c r="D24" s="37">
        <v>45837</v>
      </c>
      <c r="E24" s="16">
        <f t="shared" si="0"/>
        <v>15</v>
      </c>
      <c r="F24" s="38" t="s">
        <v>646</v>
      </c>
      <c r="G24" s="38" t="s">
        <v>651</v>
      </c>
      <c r="H24" s="38" t="s">
        <v>663</v>
      </c>
      <c r="I24" s="38" t="s">
        <v>704</v>
      </c>
      <c r="J24" s="38" t="s">
        <v>709</v>
      </c>
      <c r="K24" s="38" t="s">
        <v>724</v>
      </c>
      <c r="L24" s="38" t="s">
        <v>733</v>
      </c>
      <c r="M24" s="39" t="s">
        <v>756</v>
      </c>
      <c r="N24" s="40">
        <v>730.99</v>
      </c>
      <c r="O24" s="40">
        <v>1242.8399999999999</v>
      </c>
      <c r="P24" s="30" t="str">
        <f t="shared" si="2"/>
        <v>Medium</v>
      </c>
      <c r="Q24" s="44">
        <v>0.12</v>
      </c>
      <c r="R24" s="42" t="str">
        <f t="shared" si="3"/>
        <v>Medium</v>
      </c>
      <c r="S24" s="16">
        <v>10</v>
      </c>
      <c r="T24" s="30">
        <v>10936.992</v>
      </c>
      <c r="U24" s="30">
        <v>7309.9</v>
      </c>
      <c r="V24" s="30">
        <v>3627.0920000000006</v>
      </c>
      <c r="W24" s="30">
        <v>0.33163524303574515</v>
      </c>
      <c r="X24" t="str">
        <f t="shared" si="4"/>
        <v>Delayed</v>
      </c>
      <c r="Y24" t="str">
        <f t="shared" si="5"/>
        <v>Compliant Discount</v>
      </c>
      <c r="Z24" s="9">
        <f>MIN(Q24,'Scenario Modelling'!$B$2)</f>
        <v>0.12</v>
      </c>
      <c r="AA24">
        <f t="shared" si="6"/>
        <v>1093.6992</v>
      </c>
      <c r="AB24">
        <f>N24*(1+'Scenario Modelling'!$B$3)</f>
        <v>804.08900000000006</v>
      </c>
      <c r="AC24">
        <f>ROUNDUP(S24*(1+'Scenario Modelling'!$B$4),0)</f>
        <v>11</v>
      </c>
      <c r="AD24">
        <f t="shared" si="7"/>
        <v>12030.691200000001</v>
      </c>
      <c r="AE24">
        <f t="shared" si="8"/>
        <v>3185.7121999999995</v>
      </c>
    </row>
    <row r="25" spans="1:31" x14ac:dyDescent="0.3">
      <c r="A25" s="31" t="s">
        <v>38</v>
      </c>
      <c r="B25" s="48">
        <v>45430</v>
      </c>
      <c r="C25" s="47" t="str">
        <f t="shared" si="1"/>
        <v>Q2-2024</v>
      </c>
      <c r="D25" s="32">
        <v>45435</v>
      </c>
      <c r="E25" s="17">
        <f t="shared" si="0"/>
        <v>5</v>
      </c>
      <c r="F25" s="33" t="s">
        <v>648</v>
      </c>
      <c r="G25" s="33" t="s">
        <v>660</v>
      </c>
      <c r="H25" s="33" t="s">
        <v>677</v>
      </c>
      <c r="I25" s="33" t="s">
        <v>706</v>
      </c>
      <c r="J25" s="33" t="s">
        <v>707</v>
      </c>
      <c r="K25" s="33" t="s">
        <v>722</v>
      </c>
      <c r="L25" s="33" t="s">
        <v>731</v>
      </c>
      <c r="M25" s="34" t="s">
        <v>757</v>
      </c>
      <c r="N25" s="35">
        <v>1274.5899999999999</v>
      </c>
      <c r="O25" s="35">
        <v>2553.69</v>
      </c>
      <c r="P25" s="30" t="str">
        <f t="shared" si="2"/>
        <v>High</v>
      </c>
      <c r="Q25" s="43">
        <v>0.01</v>
      </c>
      <c r="R25" s="42" t="str">
        <f t="shared" si="3"/>
        <v>Low</v>
      </c>
      <c r="S25" s="17">
        <v>8</v>
      </c>
      <c r="T25" s="30">
        <v>20225.2248</v>
      </c>
      <c r="U25" s="30">
        <v>10196.719999999999</v>
      </c>
      <c r="V25" s="30">
        <v>10028.504800000001</v>
      </c>
      <c r="W25" s="30">
        <v>0.49584145042481803</v>
      </c>
      <c r="X25" t="str">
        <f t="shared" si="4"/>
        <v>On-time</v>
      </c>
      <c r="Y25" t="str">
        <f t="shared" si="5"/>
        <v>Compliant Discount</v>
      </c>
      <c r="Z25" s="9">
        <f>MIN(Q25,'Scenario Modelling'!$B$2)</f>
        <v>0.01</v>
      </c>
      <c r="AA25">
        <f t="shared" si="6"/>
        <v>2528.1531</v>
      </c>
      <c r="AB25">
        <f>N25*(1+'Scenario Modelling'!$B$3)</f>
        <v>1402.049</v>
      </c>
      <c r="AC25">
        <f>ROUNDUP(S25*(1+'Scenario Modelling'!$B$4),0)</f>
        <v>9</v>
      </c>
      <c r="AD25">
        <f t="shared" si="7"/>
        <v>22753.377899999999</v>
      </c>
      <c r="AE25">
        <f t="shared" si="8"/>
        <v>10134.936900000001</v>
      </c>
    </row>
    <row r="26" spans="1:31" x14ac:dyDescent="0.3">
      <c r="A26" s="36" t="s">
        <v>39</v>
      </c>
      <c r="B26" s="49">
        <v>44964</v>
      </c>
      <c r="C26" s="47" t="str">
        <f t="shared" si="1"/>
        <v>Q1-2023</v>
      </c>
      <c r="D26" s="37">
        <v>44969</v>
      </c>
      <c r="E26" s="16">
        <f t="shared" si="0"/>
        <v>5</v>
      </c>
      <c r="F26" s="38" t="s">
        <v>648</v>
      </c>
      <c r="G26" s="38" t="s">
        <v>655</v>
      </c>
      <c r="H26" s="38" t="s">
        <v>670</v>
      </c>
      <c r="I26" s="38" t="s">
        <v>702</v>
      </c>
      <c r="J26" s="38" t="s">
        <v>708</v>
      </c>
      <c r="K26" s="38" t="s">
        <v>725</v>
      </c>
      <c r="L26" s="38" t="s">
        <v>727</v>
      </c>
      <c r="M26" s="39" t="s">
        <v>758</v>
      </c>
      <c r="N26" s="40">
        <v>948.55</v>
      </c>
      <c r="O26" s="40">
        <v>2089.16</v>
      </c>
      <c r="P26" s="30" t="str">
        <f t="shared" si="2"/>
        <v>High</v>
      </c>
      <c r="Q26" s="44">
        <v>7.0000000000000001E-3</v>
      </c>
      <c r="R26" s="42" t="str">
        <f t="shared" si="3"/>
        <v>Low</v>
      </c>
      <c r="S26" s="16">
        <v>12</v>
      </c>
      <c r="T26" s="30">
        <v>24894.430559999997</v>
      </c>
      <c r="U26" s="30">
        <v>11382.599999999999</v>
      </c>
      <c r="V26" s="30">
        <v>13511.830559999999</v>
      </c>
      <c r="W26" s="30">
        <v>0.54276519912492427</v>
      </c>
      <c r="X26" t="str">
        <f t="shared" si="4"/>
        <v>On-time</v>
      </c>
      <c r="Y26" t="str">
        <f t="shared" si="5"/>
        <v>Compliant Discount</v>
      </c>
      <c r="Z26" s="9">
        <f>MIN(Q26,'Scenario Modelling'!$B$2)</f>
        <v>7.0000000000000001E-3</v>
      </c>
      <c r="AA26">
        <f t="shared" si="6"/>
        <v>2074.5358799999999</v>
      </c>
      <c r="AB26">
        <f>N26*(1+'Scenario Modelling'!$B$3)</f>
        <v>1043.405</v>
      </c>
      <c r="AC26">
        <f>ROUNDUP(S26*(1+'Scenario Modelling'!$B$4),0)</f>
        <v>13</v>
      </c>
      <c r="AD26">
        <f t="shared" si="7"/>
        <v>26968.96644</v>
      </c>
      <c r="AE26">
        <f t="shared" si="8"/>
        <v>13404.701439999999</v>
      </c>
    </row>
    <row r="27" spans="1:31" x14ac:dyDescent="0.3">
      <c r="A27" s="31" t="s">
        <v>40</v>
      </c>
      <c r="B27" s="48">
        <v>45473</v>
      </c>
      <c r="C27" s="47" t="str">
        <f t="shared" si="1"/>
        <v>Q2-2024</v>
      </c>
      <c r="D27" s="32">
        <v>45487</v>
      </c>
      <c r="E27" s="17">
        <f t="shared" si="0"/>
        <v>14</v>
      </c>
      <c r="F27" s="33" t="s">
        <v>648</v>
      </c>
      <c r="G27" s="33" t="s">
        <v>655</v>
      </c>
      <c r="H27" s="33" t="s">
        <v>672</v>
      </c>
      <c r="I27" s="33" t="s">
        <v>702</v>
      </c>
      <c r="J27" s="33" t="s">
        <v>707</v>
      </c>
      <c r="K27" s="33" t="s">
        <v>712</v>
      </c>
      <c r="L27" s="33" t="s">
        <v>733</v>
      </c>
      <c r="M27" s="34" t="s">
        <v>759</v>
      </c>
      <c r="N27" s="35">
        <v>1491.85</v>
      </c>
      <c r="O27" s="35">
        <v>2583.02</v>
      </c>
      <c r="P27" s="30" t="str">
        <f t="shared" si="2"/>
        <v>High</v>
      </c>
      <c r="Q27" s="43">
        <v>0.16800000000000001</v>
      </c>
      <c r="R27" s="42" t="str">
        <f t="shared" si="3"/>
        <v>Medium</v>
      </c>
      <c r="S27" s="17">
        <v>4</v>
      </c>
      <c r="T27" s="30">
        <v>8596.2905599999995</v>
      </c>
      <c r="U27" s="30">
        <v>5967.4</v>
      </c>
      <c r="V27" s="30">
        <v>2628.8905599999998</v>
      </c>
      <c r="W27" s="30">
        <v>0.30581685689321325</v>
      </c>
      <c r="X27" t="str">
        <f t="shared" si="4"/>
        <v>Delayed</v>
      </c>
      <c r="Y27" t="str">
        <f t="shared" si="5"/>
        <v>Compliant Discount</v>
      </c>
      <c r="Z27" s="9">
        <f>MIN(Q27,'Scenario Modelling'!$B$2)</f>
        <v>0.16800000000000001</v>
      </c>
      <c r="AA27">
        <f t="shared" si="6"/>
        <v>2149.0726399999999</v>
      </c>
      <c r="AB27">
        <f>N27*(1+'Scenario Modelling'!$B$3)</f>
        <v>1641.0350000000001</v>
      </c>
      <c r="AC27">
        <f>ROUNDUP(S27*(1+'Scenario Modelling'!$B$4),0)</f>
        <v>5</v>
      </c>
      <c r="AD27">
        <f t="shared" si="7"/>
        <v>10745.3632</v>
      </c>
      <c r="AE27">
        <f t="shared" si="8"/>
        <v>2540.1881999999987</v>
      </c>
    </row>
    <row r="28" spans="1:31" x14ac:dyDescent="0.3">
      <c r="A28" s="36" t="s">
        <v>41</v>
      </c>
      <c r="B28" s="49">
        <v>45626</v>
      </c>
      <c r="C28" s="47" t="str">
        <f t="shared" si="1"/>
        <v>Q4-2024</v>
      </c>
      <c r="D28" s="37">
        <v>45656</v>
      </c>
      <c r="E28" s="16">
        <f t="shared" si="0"/>
        <v>30</v>
      </c>
      <c r="F28" s="38" t="s">
        <v>649</v>
      </c>
      <c r="G28" s="38" t="s">
        <v>657</v>
      </c>
      <c r="H28" s="38" t="s">
        <v>673</v>
      </c>
      <c r="I28" s="38" t="s">
        <v>704</v>
      </c>
      <c r="J28" s="38" t="s">
        <v>709</v>
      </c>
      <c r="K28" s="38" t="s">
        <v>721</v>
      </c>
      <c r="L28" s="38" t="s">
        <v>728</v>
      </c>
      <c r="M28" s="39" t="s">
        <v>760</v>
      </c>
      <c r="N28" s="40">
        <v>117.64</v>
      </c>
      <c r="O28" s="40">
        <v>175.67</v>
      </c>
      <c r="P28" s="30" t="str">
        <f t="shared" si="2"/>
        <v>Low</v>
      </c>
      <c r="Q28" s="44">
        <v>0</v>
      </c>
      <c r="R28" s="42" t="str">
        <f t="shared" si="3"/>
        <v>Low</v>
      </c>
      <c r="S28" s="16">
        <v>10</v>
      </c>
      <c r="T28" s="30">
        <v>1756.6999999999998</v>
      </c>
      <c r="U28" s="30">
        <v>1176.4000000000001</v>
      </c>
      <c r="V28" s="30">
        <v>580.29999999999973</v>
      </c>
      <c r="W28" s="30">
        <v>0.33033528775545046</v>
      </c>
      <c r="X28" t="str">
        <f t="shared" si="4"/>
        <v>Delayed</v>
      </c>
      <c r="Y28" t="str">
        <f t="shared" si="5"/>
        <v>Compliant Discount</v>
      </c>
      <c r="Z28" s="9">
        <f>MIN(Q28,'Scenario Modelling'!$B$2)</f>
        <v>0</v>
      </c>
      <c r="AA28">
        <f t="shared" si="6"/>
        <v>175.67</v>
      </c>
      <c r="AB28">
        <f>N28*(1+'Scenario Modelling'!$B$3)</f>
        <v>129.40400000000002</v>
      </c>
      <c r="AC28">
        <f>ROUNDUP(S28*(1+'Scenario Modelling'!$B$4),0)</f>
        <v>11</v>
      </c>
      <c r="AD28">
        <f t="shared" si="7"/>
        <v>1932.37</v>
      </c>
      <c r="AE28">
        <f t="shared" si="8"/>
        <v>508.92599999999959</v>
      </c>
    </row>
    <row r="29" spans="1:31" x14ac:dyDescent="0.3">
      <c r="A29" s="31" t="s">
        <v>42</v>
      </c>
      <c r="B29" s="48">
        <v>45492</v>
      </c>
      <c r="C29" s="47" t="str">
        <f t="shared" si="1"/>
        <v>Q3-2024</v>
      </c>
      <c r="D29" s="32">
        <v>45492</v>
      </c>
      <c r="E29" s="17">
        <f t="shared" si="0"/>
        <v>0</v>
      </c>
      <c r="F29" s="33" t="s">
        <v>646</v>
      </c>
      <c r="G29" s="33" t="s">
        <v>650</v>
      </c>
      <c r="H29" s="33" t="s">
        <v>662</v>
      </c>
      <c r="I29" s="33" t="s">
        <v>705</v>
      </c>
      <c r="J29" s="33" t="s">
        <v>707</v>
      </c>
      <c r="K29" s="33" t="s">
        <v>720</v>
      </c>
      <c r="L29" s="33" t="s">
        <v>730</v>
      </c>
      <c r="M29" s="34" t="s">
        <v>761</v>
      </c>
      <c r="N29" s="35">
        <v>857.24</v>
      </c>
      <c r="O29" s="35">
        <v>758.23</v>
      </c>
      <c r="P29" s="30" t="str">
        <f t="shared" si="2"/>
        <v>Low</v>
      </c>
      <c r="Q29" s="43">
        <v>0.125</v>
      </c>
      <c r="R29" s="42" t="str">
        <f t="shared" si="3"/>
        <v>Medium</v>
      </c>
      <c r="S29" s="17">
        <v>6</v>
      </c>
      <c r="T29" s="30">
        <v>3980.7075</v>
      </c>
      <c r="U29" s="30">
        <v>5143.4400000000005</v>
      </c>
      <c r="V29" s="30">
        <v>-1162.7325000000005</v>
      </c>
      <c r="W29" s="30">
        <v>-0.29209192084572921</v>
      </c>
      <c r="X29" t="str">
        <f t="shared" si="4"/>
        <v>On-time</v>
      </c>
      <c r="Y29" t="str">
        <f t="shared" si="5"/>
        <v>Compliant Discount</v>
      </c>
      <c r="Z29" s="9">
        <f>MIN(Q29,'Scenario Modelling'!$B$2)</f>
        <v>0.125</v>
      </c>
      <c r="AA29">
        <f t="shared" si="6"/>
        <v>663.45125000000007</v>
      </c>
      <c r="AB29">
        <f>N29*(1+'Scenario Modelling'!$B$3)</f>
        <v>942.96400000000006</v>
      </c>
      <c r="AC29">
        <f>ROUNDUP(S29*(1+'Scenario Modelling'!$B$4),0)</f>
        <v>7</v>
      </c>
      <c r="AD29">
        <f t="shared" si="7"/>
        <v>4644.1587500000005</v>
      </c>
      <c r="AE29">
        <f t="shared" si="8"/>
        <v>-1956.58925</v>
      </c>
    </row>
    <row r="30" spans="1:31" x14ac:dyDescent="0.3">
      <c r="A30" s="36" t="s">
        <v>43</v>
      </c>
      <c r="B30" s="49">
        <v>45030</v>
      </c>
      <c r="C30" s="47" t="str">
        <f t="shared" si="1"/>
        <v>Q2-2023</v>
      </c>
      <c r="D30" s="37">
        <v>45060</v>
      </c>
      <c r="E30" s="16">
        <f t="shared" si="0"/>
        <v>30</v>
      </c>
      <c r="F30" s="38" t="s">
        <v>646</v>
      </c>
      <c r="G30" s="38" t="s">
        <v>650</v>
      </c>
      <c r="H30" s="38" t="s">
        <v>678</v>
      </c>
      <c r="I30" s="38" t="s">
        <v>704</v>
      </c>
      <c r="J30" s="38" t="s">
        <v>709</v>
      </c>
      <c r="K30" s="38" t="s">
        <v>724</v>
      </c>
      <c r="L30" s="38" t="s">
        <v>730</v>
      </c>
      <c r="M30" s="39" t="s">
        <v>762</v>
      </c>
      <c r="N30" s="40">
        <v>209.25</v>
      </c>
      <c r="O30" s="40">
        <v>434.8</v>
      </c>
      <c r="P30" s="30" t="str">
        <f t="shared" si="2"/>
        <v>Low</v>
      </c>
      <c r="Q30" s="44">
        <v>0</v>
      </c>
      <c r="R30" s="42" t="str">
        <f t="shared" si="3"/>
        <v>Low</v>
      </c>
      <c r="S30" s="16">
        <v>9</v>
      </c>
      <c r="T30" s="30">
        <v>3913.2000000000003</v>
      </c>
      <c r="U30" s="30">
        <v>1883.25</v>
      </c>
      <c r="V30" s="30">
        <v>2029.9500000000003</v>
      </c>
      <c r="W30" s="30">
        <v>0.51874425022999082</v>
      </c>
      <c r="X30" t="str">
        <f t="shared" si="4"/>
        <v>Delayed</v>
      </c>
      <c r="Y30" t="str">
        <f t="shared" si="5"/>
        <v>Compliant Discount</v>
      </c>
      <c r="Z30" s="9">
        <f>MIN(Q30,'Scenario Modelling'!$B$2)</f>
        <v>0</v>
      </c>
      <c r="AA30">
        <f t="shared" si="6"/>
        <v>434.8</v>
      </c>
      <c r="AB30">
        <f>N30*(1+'Scenario Modelling'!$B$3)</f>
        <v>230.17500000000001</v>
      </c>
      <c r="AC30">
        <f>ROUNDUP(S30*(1+'Scenario Modelling'!$B$4),0)</f>
        <v>10</v>
      </c>
      <c r="AD30">
        <f t="shared" si="7"/>
        <v>4348</v>
      </c>
      <c r="AE30">
        <f t="shared" si="8"/>
        <v>2046.25</v>
      </c>
    </row>
    <row r="31" spans="1:31" x14ac:dyDescent="0.3">
      <c r="A31" s="31" t="s">
        <v>44</v>
      </c>
      <c r="B31" s="48">
        <v>45754</v>
      </c>
      <c r="C31" s="47" t="str">
        <f t="shared" si="1"/>
        <v>Q2-2025</v>
      </c>
      <c r="D31" s="32">
        <v>45758</v>
      </c>
      <c r="E31" s="17">
        <f t="shared" si="0"/>
        <v>4</v>
      </c>
      <c r="F31" s="33" t="s">
        <v>649</v>
      </c>
      <c r="G31" s="33" t="s">
        <v>657</v>
      </c>
      <c r="H31" s="33" t="s">
        <v>679</v>
      </c>
      <c r="I31" s="33" t="s">
        <v>702</v>
      </c>
      <c r="J31" s="33" t="s">
        <v>707</v>
      </c>
      <c r="K31" s="33" t="s">
        <v>718</v>
      </c>
      <c r="L31" s="33" t="s">
        <v>729</v>
      </c>
      <c r="M31" s="34" t="s">
        <v>763</v>
      </c>
      <c r="N31" s="35">
        <v>754.77</v>
      </c>
      <c r="O31" s="35">
        <v>1666.18</v>
      </c>
      <c r="P31" s="30" t="str">
        <f t="shared" si="2"/>
        <v>High</v>
      </c>
      <c r="Q31" s="43">
        <v>0.13900000000000001</v>
      </c>
      <c r="R31" s="42" t="str">
        <f t="shared" si="3"/>
        <v>Medium</v>
      </c>
      <c r="S31" s="17">
        <v>14</v>
      </c>
      <c r="T31" s="30">
        <v>20084.133720000002</v>
      </c>
      <c r="U31" s="30">
        <v>10566.779999999999</v>
      </c>
      <c r="V31" s="30">
        <v>9517.3537200000028</v>
      </c>
      <c r="W31" s="30">
        <v>0.47387424584424653</v>
      </c>
      <c r="X31" t="str">
        <f t="shared" si="4"/>
        <v>On-time</v>
      </c>
      <c r="Y31" t="str">
        <f t="shared" si="5"/>
        <v>Compliant Discount</v>
      </c>
      <c r="Z31" s="9">
        <f>MIN(Q31,'Scenario Modelling'!$B$2)</f>
        <v>0.13900000000000001</v>
      </c>
      <c r="AA31">
        <f t="shared" si="6"/>
        <v>1434.58098</v>
      </c>
      <c r="AB31">
        <f>N31*(1+'Scenario Modelling'!$B$3)</f>
        <v>830.24700000000007</v>
      </c>
      <c r="AC31">
        <f>ROUNDUP(S31*(1+'Scenario Modelling'!$B$4),0)</f>
        <v>15</v>
      </c>
      <c r="AD31">
        <f t="shared" si="7"/>
        <v>21518.7147</v>
      </c>
      <c r="AE31">
        <f t="shared" si="8"/>
        <v>9065.0096999999987</v>
      </c>
    </row>
    <row r="32" spans="1:31" x14ac:dyDescent="0.3">
      <c r="A32" s="36" t="s">
        <v>45</v>
      </c>
      <c r="B32" s="49">
        <v>45653</v>
      </c>
      <c r="C32" s="47" t="str">
        <f t="shared" si="1"/>
        <v>Q4-2024</v>
      </c>
      <c r="D32" s="37">
        <v>45672</v>
      </c>
      <c r="E32" s="16">
        <f t="shared" si="0"/>
        <v>19</v>
      </c>
      <c r="F32" s="38" t="s">
        <v>647</v>
      </c>
      <c r="G32" s="38" t="s">
        <v>654</v>
      </c>
      <c r="H32" s="38" t="s">
        <v>680</v>
      </c>
      <c r="I32" s="38" t="s">
        <v>703</v>
      </c>
      <c r="J32" s="38" t="s">
        <v>710</v>
      </c>
      <c r="K32" s="38" t="s">
        <v>715</v>
      </c>
      <c r="L32" s="38" t="s">
        <v>727</v>
      </c>
      <c r="M32" s="39" t="s">
        <v>764</v>
      </c>
      <c r="N32" s="40">
        <v>495.59</v>
      </c>
      <c r="O32" s="40">
        <v>631.78</v>
      </c>
      <c r="P32" s="30" t="str">
        <f t="shared" si="2"/>
        <v>Low</v>
      </c>
      <c r="Q32" s="44">
        <v>8.6999999999999994E-2</v>
      </c>
      <c r="R32" s="42" t="str">
        <f t="shared" si="3"/>
        <v>Low</v>
      </c>
      <c r="S32" s="16">
        <v>17</v>
      </c>
      <c r="T32" s="30">
        <v>9805.8573800000013</v>
      </c>
      <c r="U32" s="30">
        <v>8425.0299999999988</v>
      </c>
      <c r="V32" s="30">
        <v>1380.8273800000024</v>
      </c>
      <c r="W32" s="30">
        <v>0.14081658813601899</v>
      </c>
      <c r="X32" t="str">
        <f t="shared" si="4"/>
        <v>Delayed</v>
      </c>
      <c r="Y32" t="str">
        <f t="shared" si="5"/>
        <v>Compliant Discount</v>
      </c>
      <c r="Z32" s="9">
        <f>MIN(Q32,'Scenario Modelling'!$B$2)</f>
        <v>8.6999999999999994E-2</v>
      </c>
      <c r="AA32">
        <f t="shared" si="6"/>
        <v>576.81514000000004</v>
      </c>
      <c r="AB32">
        <f>N32*(1+'Scenario Modelling'!$B$3)</f>
        <v>545.149</v>
      </c>
      <c r="AC32">
        <f>ROUNDUP(S32*(1+'Scenario Modelling'!$B$4),0)</f>
        <v>18</v>
      </c>
      <c r="AD32">
        <f t="shared" si="7"/>
        <v>10382.67252</v>
      </c>
      <c r="AE32">
        <f t="shared" si="8"/>
        <v>569.99052000000074</v>
      </c>
    </row>
    <row r="33" spans="1:31" x14ac:dyDescent="0.3">
      <c r="A33" s="31" t="s">
        <v>46</v>
      </c>
      <c r="B33" s="48">
        <v>44980</v>
      </c>
      <c r="C33" s="47" t="str">
        <f t="shared" si="1"/>
        <v>Q1-2023</v>
      </c>
      <c r="D33" s="32">
        <v>45010</v>
      </c>
      <c r="E33" s="17">
        <f t="shared" si="0"/>
        <v>30</v>
      </c>
      <c r="F33" s="33" t="s">
        <v>648</v>
      </c>
      <c r="G33" s="33" t="s">
        <v>653</v>
      </c>
      <c r="H33" s="33" t="s">
        <v>681</v>
      </c>
      <c r="I33" s="33" t="s">
        <v>706</v>
      </c>
      <c r="J33" s="33" t="s">
        <v>708</v>
      </c>
      <c r="K33" s="33" t="s">
        <v>726</v>
      </c>
      <c r="L33" s="33" t="s">
        <v>730</v>
      </c>
      <c r="M33" s="34" t="s">
        <v>765</v>
      </c>
      <c r="N33" s="35">
        <v>1242.6600000000001</v>
      </c>
      <c r="O33" s="35">
        <v>1794.07</v>
      </c>
      <c r="P33" s="30" t="str">
        <f t="shared" si="2"/>
        <v>High</v>
      </c>
      <c r="Q33" s="43">
        <v>8.8999999999999996E-2</v>
      </c>
      <c r="R33" s="42" t="str">
        <f t="shared" si="3"/>
        <v>Low</v>
      </c>
      <c r="S33" s="17">
        <v>16</v>
      </c>
      <c r="T33" s="30">
        <v>26150.364320000001</v>
      </c>
      <c r="U33" s="30">
        <v>19882.560000000001</v>
      </c>
      <c r="V33" s="30">
        <v>6267.8043199999993</v>
      </c>
      <c r="W33" s="30">
        <v>0.23968325042440553</v>
      </c>
      <c r="X33" t="str">
        <f t="shared" si="4"/>
        <v>Delayed</v>
      </c>
      <c r="Y33" t="str">
        <f t="shared" si="5"/>
        <v>Compliant Discount</v>
      </c>
      <c r="Z33" s="9">
        <f>MIN(Q33,'Scenario Modelling'!$B$2)</f>
        <v>8.8999999999999996E-2</v>
      </c>
      <c r="AA33">
        <f t="shared" si="6"/>
        <v>1634.39777</v>
      </c>
      <c r="AB33">
        <f>N33*(1+'Scenario Modelling'!$B$3)</f>
        <v>1366.9260000000002</v>
      </c>
      <c r="AC33">
        <f>ROUNDUP(S33*(1+'Scenario Modelling'!$B$4),0)</f>
        <v>17</v>
      </c>
      <c r="AD33">
        <f t="shared" si="7"/>
        <v>27784.76209</v>
      </c>
      <c r="AE33">
        <f t="shared" si="8"/>
        <v>4547.0200899999982</v>
      </c>
    </row>
    <row r="34" spans="1:31" x14ac:dyDescent="0.3">
      <c r="A34" s="36" t="s">
        <v>47</v>
      </c>
      <c r="B34" s="49">
        <v>45862</v>
      </c>
      <c r="C34" s="47" t="str">
        <f t="shared" si="1"/>
        <v>Q3-2025</v>
      </c>
      <c r="D34" s="37">
        <v>45875</v>
      </c>
      <c r="E34" s="16">
        <f t="shared" si="0"/>
        <v>13</v>
      </c>
      <c r="F34" s="38" t="s">
        <v>646</v>
      </c>
      <c r="G34" s="38" t="s">
        <v>661</v>
      </c>
      <c r="H34" s="38" t="s">
        <v>682</v>
      </c>
      <c r="I34" s="38" t="s">
        <v>702</v>
      </c>
      <c r="J34" s="38" t="s">
        <v>709</v>
      </c>
      <c r="K34" s="38" t="s">
        <v>726</v>
      </c>
      <c r="L34" s="38" t="s">
        <v>729</v>
      </c>
      <c r="M34" s="39" t="s">
        <v>766</v>
      </c>
      <c r="N34" s="40">
        <v>1463.9</v>
      </c>
      <c r="O34" s="40">
        <v>2633.02</v>
      </c>
      <c r="P34" s="30" t="str">
        <f t="shared" si="2"/>
        <v>High</v>
      </c>
      <c r="Q34" s="44">
        <v>8.4000000000000005E-2</v>
      </c>
      <c r="R34" s="42" t="str">
        <f t="shared" si="3"/>
        <v>Low</v>
      </c>
      <c r="S34" s="16">
        <v>4</v>
      </c>
      <c r="T34" s="30">
        <v>9647.3852800000004</v>
      </c>
      <c r="U34" s="30">
        <v>5855.6</v>
      </c>
      <c r="V34" s="30">
        <v>3791.7852800000001</v>
      </c>
      <c r="W34" s="30">
        <v>0.39303761277791527</v>
      </c>
      <c r="X34" t="str">
        <f t="shared" si="4"/>
        <v>Delayed</v>
      </c>
      <c r="Y34" t="str">
        <f t="shared" si="5"/>
        <v>Compliant Discount</v>
      </c>
      <c r="Z34" s="9">
        <f>MIN(Q34,'Scenario Modelling'!$B$2)</f>
        <v>8.4000000000000005E-2</v>
      </c>
      <c r="AA34">
        <f t="shared" si="6"/>
        <v>2411.8463200000001</v>
      </c>
      <c r="AB34">
        <f>N34*(1+'Scenario Modelling'!$B$3)</f>
        <v>1610.2900000000002</v>
      </c>
      <c r="AC34">
        <f>ROUNDUP(S34*(1+'Scenario Modelling'!$B$4),0)</f>
        <v>5</v>
      </c>
      <c r="AD34">
        <f t="shared" si="7"/>
        <v>12059.231600000001</v>
      </c>
      <c r="AE34">
        <f t="shared" si="8"/>
        <v>4007.7815999999993</v>
      </c>
    </row>
    <row r="35" spans="1:31" x14ac:dyDescent="0.3">
      <c r="A35" s="31" t="s">
        <v>48</v>
      </c>
      <c r="B35" s="48">
        <v>45400</v>
      </c>
      <c r="C35" s="47" t="str">
        <f t="shared" si="1"/>
        <v>Q2-2024</v>
      </c>
      <c r="D35" s="32">
        <v>45420</v>
      </c>
      <c r="E35" s="17">
        <f t="shared" si="0"/>
        <v>20</v>
      </c>
      <c r="F35" s="33" t="s">
        <v>649</v>
      </c>
      <c r="G35" s="33" t="s">
        <v>658</v>
      </c>
      <c r="H35" s="33" t="s">
        <v>683</v>
      </c>
      <c r="I35" s="33" t="s">
        <v>703</v>
      </c>
      <c r="J35" s="33" t="s">
        <v>1424</v>
      </c>
      <c r="K35" s="33" t="s">
        <v>726</v>
      </c>
      <c r="L35" s="33" t="s">
        <v>731</v>
      </c>
      <c r="M35" s="34" t="s">
        <v>767</v>
      </c>
      <c r="N35" s="35">
        <v>645.33000000000004</v>
      </c>
      <c r="O35" s="35">
        <v>1321.85</v>
      </c>
      <c r="P35" s="30" t="str">
        <f t="shared" si="2"/>
        <v>Medium</v>
      </c>
      <c r="Q35" s="43">
        <v>0</v>
      </c>
      <c r="R35" s="42" t="str">
        <f t="shared" si="3"/>
        <v>Low</v>
      </c>
      <c r="S35" s="17">
        <v>10</v>
      </c>
      <c r="T35" s="30">
        <v>13218.5</v>
      </c>
      <c r="U35" s="30">
        <v>6453.3</v>
      </c>
      <c r="V35" s="30">
        <v>6765.2</v>
      </c>
      <c r="W35" s="30">
        <v>0.51179785906116426</v>
      </c>
      <c r="X35" t="str">
        <f t="shared" si="4"/>
        <v>Delayed</v>
      </c>
      <c r="Y35" t="str">
        <f t="shared" si="5"/>
        <v>Compliant Discount</v>
      </c>
      <c r="Z35" s="9">
        <f>MIN(Q35,'Scenario Modelling'!$B$2)</f>
        <v>0</v>
      </c>
      <c r="AA35">
        <f t="shared" si="6"/>
        <v>1321.85</v>
      </c>
      <c r="AB35">
        <f>N35*(1+'Scenario Modelling'!$B$3)</f>
        <v>709.86300000000006</v>
      </c>
      <c r="AC35">
        <f>ROUNDUP(S35*(1+'Scenario Modelling'!$B$4),0)</f>
        <v>11</v>
      </c>
      <c r="AD35">
        <f t="shared" si="7"/>
        <v>14540.349999999999</v>
      </c>
      <c r="AE35">
        <f t="shared" si="8"/>
        <v>6731.8569999999982</v>
      </c>
    </row>
    <row r="36" spans="1:31" x14ac:dyDescent="0.3">
      <c r="A36" s="36" t="s">
        <v>49</v>
      </c>
      <c r="B36" s="49">
        <v>45527</v>
      </c>
      <c r="C36" s="47" t="str">
        <f t="shared" si="1"/>
        <v>Q3-2024</v>
      </c>
      <c r="D36" s="37">
        <v>45534</v>
      </c>
      <c r="E36" s="16">
        <f t="shared" si="0"/>
        <v>7</v>
      </c>
      <c r="F36" s="38" t="s">
        <v>646</v>
      </c>
      <c r="G36" s="38" t="s">
        <v>661</v>
      </c>
      <c r="H36" s="38" t="s">
        <v>682</v>
      </c>
      <c r="I36" s="38" t="s">
        <v>702</v>
      </c>
      <c r="J36" s="38" t="s">
        <v>707</v>
      </c>
      <c r="K36" s="38" t="s">
        <v>718</v>
      </c>
      <c r="L36" s="38" t="s">
        <v>727</v>
      </c>
      <c r="M36" s="39" t="s">
        <v>768</v>
      </c>
      <c r="N36" s="40">
        <v>1432.52</v>
      </c>
      <c r="O36" s="40">
        <v>3036.87</v>
      </c>
      <c r="P36" s="30" t="str">
        <f t="shared" si="2"/>
        <v>High</v>
      </c>
      <c r="Q36" s="44">
        <v>0</v>
      </c>
      <c r="R36" s="42" t="str">
        <f t="shared" si="3"/>
        <v>Low</v>
      </c>
      <c r="S36" s="16">
        <v>9</v>
      </c>
      <c r="T36" s="30">
        <v>27331.829999999998</v>
      </c>
      <c r="U36" s="30">
        <v>12892.68</v>
      </c>
      <c r="V36" s="30">
        <v>14439.149999999998</v>
      </c>
      <c r="W36" s="30">
        <v>0.52829064135112791</v>
      </c>
      <c r="X36" t="str">
        <f t="shared" si="4"/>
        <v>On-time</v>
      </c>
      <c r="Y36" t="str">
        <f t="shared" si="5"/>
        <v>Compliant Discount</v>
      </c>
      <c r="Z36" s="9">
        <f>MIN(Q36,'Scenario Modelling'!$B$2)</f>
        <v>0</v>
      </c>
      <c r="AA36">
        <f t="shared" si="6"/>
        <v>3036.87</v>
      </c>
      <c r="AB36">
        <f>N36*(1+'Scenario Modelling'!$B$3)</f>
        <v>1575.7720000000002</v>
      </c>
      <c r="AC36">
        <f>ROUNDUP(S36*(1+'Scenario Modelling'!$B$4),0)</f>
        <v>10</v>
      </c>
      <c r="AD36">
        <f t="shared" si="7"/>
        <v>30368.699999999997</v>
      </c>
      <c r="AE36">
        <f t="shared" si="8"/>
        <v>14610.979999999998</v>
      </c>
    </row>
    <row r="37" spans="1:31" x14ac:dyDescent="0.3">
      <c r="A37" s="31" t="s">
        <v>50</v>
      </c>
      <c r="B37" s="48">
        <v>45012</v>
      </c>
      <c r="C37" s="47" t="str">
        <f t="shared" si="1"/>
        <v>Q1-2023</v>
      </c>
      <c r="D37" s="32">
        <v>45038</v>
      </c>
      <c r="E37" s="17">
        <f t="shared" si="0"/>
        <v>26</v>
      </c>
      <c r="F37" s="33" t="s">
        <v>647</v>
      </c>
      <c r="G37" s="33" t="s">
        <v>654</v>
      </c>
      <c r="H37" s="33" t="s">
        <v>680</v>
      </c>
      <c r="I37" s="33" t="s">
        <v>703</v>
      </c>
      <c r="J37" s="33" t="s">
        <v>709</v>
      </c>
      <c r="K37" s="33" t="s">
        <v>713</v>
      </c>
      <c r="L37" s="33" t="s">
        <v>728</v>
      </c>
      <c r="M37" s="34" t="s">
        <v>769</v>
      </c>
      <c r="N37" s="35">
        <v>178.53</v>
      </c>
      <c r="O37" s="35">
        <v>199.37</v>
      </c>
      <c r="P37" s="30" t="str">
        <f t="shared" si="2"/>
        <v>Low</v>
      </c>
      <c r="Q37" s="43">
        <v>0.10100000000000001</v>
      </c>
      <c r="R37" s="42" t="str">
        <f t="shared" si="3"/>
        <v>Medium</v>
      </c>
      <c r="S37" s="17">
        <v>37</v>
      </c>
      <c r="T37" s="30">
        <v>6631.6443100000006</v>
      </c>
      <c r="U37" s="30">
        <v>6605.61</v>
      </c>
      <c r="V37" s="30">
        <v>26.034310000000914</v>
      </c>
      <c r="W37" s="30">
        <v>3.9257699573457538E-3</v>
      </c>
      <c r="X37" t="str">
        <f t="shared" si="4"/>
        <v>Delayed</v>
      </c>
      <c r="Y37" t="str">
        <f t="shared" si="5"/>
        <v>Compliant Discount</v>
      </c>
      <c r="Z37" s="9">
        <f>MIN(Q37,'Scenario Modelling'!$B$2)</f>
        <v>0.10100000000000001</v>
      </c>
      <c r="AA37">
        <f t="shared" si="6"/>
        <v>179.23363000000001</v>
      </c>
      <c r="AB37">
        <f>N37*(1+'Scenario Modelling'!$B$3)</f>
        <v>196.38300000000001</v>
      </c>
      <c r="AC37">
        <f>ROUNDUP(S37*(1+'Scenario Modelling'!$B$4),0)</f>
        <v>39</v>
      </c>
      <c r="AD37">
        <f t="shared" si="7"/>
        <v>6990.11157</v>
      </c>
      <c r="AE37">
        <f t="shared" si="8"/>
        <v>-668.82543000000021</v>
      </c>
    </row>
    <row r="38" spans="1:31" x14ac:dyDescent="0.3">
      <c r="A38" s="36" t="s">
        <v>51</v>
      </c>
      <c r="B38" s="49">
        <v>45358</v>
      </c>
      <c r="C38" s="47" t="str">
        <f t="shared" si="1"/>
        <v>Q1-2024</v>
      </c>
      <c r="D38" s="37">
        <v>45376</v>
      </c>
      <c r="E38" s="16">
        <f t="shared" si="0"/>
        <v>18</v>
      </c>
      <c r="F38" s="38" t="s">
        <v>649</v>
      </c>
      <c r="G38" s="38" t="s">
        <v>656</v>
      </c>
      <c r="H38" s="38" t="s">
        <v>684</v>
      </c>
      <c r="I38" s="38" t="s">
        <v>701</v>
      </c>
      <c r="J38" s="38" t="s">
        <v>708</v>
      </c>
      <c r="K38" s="38" t="s">
        <v>717</v>
      </c>
      <c r="L38" s="38" t="s">
        <v>727</v>
      </c>
      <c r="M38" s="39" t="s">
        <v>770</v>
      </c>
      <c r="N38" s="40">
        <v>712.84</v>
      </c>
      <c r="O38" s="40">
        <v>927.51</v>
      </c>
      <c r="P38" s="30" t="str">
        <f t="shared" si="2"/>
        <v>Medium</v>
      </c>
      <c r="Q38" s="44">
        <v>0.24299999999999999</v>
      </c>
      <c r="R38" s="42" t="str">
        <f t="shared" si="3"/>
        <v>High</v>
      </c>
      <c r="S38" s="16">
        <v>27</v>
      </c>
      <c r="T38" s="30">
        <v>18957.37689</v>
      </c>
      <c r="U38" s="30">
        <v>19246.68</v>
      </c>
      <c r="V38" s="30">
        <v>-289.30311000000074</v>
      </c>
      <c r="W38" s="30">
        <v>-1.5260714163076427E-2</v>
      </c>
      <c r="X38" t="str">
        <f t="shared" si="4"/>
        <v>Delayed</v>
      </c>
      <c r="Y38" t="str">
        <f t="shared" si="5"/>
        <v>Non-compliant Discount</v>
      </c>
      <c r="Z38" s="9">
        <f>MIN(Q38,'Scenario Modelling'!$B$2)</f>
        <v>0.2</v>
      </c>
      <c r="AA38">
        <f t="shared" si="6"/>
        <v>742.00800000000004</v>
      </c>
      <c r="AB38">
        <f>N38*(1+'Scenario Modelling'!$B$3)</f>
        <v>784.12400000000014</v>
      </c>
      <c r="AC38">
        <f>ROUNDUP(S38*(1+'Scenario Modelling'!$B$4),0)</f>
        <v>29</v>
      </c>
      <c r="AD38">
        <f t="shared" si="7"/>
        <v>21518.232</v>
      </c>
      <c r="AE38">
        <f t="shared" si="8"/>
        <v>-1221.3640000000028</v>
      </c>
    </row>
    <row r="39" spans="1:31" x14ac:dyDescent="0.3">
      <c r="A39" s="31" t="s">
        <v>52</v>
      </c>
      <c r="B39" s="48">
        <v>45832</v>
      </c>
      <c r="C39" s="47" t="str">
        <f t="shared" si="1"/>
        <v>Q2-2025</v>
      </c>
      <c r="D39" s="32">
        <v>45848</v>
      </c>
      <c r="E39" s="17">
        <f t="shared" si="0"/>
        <v>16</v>
      </c>
      <c r="F39" s="33" t="s">
        <v>647</v>
      </c>
      <c r="G39" s="33" t="s">
        <v>659</v>
      </c>
      <c r="H39" s="33" t="s">
        <v>685</v>
      </c>
      <c r="I39" s="33" t="s">
        <v>706</v>
      </c>
      <c r="J39" s="33" t="s">
        <v>711</v>
      </c>
      <c r="K39" s="33" t="s">
        <v>725</v>
      </c>
      <c r="L39" s="33" t="s">
        <v>727</v>
      </c>
      <c r="M39" s="34" t="s">
        <v>771</v>
      </c>
      <c r="N39" s="35">
        <v>757.19</v>
      </c>
      <c r="O39" s="35">
        <v>1735.41</v>
      </c>
      <c r="P39" s="30" t="str">
        <f t="shared" si="2"/>
        <v>High</v>
      </c>
      <c r="Q39" s="43">
        <v>0.13600000000000001</v>
      </c>
      <c r="R39" s="42" t="str">
        <f t="shared" si="3"/>
        <v>Medium</v>
      </c>
      <c r="S39" s="17">
        <v>8</v>
      </c>
      <c r="T39" s="30">
        <v>11995.153920000001</v>
      </c>
      <c r="U39" s="30">
        <v>6057.52</v>
      </c>
      <c r="V39" s="30">
        <v>5937.6339200000002</v>
      </c>
      <c r="W39" s="30">
        <v>0.4950027285685718</v>
      </c>
      <c r="X39" t="str">
        <f t="shared" si="4"/>
        <v>Delayed</v>
      </c>
      <c r="Y39" t="str">
        <f t="shared" si="5"/>
        <v>Compliant Discount</v>
      </c>
      <c r="Z39" s="9">
        <f>MIN(Q39,'Scenario Modelling'!$B$2)</f>
        <v>0.13600000000000001</v>
      </c>
      <c r="AA39">
        <f t="shared" si="6"/>
        <v>1499.3942400000001</v>
      </c>
      <c r="AB39">
        <f>N39*(1+'Scenario Modelling'!$B$3)</f>
        <v>832.90900000000011</v>
      </c>
      <c r="AC39">
        <f>ROUNDUP(S39*(1+'Scenario Modelling'!$B$4),0)</f>
        <v>9</v>
      </c>
      <c r="AD39">
        <f t="shared" si="7"/>
        <v>13494.54816</v>
      </c>
      <c r="AE39">
        <f t="shared" si="8"/>
        <v>5998.3671599999998</v>
      </c>
    </row>
    <row r="40" spans="1:31" x14ac:dyDescent="0.3">
      <c r="A40" s="36" t="s">
        <v>53</v>
      </c>
      <c r="B40" s="49">
        <v>45401</v>
      </c>
      <c r="C40" s="47" t="str">
        <f t="shared" si="1"/>
        <v>Q2-2024</v>
      </c>
      <c r="D40" s="37">
        <v>45418</v>
      </c>
      <c r="E40" s="16">
        <f t="shared" si="0"/>
        <v>17</v>
      </c>
      <c r="F40" s="38" t="s">
        <v>646</v>
      </c>
      <c r="G40" s="38" t="s">
        <v>651</v>
      </c>
      <c r="H40" s="38" t="s">
        <v>663</v>
      </c>
      <c r="I40" s="38" t="s">
        <v>703</v>
      </c>
      <c r="J40" s="38" t="s">
        <v>708</v>
      </c>
      <c r="K40" s="38" t="s">
        <v>720</v>
      </c>
      <c r="L40" s="38" t="s">
        <v>728</v>
      </c>
      <c r="M40" s="39" t="s">
        <v>772</v>
      </c>
      <c r="N40" s="40">
        <v>865.33</v>
      </c>
      <c r="O40" s="40">
        <v>1395.64</v>
      </c>
      <c r="P40" s="30" t="str">
        <f t="shared" si="2"/>
        <v>Medium</v>
      </c>
      <c r="Q40" s="44">
        <v>0.17499999999999999</v>
      </c>
      <c r="R40" s="42" t="str">
        <f t="shared" si="3"/>
        <v>Medium</v>
      </c>
      <c r="S40" s="16">
        <v>13</v>
      </c>
      <c r="T40" s="30">
        <v>14968.239</v>
      </c>
      <c r="U40" s="30">
        <v>11249.29</v>
      </c>
      <c r="V40" s="30">
        <v>3718.9489999999987</v>
      </c>
      <c r="W40" s="30">
        <v>0.24845601409758347</v>
      </c>
      <c r="X40" t="str">
        <f t="shared" si="4"/>
        <v>Delayed</v>
      </c>
      <c r="Y40" t="str">
        <f t="shared" si="5"/>
        <v>Compliant Discount</v>
      </c>
      <c r="Z40" s="9">
        <f>MIN(Q40,'Scenario Modelling'!$B$2)</f>
        <v>0.17499999999999999</v>
      </c>
      <c r="AA40">
        <f t="shared" si="6"/>
        <v>1151.403</v>
      </c>
      <c r="AB40">
        <f>N40*(1+'Scenario Modelling'!$B$3)</f>
        <v>951.86300000000017</v>
      </c>
      <c r="AC40">
        <f>ROUNDUP(S40*(1+'Scenario Modelling'!$B$4),0)</f>
        <v>14</v>
      </c>
      <c r="AD40">
        <f t="shared" si="7"/>
        <v>16119.642</v>
      </c>
      <c r="AE40">
        <f t="shared" si="8"/>
        <v>2793.5599999999977</v>
      </c>
    </row>
    <row r="41" spans="1:31" x14ac:dyDescent="0.3">
      <c r="A41" s="31" t="s">
        <v>54</v>
      </c>
      <c r="B41" s="48">
        <v>45094</v>
      </c>
      <c r="C41" s="47" t="str">
        <f t="shared" si="1"/>
        <v>Q2-2023</v>
      </c>
      <c r="D41" s="32">
        <v>45101</v>
      </c>
      <c r="E41" s="17">
        <f t="shared" si="0"/>
        <v>7</v>
      </c>
      <c r="F41" s="33" t="s">
        <v>648</v>
      </c>
      <c r="G41" s="33" t="s">
        <v>660</v>
      </c>
      <c r="H41" s="33" t="s">
        <v>686</v>
      </c>
      <c r="I41" s="33" t="s">
        <v>701</v>
      </c>
      <c r="J41" s="33" t="s">
        <v>707</v>
      </c>
      <c r="K41" s="33" t="s">
        <v>714</v>
      </c>
      <c r="L41" s="33" t="s">
        <v>728</v>
      </c>
      <c r="M41" s="34" t="s">
        <v>773</v>
      </c>
      <c r="N41" s="35">
        <v>313.99</v>
      </c>
      <c r="O41" s="35">
        <v>454.42</v>
      </c>
      <c r="P41" s="30" t="str">
        <f t="shared" si="2"/>
        <v>Low</v>
      </c>
      <c r="Q41" s="43">
        <v>0.129</v>
      </c>
      <c r="R41" s="42" t="str">
        <f t="shared" si="3"/>
        <v>Medium</v>
      </c>
      <c r="S41" s="17">
        <v>9</v>
      </c>
      <c r="T41" s="30">
        <v>3562.1983800000003</v>
      </c>
      <c r="U41" s="30">
        <v>2825.91</v>
      </c>
      <c r="V41" s="30">
        <v>736.28838000000042</v>
      </c>
      <c r="W41" s="30">
        <v>0.20669493988147858</v>
      </c>
      <c r="X41" t="str">
        <f t="shared" si="4"/>
        <v>On-time</v>
      </c>
      <c r="Y41" t="str">
        <f t="shared" si="5"/>
        <v>Compliant Discount</v>
      </c>
      <c r="Z41" s="9">
        <f>MIN(Q41,'Scenario Modelling'!$B$2)</f>
        <v>0.129</v>
      </c>
      <c r="AA41">
        <f t="shared" si="6"/>
        <v>395.79982000000001</v>
      </c>
      <c r="AB41">
        <f>N41*(1+'Scenario Modelling'!$B$3)</f>
        <v>345.38900000000001</v>
      </c>
      <c r="AC41">
        <f>ROUNDUP(S41*(1+'Scenario Modelling'!$B$4),0)</f>
        <v>10</v>
      </c>
      <c r="AD41">
        <f t="shared" si="7"/>
        <v>3957.9982</v>
      </c>
      <c r="AE41">
        <f t="shared" si="8"/>
        <v>504.10820000000001</v>
      </c>
    </row>
    <row r="42" spans="1:31" x14ac:dyDescent="0.3">
      <c r="A42" s="36" t="s">
        <v>55</v>
      </c>
      <c r="B42" s="49">
        <v>45531</v>
      </c>
      <c r="C42" s="47" t="str">
        <f t="shared" si="1"/>
        <v>Q3-2024</v>
      </c>
      <c r="D42" s="37">
        <v>45554</v>
      </c>
      <c r="E42" s="16">
        <f t="shared" si="0"/>
        <v>23</v>
      </c>
      <c r="F42" s="38" t="s">
        <v>649</v>
      </c>
      <c r="G42" s="38" t="s">
        <v>656</v>
      </c>
      <c r="H42" s="38" t="s">
        <v>671</v>
      </c>
      <c r="I42" s="38" t="s">
        <v>705</v>
      </c>
      <c r="J42" s="38" t="s">
        <v>711</v>
      </c>
      <c r="K42" s="38" t="s">
        <v>726</v>
      </c>
      <c r="L42" s="38" t="s">
        <v>732</v>
      </c>
      <c r="M42" s="39" t="s">
        <v>774</v>
      </c>
      <c r="N42" s="40">
        <v>1024.01</v>
      </c>
      <c r="O42" s="40">
        <v>1580.97</v>
      </c>
      <c r="P42" s="30" t="str">
        <f t="shared" si="2"/>
        <v>Medium</v>
      </c>
      <c r="Q42" s="44">
        <v>3.6999999999999998E-2</v>
      </c>
      <c r="R42" s="42" t="str">
        <f t="shared" si="3"/>
        <v>Low</v>
      </c>
      <c r="S42" s="16">
        <v>27</v>
      </c>
      <c r="T42" s="30">
        <v>41106.800970000004</v>
      </c>
      <c r="U42" s="30">
        <v>27648.27</v>
      </c>
      <c r="V42" s="30">
        <v>13458.530970000003</v>
      </c>
      <c r="W42" s="30">
        <v>0.3274039976942531</v>
      </c>
      <c r="X42" t="str">
        <f t="shared" si="4"/>
        <v>Delayed</v>
      </c>
      <c r="Y42" t="str">
        <f t="shared" si="5"/>
        <v>Compliant Discount</v>
      </c>
      <c r="Z42" s="9">
        <f>MIN(Q42,'Scenario Modelling'!$B$2)</f>
        <v>3.6999999999999998E-2</v>
      </c>
      <c r="AA42">
        <f t="shared" si="6"/>
        <v>1522.4741099999999</v>
      </c>
      <c r="AB42">
        <f>N42*(1+'Scenario Modelling'!$B$3)</f>
        <v>1126.4110000000001</v>
      </c>
      <c r="AC42">
        <f>ROUNDUP(S42*(1+'Scenario Modelling'!$B$4),0)</f>
        <v>29</v>
      </c>
      <c r="AD42">
        <f t="shared" si="7"/>
        <v>44151.749189999995</v>
      </c>
      <c r="AE42">
        <f t="shared" si="8"/>
        <v>11485.830189999995</v>
      </c>
    </row>
    <row r="43" spans="1:31" x14ac:dyDescent="0.3">
      <c r="A43" s="31" t="s">
        <v>56</v>
      </c>
      <c r="B43" s="48">
        <v>45302</v>
      </c>
      <c r="C43" s="47" t="str">
        <f t="shared" si="1"/>
        <v>Q1-2024</v>
      </c>
      <c r="D43" s="32">
        <v>45324</v>
      </c>
      <c r="E43" s="17">
        <f t="shared" si="0"/>
        <v>22</v>
      </c>
      <c r="F43" s="33" t="s">
        <v>646</v>
      </c>
      <c r="G43" s="33" t="s">
        <v>661</v>
      </c>
      <c r="H43" s="33" t="s">
        <v>687</v>
      </c>
      <c r="I43" s="33" t="s">
        <v>704</v>
      </c>
      <c r="J43" s="33" t="s">
        <v>708</v>
      </c>
      <c r="K43" s="33" t="s">
        <v>723</v>
      </c>
      <c r="L43" s="33" t="s">
        <v>729</v>
      </c>
      <c r="M43" s="34" t="s">
        <v>775</v>
      </c>
      <c r="N43" s="35">
        <v>1206.2</v>
      </c>
      <c r="O43" s="35">
        <v>1759.79</v>
      </c>
      <c r="P43" s="30" t="str">
        <f t="shared" si="2"/>
        <v>High</v>
      </c>
      <c r="Q43" s="43">
        <v>0</v>
      </c>
      <c r="R43" s="42" t="str">
        <f t="shared" si="3"/>
        <v>Low</v>
      </c>
      <c r="S43" s="17">
        <v>6</v>
      </c>
      <c r="T43" s="30">
        <v>10558.74</v>
      </c>
      <c r="U43" s="30">
        <v>7237.2000000000007</v>
      </c>
      <c r="V43" s="30">
        <v>3321.5399999999991</v>
      </c>
      <c r="W43" s="30">
        <v>0.31457730751964713</v>
      </c>
      <c r="X43" t="str">
        <f t="shared" si="4"/>
        <v>Delayed</v>
      </c>
      <c r="Y43" t="str">
        <f t="shared" si="5"/>
        <v>Compliant Discount</v>
      </c>
      <c r="Z43" s="9">
        <f>MIN(Q43,'Scenario Modelling'!$B$2)</f>
        <v>0</v>
      </c>
      <c r="AA43">
        <f t="shared" si="6"/>
        <v>1759.79</v>
      </c>
      <c r="AB43">
        <f>N43*(1+'Scenario Modelling'!$B$3)</f>
        <v>1326.8200000000002</v>
      </c>
      <c r="AC43">
        <f>ROUNDUP(S43*(1+'Scenario Modelling'!$B$4),0)</f>
        <v>7</v>
      </c>
      <c r="AD43">
        <f t="shared" si="7"/>
        <v>12318.529999999999</v>
      </c>
      <c r="AE43">
        <f t="shared" si="8"/>
        <v>3030.7899999999986</v>
      </c>
    </row>
    <row r="44" spans="1:31" x14ac:dyDescent="0.3">
      <c r="A44" s="36" t="s">
        <v>57</v>
      </c>
      <c r="B44" s="49">
        <v>45590</v>
      </c>
      <c r="C44" s="47" t="str">
        <f t="shared" si="1"/>
        <v>Q4-2024</v>
      </c>
      <c r="D44" s="37">
        <v>45610</v>
      </c>
      <c r="E44" s="16">
        <f t="shared" si="0"/>
        <v>20</v>
      </c>
      <c r="F44" s="38" t="s">
        <v>646</v>
      </c>
      <c r="G44" s="38" t="s">
        <v>650</v>
      </c>
      <c r="H44" s="38" t="s">
        <v>675</v>
      </c>
      <c r="I44" s="38" t="s">
        <v>701</v>
      </c>
      <c r="J44" s="38" t="s">
        <v>711</v>
      </c>
      <c r="K44" s="38" t="s">
        <v>722</v>
      </c>
      <c r="L44" s="38" t="s">
        <v>728</v>
      </c>
      <c r="M44" s="39" t="s">
        <v>776</v>
      </c>
      <c r="N44" s="40">
        <v>1396.48</v>
      </c>
      <c r="O44" s="40">
        <v>3204.5</v>
      </c>
      <c r="P44" s="30" t="str">
        <f t="shared" si="2"/>
        <v>High</v>
      </c>
      <c r="Q44" s="44">
        <v>0.3</v>
      </c>
      <c r="R44" s="42" t="str">
        <f t="shared" si="3"/>
        <v>High</v>
      </c>
      <c r="S44" s="16">
        <v>14</v>
      </c>
      <c r="T44" s="30">
        <v>31404.1</v>
      </c>
      <c r="U44" s="30">
        <v>19550.72</v>
      </c>
      <c r="V44" s="30">
        <v>11853.379999999997</v>
      </c>
      <c r="W44" s="30">
        <v>0.3774468938769141</v>
      </c>
      <c r="X44" t="str">
        <f t="shared" si="4"/>
        <v>Delayed</v>
      </c>
      <c r="Y44" t="str">
        <f t="shared" si="5"/>
        <v>Non-compliant Discount</v>
      </c>
      <c r="Z44" s="9">
        <f>MIN(Q44,'Scenario Modelling'!$B$2)</f>
        <v>0.2</v>
      </c>
      <c r="AA44">
        <f t="shared" si="6"/>
        <v>2563.6000000000004</v>
      </c>
      <c r="AB44">
        <f>N44*(1+'Scenario Modelling'!$B$3)</f>
        <v>1536.1280000000002</v>
      </c>
      <c r="AC44">
        <f>ROUNDUP(S44*(1+'Scenario Modelling'!$B$4),0)</f>
        <v>15</v>
      </c>
      <c r="AD44">
        <f t="shared" si="7"/>
        <v>38454.000000000007</v>
      </c>
      <c r="AE44">
        <f t="shared" si="8"/>
        <v>15412.080000000004</v>
      </c>
    </row>
    <row r="45" spans="1:31" x14ac:dyDescent="0.3">
      <c r="A45" s="31" t="s">
        <v>58</v>
      </c>
      <c r="B45" s="48">
        <v>45806</v>
      </c>
      <c r="C45" s="47" t="str">
        <f t="shared" si="1"/>
        <v>Q2-2025</v>
      </c>
      <c r="D45" s="32">
        <v>45828</v>
      </c>
      <c r="E45" s="17">
        <f t="shared" si="0"/>
        <v>22</v>
      </c>
      <c r="F45" s="33" t="s">
        <v>649</v>
      </c>
      <c r="G45" s="33" t="s">
        <v>656</v>
      </c>
      <c r="H45" s="33" t="s">
        <v>671</v>
      </c>
      <c r="I45" s="33" t="s">
        <v>701</v>
      </c>
      <c r="J45" s="33" t="s">
        <v>711</v>
      </c>
      <c r="K45" s="33" t="s">
        <v>720</v>
      </c>
      <c r="L45" s="33" t="s">
        <v>728</v>
      </c>
      <c r="M45" s="34" t="s">
        <v>777</v>
      </c>
      <c r="N45" s="35">
        <v>483.47</v>
      </c>
      <c r="O45" s="35">
        <v>1135.43</v>
      </c>
      <c r="P45" s="30" t="str">
        <f t="shared" si="2"/>
        <v>Medium</v>
      </c>
      <c r="Q45" s="43">
        <v>0.14599999999999999</v>
      </c>
      <c r="R45" s="42" t="str">
        <f t="shared" si="3"/>
        <v>Medium</v>
      </c>
      <c r="S45" s="17">
        <v>11</v>
      </c>
      <c r="T45" s="30">
        <v>10666.229420000001</v>
      </c>
      <c r="U45" s="30">
        <v>5318.17</v>
      </c>
      <c r="V45" s="30">
        <v>5348.0594200000014</v>
      </c>
      <c r="W45" s="30">
        <v>0.50140112399719983</v>
      </c>
      <c r="X45" t="str">
        <f t="shared" si="4"/>
        <v>Delayed</v>
      </c>
      <c r="Y45" t="str">
        <f t="shared" si="5"/>
        <v>Compliant Discount</v>
      </c>
      <c r="Z45" s="9">
        <f>MIN(Q45,'Scenario Modelling'!$B$2)</f>
        <v>0.14599999999999999</v>
      </c>
      <c r="AA45">
        <f t="shared" si="6"/>
        <v>969.65722000000005</v>
      </c>
      <c r="AB45">
        <f>N45*(1+'Scenario Modelling'!$B$3)</f>
        <v>531.81700000000012</v>
      </c>
      <c r="AC45">
        <f>ROUNDUP(S45*(1+'Scenario Modelling'!$B$4),0)</f>
        <v>12</v>
      </c>
      <c r="AD45">
        <f t="shared" si="7"/>
        <v>11635.886640000001</v>
      </c>
      <c r="AE45">
        <f t="shared" si="8"/>
        <v>5254.0826399999987</v>
      </c>
    </row>
    <row r="46" spans="1:31" x14ac:dyDescent="0.3">
      <c r="A46" s="36" t="s">
        <v>59</v>
      </c>
      <c r="B46" s="49">
        <v>45432</v>
      </c>
      <c r="C46" s="47" t="str">
        <f t="shared" si="1"/>
        <v>Q2-2024</v>
      </c>
      <c r="D46" s="37">
        <v>45445</v>
      </c>
      <c r="E46" s="16">
        <f t="shared" si="0"/>
        <v>13</v>
      </c>
      <c r="F46" s="38" t="s">
        <v>648</v>
      </c>
      <c r="G46" s="38" t="s">
        <v>653</v>
      </c>
      <c r="H46" s="38" t="s">
        <v>688</v>
      </c>
      <c r="I46" s="38" t="s">
        <v>706</v>
      </c>
      <c r="J46" s="38" t="s">
        <v>709</v>
      </c>
      <c r="K46" s="38" t="s">
        <v>723</v>
      </c>
      <c r="L46" s="38" t="s">
        <v>727</v>
      </c>
      <c r="M46" s="39" t="s">
        <v>778</v>
      </c>
      <c r="N46" s="40">
        <v>675.43</v>
      </c>
      <c r="O46" s="40">
        <v>996.36</v>
      </c>
      <c r="P46" s="30" t="str">
        <f t="shared" si="2"/>
        <v>Medium</v>
      </c>
      <c r="Q46" s="44">
        <v>0.182</v>
      </c>
      <c r="R46" s="42" t="str">
        <f t="shared" si="3"/>
        <v>Medium</v>
      </c>
      <c r="S46" s="16">
        <v>22</v>
      </c>
      <c r="T46" s="30">
        <v>17930.494560000003</v>
      </c>
      <c r="U46" s="30">
        <v>14859.46</v>
      </c>
      <c r="V46" s="30">
        <v>3071.0345600000037</v>
      </c>
      <c r="W46" s="30">
        <v>0.17127439233332575</v>
      </c>
      <c r="X46" t="str">
        <f t="shared" si="4"/>
        <v>Delayed</v>
      </c>
      <c r="Y46" t="str">
        <f t="shared" si="5"/>
        <v>Compliant Discount</v>
      </c>
      <c r="Z46" s="9">
        <f>MIN(Q46,'Scenario Modelling'!$B$2)</f>
        <v>0.182</v>
      </c>
      <c r="AA46">
        <f t="shared" si="6"/>
        <v>815.02248000000009</v>
      </c>
      <c r="AB46">
        <f>N46*(1+'Scenario Modelling'!$B$3)</f>
        <v>742.97299999999996</v>
      </c>
      <c r="AC46">
        <f>ROUNDUP(S46*(1+'Scenario Modelling'!$B$4),0)</f>
        <v>24</v>
      </c>
      <c r="AD46">
        <f t="shared" si="7"/>
        <v>19560.539520000002</v>
      </c>
      <c r="AE46">
        <f t="shared" si="8"/>
        <v>1729.1875200000031</v>
      </c>
    </row>
    <row r="47" spans="1:31" x14ac:dyDescent="0.3">
      <c r="A47" s="31" t="s">
        <v>60</v>
      </c>
      <c r="B47" s="48">
        <v>45035</v>
      </c>
      <c r="C47" s="47" t="str">
        <f t="shared" si="1"/>
        <v>Q2-2023</v>
      </c>
      <c r="D47" s="32">
        <v>45046</v>
      </c>
      <c r="E47" s="17">
        <f t="shared" si="0"/>
        <v>11</v>
      </c>
      <c r="F47" s="33" t="s">
        <v>647</v>
      </c>
      <c r="G47" s="33" t="s">
        <v>654</v>
      </c>
      <c r="H47" s="33" t="s">
        <v>680</v>
      </c>
      <c r="I47" s="33" t="s">
        <v>705</v>
      </c>
      <c r="J47" s="33" t="s">
        <v>707</v>
      </c>
      <c r="K47" s="33" t="s">
        <v>720</v>
      </c>
      <c r="L47" s="33" t="s">
        <v>729</v>
      </c>
      <c r="M47" s="34" t="s">
        <v>779</v>
      </c>
      <c r="N47" s="35">
        <v>826.55</v>
      </c>
      <c r="O47" s="35">
        <v>1397.05</v>
      </c>
      <c r="P47" s="30" t="str">
        <f t="shared" si="2"/>
        <v>Medium</v>
      </c>
      <c r="Q47" s="43">
        <v>0.16900000000000001</v>
      </c>
      <c r="R47" s="42" t="str">
        <f t="shared" si="3"/>
        <v>Medium</v>
      </c>
      <c r="S47" s="17">
        <v>28</v>
      </c>
      <c r="T47" s="30">
        <v>32506.559399999998</v>
      </c>
      <c r="U47" s="30">
        <v>23143.399999999998</v>
      </c>
      <c r="V47" s="30">
        <v>9363.1594000000005</v>
      </c>
      <c r="W47" s="30">
        <v>0.28803907804527601</v>
      </c>
      <c r="X47" t="str">
        <f t="shared" si="4"/>
        <v>Delayed</v>
      </c>
      <c r="Y47" t="str">
        <f t="shared" si="5"/>
        <v>Compliant Discount</v>
      </c>
      <c r="Z47" s="9">
        <f>MIN(Q47,'Scenario Modelling'!$B$2)</f>
        <v>0.16900000000000001</v>
      </c>
      <c r="AA47">
        <f t="shared" si="6"/>
        <v>1160.9485499999998</v>
      </c>
      <c r="AB47">
        <f>N47*(1+'Scenario Modelling'!$B$3)</f>
        <v>909.20500000000004</v>
      </c>
      <c r="AC47">
        <f>ROUNDUP(S47*(1+'Scenario Modelling'!$B$4),0)</f>
        <v>30</v>
      </c>
      <c r="AD47">
        <f t="shared" si="7"/>
        <v>34828.456499999993</v>
      </c>
      <c r="AE47">
        <f t="shared" si="8"/>
        <v>7552.3064999999942</v>
      </c>
    </row>
    <row r="48" spans="1:31" x14ac:dyDescent="0.3">
      <c r="A48" s="36" t="s">
        <v>61</v>
      </c>
      <c r="B48" s="49">
        <v>45100</v>
      </c>
      <c r="C48" s="47" t="str">
        <f t="shared" si="1"/>
        <v>Q2-2023</v>
      </c>
      <c r="D48" s="37">
        <v>45110</v>
      </c>
      <c r="E48" s="16">
        <f t="shared" si="0"/>
        <v>10</v>
      </c>
      <c r="F48" s="38" t="s">
        <v>646</v>
      </c>
      <c r="G48" s="38" t="s">
        <v>651</v>
      </c>
      <c r="H48" s="38" t="s">
        <v>669</v>
      </c>
      <c r="I48" s="38" t="s">
        <v>704</v>
      </c>
      <c r="J48" s="38" t="s">
        <v>708</v>
      </c>
      <c r="K48" s="38" t="s">
        <v>713</v>
      </c>
      <c r="L48" s="38" t="s">
        <v>728</v>
      </c>
      <c r="M48" s="39" t="s">
        <v>780</v>
      </c>
      <c r="N48" s="40">
        <v>337.75</v>
      </c>
      <c r="O48" s="40">
        <v>548.89</v>
      </c>
      <c r="P48" s="30" t="str">
        <f t="shared" si="2"/>
        <v>Low</v>
      </c>
      <c r="Q48" s="44">
        <v>0</v>
      </c>
      <c r="R48" s="42" t="str">
        <f t="shared" si="3"/>
        <v>Low</v>
      </c>
      <c r="S48" s="16">
        <v>13</v>
      </c>
      <c r="T48" s="30">
        <v>7135.57</v>
      </c>
      <c r="U48" s="30">
        <v>4390.75</v>
      </c>
      <c r="V48" s="30">
        <v>2744.8199999999997</v>
      </c>
      <c r="W48" s="30">
        <v>0.38466723751571352</v>
      </c>
      <c r="X48" t="str">
        <f t="shared" si="4"/>
        <v>Delayed</v>
      </c>
      <c r="Y48" t="str">
        <f t="shared" si="5"/>
        <v>Compliant Discount</v>
      </c>
      <c r="Z48" s="9">
        <f>MIN(Q48,'Scenario Modelling'!$B$2)</f>
        <v>0</v>
      </c>
      <c r="AA48">
        <f t="shared" si="6"/>
        <v>548.89</v>
      </c>
      <c r="AB48">
        <f>N48*(1+'Scenario Modelling'!$B$3)</f>
        <v>371.52500000000003</v>
      </c>
      <c r="AC48">
        <f>ROUNDUP(S48*(1+'Scenario Modelling'!$B$4),0)</f>
        <v>14</v>
      </c>
      <c r="AD48">
        <f t="shared" si="7"/>
        <v>7684.46</v>
      </c>
      <c r="AE48">
        <f t="shared" si="8"/>
        <v>2483.1099999999992</v>
      </c>
    </row>
    <row r="49" spans="1:31" x14ac:dyDescent="0.3">
      <c r="A49" s="31" t="s">
        <v>62</v>
      </c>
      <c r="B49" s="48">
        <v>45426</v>
      </c>
      <c r="C49" s="47" t="str">
        <f t="shared" si="1"/>
        <v>Q2-2024</v>
      </c>
      <c r="D49" s="32">
        <v>45440</v>
      </c>
      <c r="E49" s="17">
        <f t="shared" si="0"/>
        <v>14</v>
      </c>
      <c r="F49" s="33" t="s">
        <v>649</v>
      </c>
      <c r="G49" s="33" t="s">
        <v>658</v>
      </c>
      <c r="H49" s="33" t="s">
        <v>674</v>
      </c>
      <c r="I49" s="33" t="s">
        <v>704</v>
      </c>
      <c r="J49" s="33" t="s">
        <v>707</v>
      </c>
      <c r="K49" s="33" t="s">
        <v>717</v>
      </c>
      <c r="L49" s="33" t="s">
        <v>729</v>
      </c>
      <c r="M49" s="34" t="s">
        <v>781</v>
      </c>
      <c r="N49" s="35">
        <v>1421.14</v>
      </c>
      <c r="O49" s="35">
        <v>3524</v>
      </c>
      <c r="P49" s="30" t="str">
        <f t="shared" si="2"/>
        <v>High</v>
      </c>
      <c r="Q49" s="43">
        <v>0</v>
      </c>
      <c r="R49" s="42" t="str">
        <f t="shared" si="3"/>
        <v>Low</v>
      </c>
      <c r="S49" s="17">
        <v>31</v>
      </c>
      <c r="T49" s="30">
        <v>109244</v>
      </c>
      <c r="U49" s="30">
        <v>44055.340000000004</v>
      </c>
      <c r="V49" s="30">
        <v>65188.659999999996</v>
      </c>
      <c r="W49" s="30">
        <v>0.59672531214528945</v>
      </c>
      <c r="X49" t="str">
        <f t="shared" si="4"/>
        <v>Delayed</v>
      </c>
      <c r="Y49" t="str">
        <f t="shared" si="5"/>
        <v>Compliant Discount</v>
      </c>
      <c r="Z49" s="9">
        <f>MIN(Q49,'Scenario Modelling'!$B$2)</f>
        <v>0</v>
      </c>
      <c r="AA49">
        <f t="shared" si="6"/>
        <v>3524</v>
      </c>
      <c r="AB49">
        <f>N49*(1+'Scenario Modelling'!$B$3)</f>
        <v>1563.2540000000001</v>
      </c>
      <c r="AC49">
        <f>ROUNDUP(S49*(1+'Scenario Modelling'!$B$4),0)</f>
        <v>33</v>
      </c>
      <c r="AD49">
        <f t="shared" si="7"/>
        <v>116292</v>
      </c>
      <c r="AE49">
        <f t="shared" si="8"/>
        <v>64704.617999999995</v>
      </c>
    </row>
    <row r="50" spans="1:31" x14ac:dyDescent="0.3">
      <c r="A50" s="36" t="s">
        <v>63</v>
      </c>
      <c r="B50" s="49">
        <v>45579</v>
      </c>
      <c r="C50" s="47" t="str">
        <f t="shared" si="1"/>
        <v>Q4-2024</v>
      </c>
      <c r="D50" s="37">
        <v>45604</v>
      </c>
      <c r="E50" s="16">
        <f t="shared" si="0"/>
        <v>25</v>
      </c>
      <c r="F50" s="38" t="s">
        <v>646</v>
      </c>
      <c r="G50" s="38" t="s">
        <v>651</v>
      </c>
      <c r="H50" s="38" t="s">
        <v>665</v>
      </c>
      <c r="I50" s="38" t="s">
        <v>706</v>
      </c>
      <c r="J50" s="38" t="s">
        <v>708</v>
      </c>
      <c r="K50" s="38" t="s">
        <v>719</v>
      </c>
      <c r="L50" s="38" t="s">
        <v>729</v>
      </c>
      <c r="M50" s="39" t="s">
        <v>782</v>
      </c>
      <c r="N50" s="40">
        <v>859.35</v>
      </c>
      <c r="O50" s="40">
        <v>1825.61</v>
      </c>
      <c r="P50" s="30" t="str">
        <f t="shared" si="2"/>
        <v>High</v>
      </c>
      <c r="Q50" s="44">
        <v>0.187</v>
      </c>
      <c r="R50" s="42" t="str">
        <f t="shared" si="3"/>
        <v>Medium</v>
      </c>
      <c r="S50" s="16">
        <v>24</v>
      </c>
      <c r="T50" s="30">
        <v>35621.302319999995</v>
      </c>
      <c r="U50" s="30">
        <v>20624.400000000001</v>
      </c>
      <c r="V50" s="30">
        <v>14996.902319999994</v>
      </c>
      <c r="W50" s="30">
        <v>0.42100937762681989</v>
      </c>
      <c r="X50" t="str">
        <f t="shared" si="4"/>
        <v>Delayed</v>
      </c>
      <c r="Y50" t="str">
        <f t="shared" si="5"/>
        <v>Compliant Discount</v>
      </c>
      <c r="Z50" s="9">
        <f>MIN(Q50,'Scenario Modelling'!$B$2)</f>
        <v>0.187</v>
      </c>
      <c r="AA50">
        <f t="shared" si="6"/>
        <v>1484.2209299999997</v>
      </c>
      <c r="AB50">
        <f>N50*(1+'Scenario Modelling'!$B$3)</f>
        <v>945.28500000000008</v>
      </c>
      <c r="AC50">
        <f>ROUNDUP(S50*(1+'Scenario Modelling'!$B$4),0)</f>
        <v>26</v>
      </c>
      <c r="AD50">
        <f t="shared" si="7"/>
        <v>38589.744179999994</v>
      </c>
      <c r="AE50">
        <f t="shared" si="8"/>
        <v>14012.334179999991</v>
      </c>
    </row>
    <row r="51" spans="1:31" x14ac:dyDescent="0.3">
      <c r="A51" s="31" t="s">
        <v>64</v>
      </c>
      <c r="B51" s="48">
        <v>45117</v>
      </c>
      <c r="C51" s="47" t="str">
        <f t="shared" si="1"/>
        <v>Q3-2023</v>
      </c>
      <c r="D51" s="32">
        <v>45139</v>
      </c>
      <c r="E51" s="17">
        <f t="shared" si="0"/>
        <v>22</v>
      </c>
      <c r="F51" s="33" t="s">
        <v>649</v>
      </c>
      <c r="G51" s="33" t="s">
        <v>657</v>
      </c>
      <c r="H51" s="33" t="s">
        <v>673</v>
      </c>
      <c r="I51" s="33" t="s">
        <v>704</v>
      </c>
      <c r="J51" s="33" t="s">
        <v>709</v>
      </c>
      <c r="K51" s="33" t="s">
        <v>717</v>
      </c>
      <c r="L51" s="33" t="s">
        <v>728</v>
      </c>
      <c r="M51" s="34" t="s">
        <v>783</v>
      </c>
      <c r="N51" s="35">
        <v>1303.56</v>
      </c>
      <c r="O51" s="35">
        <v>1791.37</v>
      </c>
      <c r="P51" s="30" t="str">
        <f t="shared" si="2"/>
        <v>High</v>
      </c>
      <c r="Q51" s="43">
        <v>0.126</v>
      </c>
      <c r="R51" s="42" t="str">
        <f t="shared" si="3"/>
        <v>Medium</v>
      </c>
      <c r="S51" s="17">
        <v>22</v>
      </c>
      <c r="T51" s="30">
        <v>34444.462359999998</v>
      </c>
      <c r="U51" s="30">
        <v>28678.32</v>
      </c>
      <c r="V51" s="30">
        <v>5766.142359999998</v>
      </c>
      <c r="W51" s="30">
        <v>0.16740404596055358</v>
      </c>
      <c r="X51" t="str">
        <f t="shared" si="4"/>
        <v>Delayed</v>
      </c>
      <c r="Y51" t="str">
        <f t="shared" si="5"/>
        <v>Compliant Discount</v>
      </c>
      <c r="Z51" s="9">
        <f>MIN(Q51,'Scenario Modelling'!$B$2)</f>
        <v>0.126</v>
      </c>
      <c r="AA51">
        <f t="shared" si="6"/>
        <v>1565.6573799999999</v>
      </c>
      <c r="AB51">
        <f>N51*(1+'Scenario Modelling'!$B$3)</f>
        <v>1433.9160000000002</v>
      </c>
      <c r="AC51">
        <f>ROUNDUP(S51*(1+'Scenario Modelling'!$B$4),0)</f>
        <v>24</v>
      </c>
      <c r="AD51">
        <f t="shared" si="7"/>
        <v>37575.777119999999</v>
      </c>
      <c r="AE51">
        <f t="shared" si="8"/>
        <v>3161.793119999993</v>
      </c>
    </row>
    <row r="52" spans="1:31" x14ac:dyDescent="0.3">
      <c r="A52" s="36" t="s">
        <v>65</v>
      </c>
      <c r="B52" s="49">
        <v>45602</v>
      </c>
      <c r="C52" s="47" t="str">
        <f t="shared" si="1"/>
        <v>Q4-2024</v>
      </c>
      <c r="D52" s="37">
        <v>45618</v>
      </c>
      <c r="E52" s="16">
        <f t="shared" si="0"/>
        <v>16</v>
      </c>
      <c r="F52" s="38" t="s">
        <v>648</v>
      </c>
      <c r="G52" s="38" t="s">
        <v>653</v>
      </c>
      <c r="H52" s="38" t="s">
        <v>667</v>
      </c>
      <c r="I52" s="38" t="s">
        <v>703</v>
      </c>
      <c r="J52" s="38" t="s">
        <v>710</v>
      </c>
      <c r="K52" s="38" t="s">
        <v>726</v>
      </c>
      <c r="L52" s="38" t="s">
        <v>733</v>
      </c>
      <c r="M52" s="39" t="s">
        <v>784</v>
      </c>
      <c r="N52" s="40">
        <v>1454.11</v>
      </c>
      <c r="O52" s="40">
        <v>2629.75</v>
      </c>
      <c r="P52" s="30" t="str">
        <f t="shared" si="2"/>
        <v>High</v>
      </c>
      <c r="Q52" s="44">
        <v>0.29199999999999998</v>
      </c>
      <c r="R52" s="42" t="str">
        <f t="shared" si="3"/>
        <v>High</v>
      </c>
      <c r="S52" s="16">
        <v>8</v>
      </c>
      <c r="T52" s="30">
        <v>14894.903999999999</v>
      </c>
      <c r="U52" s="30">
        <v>11632.88</v>
      </c>
      <c r="V52" s="30">
        <v>3262.0239999999994</v>
      </c>
      <c r="W52" s="30">
        <v>0.21900268709351867</v>
      </c>
      <c r="X52" t="str">
        <f t="shared" si="4"/>
        <v>Delayed</v>
      </c>
      <c r="Y52" t="str">
        <f t="shared" si="5"/>
        <v>Non-compliant Discount</v>
      </c>
      <c r="Z52" s="9">
        <f>MIN(Q52,'Scenario Modelling'!$B$2)</f>
        <v>0.2</v>
      </c>
      <c r="AA52">
        <f t="shared" si="6"/>
        <v>2103.8000000000002</v>
      </c>
      <c r="AB52">
        <f>N52*(1+'Scenario Modelling'!$B$3)</f>
        <v>1599.521</v>
      </c>
      <c r="AC52">
        <f>ROUNDUP(S52*(1+'Scenario Modelling'!$B$4),0)</f>
        <v>9</v>
      </c>
      <c r="AD52">
        <f t="shared" si="7"/>
        <v>18934.2</v>
      </c>
      <c r="AE52">
        <f t="shared" si="8"/>
        <v>4538.5110000000022</v>
      </c>
    </row>
    <row r="53" spans="1:31" x14ac:dyDescent="0.3">
      <c r="A53" s="31" t="s">
        <v>66</v>
      </c>
      <c r="B53" s="48">
        <v>45582</v>
      </c>
      <c r="C53" s="47" t="str">
        <f t="shared" si="1"/>
        <v>Q4-2024</v>
      </c>
      <c r="D53" s="32">
        <v>45602</v>
      </c>
      <c r="E53" s="17">
        <f t="shared" si="0"/>
        <v>20</v>
      </c>
      <c r="F53" s="33" t="s">
        <v>647</v>
      </c>
      <c r="G53" s="33" t="s">
        <v>654</v>
      </c>
      <c r="H53" s="33" t="s">
        <v>668</v>
      </c>
      <c r="I53" s="33" t="s">
        <v>706</v>
      </c>
      <c r="J53" s="33" t="s">
        <v>710</v>
      </c>
      <c r="K53" s="33" t="s">
        <v>719</v>
      </c>
      <c r="L53" s="33" t="s">
        <v>732</v>
      </c>
      <c r="M53" s="34" t="s">
        <v>785</v>
      </c>
      <c r="N53" s="35">
        <v>72.94</v>
      </c>
      <c r="O53" s="35">
        <v>106.3</v>
      </c>
      <c r="P53" s="30" t="str">
        <f t="shared" si="2"/>
        <v>Low</v>
      </c>
      <c r="Q53" s="43">
        <v>0.29499999999999998</v>
      </c>
      <c r="R53" s="42" t="str">
        <f t="shared" si="3"/>
        <v>High</v>
      </c>
      <c r="S53" s="17">
        <v>8</v>
      </c>
      <c r="T53" s="30">
        <v>599.53200000000004</v>
      </c>
      <c r="U53" s="30">
        <v>583.52</v>
      </c>
      <c r="V53" s="30">
        <v>16.012000000000057</v>
      </c>
      <c r="W53" s="30">
        <v>2.6707498515508857E-2</v>
      </c>
      <c r="X53" t="str">
        <f t="shared" si="4"/>
        <v>Delayed</v>
      </c>
      <c r="Y53" t="str">
        <f t="shared" si="5"/>
        <v>Non-compliant Discount</v>
      </c>
      <c r="Z53" s="9">
        <f>MIN(Q53,'Scenario Modelling'!$B$2)</f>
        <v>0.2</v>
      </c>
      <c r="AA53">
        <f t="shared" si="6"/>
        <v>85.04</v>
      </c>
      <c r="AB53">
        <f>N53*(1+'Scenario Modelling'!$B$3)</f>
        <v>80.234000000000009</v>
      </c>
      <c r="AC53">
        <f>ROUNDUP(S53*(1+'Scenario Modelling'!$B$4),0)</f>
        <v>9</v>
      </c>
      <c r="AD53">
        <f t="shared" si="7"/>
        <v>765.36</v>
      </c>
      <c r="AE53">
        <f t="shared" si="8"/>
        <v>43.253999999999976</v>
      </c>
    </row>
    <row r="54" spans="1:31" x14ac:dyDescent="0.3">
      <c r="A54" s="36" t="s">
        <v>67</v>
      </c>
      <c r="B54" s="49">
        <v>45016</v>
      </c>
      <c r="C54" s="47" t="str">
        <f t="shared" si="1"/>
        <v>Q1-2023</v>
      </c>
      <c r="D54" s="37">
        <v>45021</v>
      </c>
      <c r="E54" s="16">
        <f t="shared" si="0"/>
        <v>5</v>
      </c>
      <c r="F54" s="38" t="s">
        <v>646</v>
      </c>
      <c r="G54" s="38" t="s">
        <v>650</v>
      </c>
      <c r="H54" s="38" t="s">
        <v>678</v>
      </c>
      <c r="I54" s="38" t="s">
        <v>702</v>
      </c>
      <c r="J54" s="38" t="s">
        <v>709</v>
      </c>
      <c r="K54" s="38" t="s">
        <v>717</v>
      </c>
      <c r="L54" s="38" t="s">
        <v>731</v>
      </c>
      <c r="M54" s="39" t="s">
        <v>786</v>
      </c>
      <c r="N54" s="40">
        <v>533.26</v>
      </c>
      <c r="O54" s="40">
        <v>385.72</v>
      </c>
      <c r="P54" s="30" t="str">
        <f t="shared" si="2"/>
        <v>Low</v>
      </c>
      <c r="Q54" s="44">
        <v>0</v>
      </c>
      <c r="R54" s="42" t="str">
        <f t="shared" si="3"/>
        <v>Low</v>
      </c>
      <c r="S54" s="16">
        <v>15</v>
      </c>
      <c r="T54" s="30">
        <v>5785.8</v>
      </c>
      <c r="U54" s="30">
        <v>7998.9</v>
      </c>
      <c r="V54" s="30">
        <v>-2213.0999999999995</v>
      </c>
      <c r="W54" s="30">
        <v>-0.38250544436378708</v>
      </c>
      <c r="X54" t="str">
        <f t="shared" si="4"/>
        <v>On-time</v>
      </c>
      <c r="Y54" t="str">
        <f t="shared" si="5"/>
        <v>Compliant Discount</v>
      </c>
      <c r="Z54" s="9">
        <f>MIN(Q54,'Scenario Modelling'!$B$2)</f>
        <v>0</v>
      </c>
      <c r="AA54">
        <f t="shared" si="6"/>
        <v>385.72</v>
      </c>
      <c r="AB54">
        <f>N54*(1+'Scenario Modelling'!$B$3)</f>
        <v>586.58600000000001</v>
      </c>
      <c r="AC54">
        <f>ROUNDUP(S54*(1+'Scenario Modelling'!$B$4),0)</f>
        <v>16</v>
      </c>
      <c r="AD54">
        <f t="shared" si="7"/>
        <v>6171.52</v>
      </c>
      <c r="AE54">
        <f t="shared" si="8"/>
        <v>-3213.8559999999998</v>
      </c>
    </row>
    <row r="55" spans="1:31" x14ac:dyDescent="0.3">
      <c r="A55" s="31" t="s">
        <v>68</v>
      </c>
      <c r="B55" s="48">
        <v>45678</v>
      </c>
      <c r="C55" s="47" t="str">
        <f t="shared" si="1"/>
        <v>Q1-2025</v>
      </c>
      <c r="D55" s="32">
        <v>45704</v>
      </c>
      <c r="E55" s="17">
        <f t="shared" si="0"/>
        <v>26</v>
      </c>
      <c r="F55" s="33" t="s">
        <v>649</v>
      </c>
      <c r="G55" s="33" t="s">
        <v>657</v>
      </c>
      <c r="H55" s="33" t="s">
        <v>679</v>
      </c>
      <c r="I55" s="33" t="s">
        <v>701</v>
      </c>
      <c r="J55" s="33" t="s">
        <v>710</v>
      </c>
      <c r="K55" s="33" t="s">
        <v>719</v>
      </c>
      <c r="L55" s="33" t="s">
        <v>731</v>
      </c>
      <c r="M55" s="34" t="s">
        <v>787</v>
      </c>
      <c r="N55" s="35">
        <v>204.11</v>
      </c>
      <c r="O55" s="35">
        <v>236.87</v>
      </c>
      <c r="P55" s="30" t="str">
        <f t="shared" si="2"/>
        <v>Low</v>
      </c>
      <c r="Q55" s="43">
        <v>0.182</v>
      </c>
      <c r="R55" s="42" t="str">
        <f t="shared" si="3"/>
        <v>Medium</v>
      </c>
      <c r="S55" s="17">
        <v>13</v>
      </c>
      <c r="T55" s="30">
        <v>2518.8755800000004</v>
      </c>
      <c r="U55" s="30">
        <v>2653.4300000000003</v>
      </c>
      <c r="V55" s="30">
        <v>-134.55441999999994</v>
      </c>
      <c r="W55" s="30">
        <v>-5.3418446337075494E-2</v>
      </c>
      <c r="X55" t="str">
        <f t="shared" si="4"/>
        <v>Delayed</v>
      </c>
      <c r="Y55" t="str">
        <f t="shared" si="5"/>
        <v>Compliant Discount</v>
      </c>
      <c r="Z55" s="9">
        <f>MIN(Q55,'Scenario Modelling'!$B$2)</f>
        <v>0.182</v>
      </c>
      <c r="AA55">
        <f t="shared" si="6"/>
        <v>193.75966000000003</v>
      </c>
      <c r="AB55">
        <f>N55*(1+'Scenario Modelling'!$B$3)</f>
        <v>224.52100000000004</v>
      </c>
      <c r="AC55">
        <f>ROUNDUP(S55*(1+'Scenario Modelling'!$B$4),0)</f>
        <v>14</v>
      </c>
      <c r="AD55">
        <f t="shared" si="7"/>
        <v>2712.6352400000005</v>
      </c>
      <c r="AE55">
        <f t="shared" si="8"/>
        <v>-430.65876000000026</v>
      </c>
    </row>
    <row r="56" spans="1:31" x14ac:dyDescent="0.3">
      <c r="A56" s="36" t="s">
        <v>69</v>
      </c>
      <c r="B56" s="49">
        <v>45168</v>
      </c>
      <c r="C56" s="47" t="str">
        <f t="shared" si="1"/>
        <v>Q3-2023</v>
      </c>
      <c r="D56" s="37">
        <v>45170</v>
      </c>
      <c r="E56" s="16">
        <f t="shared" si="0"/>
        <v>2</v>
      </c>
      <c r="F56" s="38" t="s">
        <v>649</v>
      </c>
      <c r="G56" s="38" t="s">
        <v>656</v>
      </c>
      <c r="H56" s="38" t="s">
        <v>684</v>
      </c>
      <c r="I56" s="38" t="s">
        <v>701</v>
      </c>
      <c r="J56" s="38" t="s">
        <v>711</v>
      </c>
      <c r="K56" s="38" t="s">
        <v>725</v>
      </c>
      <c r="L56" s="38" t="s">
        <v>729</v>
      </c>
      <c r="M56" s="39" t="s">
        <v>788</v>
      </c>
      <c r="N56" s="40">
        <v>44.42</v>
      </c>
      <c r="O56" s="40">
        <v>41.9</v>
      </c>
      <c r="P56" s="30" t="str">
        <f t="shared" si="2"/>
        <v>Low</v>
      </c>
      <c r="Q56" s="44">
        <v>0.14399999999999999</v>
      </c>
      <c r="R56" s="42" t="str">
        <f t="shared" si="3"/>
        <v>Medium</v>
      </c>
      <c r="S56" s="16">
        <v>6</v>
      </c>
      <c r="T56" s="30">
        <v>215.19839999999996</v>
      </c>
      <c r="U56" s="30">
        <v>266.52</v>
      </c>
      <c r="V56" s="30">
        <v>-51.321600000000018</v>
      </c>
      <c r="W56" s="30">
        <v>-0.23848504449847224</v>
      </c>
      <c r="X56" t="str">
        <f t="shared" si="4"/>
        <v>On-time</v>
      </c>
      <c r="Y56" t="str">
        <f t="shared" si="5"/>
        <v>Compliant Discount</v>
      </c>
      <c r="Z56" s="9">
        <f>MIN(Q56,'Scenario Modelling'!$B$2)</f>
        <v>0.14399999999999999</v>
      </c>
      <c r="AA56">
        <f t="shared" si="6"/>
        <v>35.866399999999999</v>
      </c>
      <c r="AB56">
        <f>N56*(1+'Scenario Modelling'!$B$3)</f>
        <v>48.862000000000009</v>
      </c>
      <c r="AC56">
        <f>ROUNDUP(S56*(1+'Scenario Modelling'!$B$4),0)</f>
        <v>7</v>
      </c>
      <c r="AD56">
        <f t="shared" si="7"/>
        <v>251.06479999999999</v>
      </c>
      <c r="AE56">
        <f t="shared" si="8"/>
        <v>-90.969200000000072</v>
      </c>
    </row>
    <row r="57" spans="1:31" x14ac:dyDescent="0.3">
      <c r="A57" s="31" t="s">
        <v>70</v>
      </c>
      <c r="B57" s="48">
        <v>45753</v>
      </c>
      <c r="C57" s="47" t="str">
        <f t="shared" si="1"/>
        <v>Q2-2025</v>
      </c>
      <c r="D57" s="32">
        <v>45777</v>
      </c>
      <c r="E57" s="17">
        <f t="shared" si="0"/>
        <v>24</v>
      </c>
      <c r="F57" s="33" t="s">
        <v>648</v>
      </c>
      <c r="G57" s="33" t="s">
        <v>655</v>
      </c>
      <c r="H57" s="33" t="s">
        <v>672</v>
      </c>
      <c r="I57" s="33" t="s">
        <v>702</v>
      </c>
      <c r="J57" s="33" t="s">
        <v>708</v>
      </c>
      <c r="K57" s="33" t="s">
        <v>723</v>
      </c>
      <c r="L57" s="33" t="s">
        <v>732</v>
      </c>
      <c r="M57" s="34" t="s">
        <v>789</v>
      </c>
      <c r="N57" s="35">
        <v>855.78</v>
      </c>
      <c r="O57" s="35">
        <v>977.38</v>
      </c>
      <c r="P57" s="30" t="str">
        <f t="shared" si="2"/>
        <v>Medium</v>
      </c>
      <c r="Q57" s="43">
        <v>0.14699999999999999</v>
      </c>
      <c r="R57" s="42" t="str">
        <f t="shared" si="3"/>
        <v>Medium</v>
      </c>
      <c r="S57" s="17">
        <v>38</v>
      </c>
      <c r="T57" s="30">
        <v>31680.795320000001</v>
      </c>
      <c r="U57" s="30">
        <v>32519.64</v>
      </c>
      <c r="V57" s="30">
        <v>-838.84467999999833</v>
      </c>
      <c r="W57" s="30">
        <v>-2.6478018355506307E-2</v>
      </c>
      <c r="X57" t="str">
        <f t="shared" si="4"/>
        <v>Delayed</v>
      </c>
      <c r="Y57" t="str">
        <f t="shared" si="5"/>
        <v>Compliant Discount</v>
      </c>
      <c r="Z57" s="9">
        <f>MIN(Q57,'Scenario Modelling'!$B$2)</f>
        <v>0.14699999999999999</v>
      </c>
      <c r="AA57">
        <f t="shared" si="6"/>
        <v>833.70514000000003</v>
      </c>
      <c r="AB57">
        <f>N57*(1+'Scenario Modelling'!$B$3)</f>
        <v>941.35800000000006</v>
      </c>
      <c r="AC57">
        <f>ROUNDUP(S57*(1+'Scenario Modelling'!$B$4),0)</f>
        <v>40</v>
      </c>
      <c r="AD57">
        <f t="shared" si="7"/>
        <v>33348.205600000001</v>
      </c>
      <c r="AE57">
        <f t="shared" si="8"/>
        <v>-4306.1144000000013</v>
      </c>
    </row>
    <row r="58" spans="1:31" x14ac:dyDescent="0.3">
      <c r="A58" s="36" t="s">
        <v>71</v>
      </c>
      <c r="B58" s="49">
        <v>45697</v>
      </c>
      <c r="C58" s="47" t="str">
        <f t="shared" si="1"/>
        <v>Q1-2025</v>
      </c>
      <c r="D58" s="37">
        <v>45717</v>
      </c>
      <c r="E58" s="16">
        <f t="shared" si="0"/>
        <v>20</v>
      </c>
      <c r="F58" s="38" t="s">
        <v>648</v>
      </c>
      <c r="G58" s="38" t="s">
        <v>655</v>
      </c>
      <c r="H58" s="38" t="s">
        <v>670</v>
      </c>
      <c r="I58" s="38" t="s">
        <v>701</v>
      </c>
      <c r="J58" s="38" t="s">
        <v>710</v>
      </c>
      <c r="K58" s="38" t="s">
        <v>717</v>
      </c>
      <c r="L58" s="38" t="s">
        <v>731</v>
      </c>
      <c r="M58" s="39" t="s">
        <v>790</v>
      </c>
      <c r="N58" s="40">
        <v>1154.6400000000001</v>
      </c>
      <c r="O58" s="40">
        <v>2794.13</v>
      </c>
      <c r="P58" s="30" t="str">
        <f t="shared" si="2"/>
        <v>High</v>
      </c>
      <c r="Q58" s="44">
        <v>3.5000000000000003E-2</v>
      </c>
      <c r="R58" s="42" t="str">
        <f t="shared" si="3"/>
        <v>Low</v>
      </c>
      <c r="S58" s="16">
        <v>11</v>
      </c>
      <c r="T58" s="30">
        <v>29659.68995</v>
      </c>
      <c r="U58" s="30">
        <v>12701.04</v>
      </c>
      <c r="V58" s="30">
        <v>16958.649949999999</v>
      </c>
      <c r="W58" s="30">
        <v>0.57177435025749479</v>
      </c>
      <c r="X58" t="str">
        <f t="shared" si="4"/>
        <v>Delayed</v>
      </c>
      <c r="Y58" t="str">
        <f t="shared" si="5"/>
        <v>Compliant Discount</v>
      </c>
      <c r="Z58" s="9">
        <f>MIN(Q58,'Scenario Modelling'!$B$2)</f>
        <v>3.5000000000000003E-2</v>
      </c>
      <c r="AA58">
        <f t="shared" si="6"/>
        <v>2696.33545</v>
      </c>
      <c r="AB58">
        <f>N58*(1+'Scenario Modelling'!$B$3)</f>
        <v>1270.1040000000003</v>
      </c>
      <c r="AC58">
        <f>ROUNDUP(S58*(1+'Scenario Modelling'!$B$4),0)</f>
        <v>12</v>
      </c>
      <c r="AD58">
        <f t="shared" si="7"/>
        <v>32356.025399999999</v>
      </c>
      <c r="AE58">
        <f t="shared" si="8"/>
        <v>17114.777399999999</v>
      </c>
    </row>
    <row r="59" spans="1:31" x14ac:dyDescent="0.3">
      <c r="A59" s="31" t="s">
        <v>72</v>
      </c>
      <c r="B59" s="48">
        <v>45643</v>
      </c>
      <c r="C59" s="47" t="str">
        <f t="shared" si="1"/>
        <v>Q4-2024</v>
      </c>
      <c r="D59" s="32">
        <v>45644</v>
      </c>
      <c r="E59" s="17">
        <f t="shared" si="0"/>
        <v>1</v>
      </c>
      <c r="F59" s="33" t="s">
        <v>649</v>
      </c>
      <c r="G59" s="33" t="s">
        <v>656</v>
      </c>
      <c r="H59" s="33" t="s">
        <v>684</v>
      </c>
      <c r="I59" s="33" t="s">
        <v>702</v>
      </c>
      <c r="J59" s="33" t="s">
        <v>707</v>
      </c>
      <c r="K59" s="33" t="s">
        <v>716</v>
      </c>
      <c r="L59" s="33" t="s">
        <v>733</v>
      </c>
      <c r="M59" s="34" t="s">
        <v>791</v>
      </c>
      <c r="N59" s="35">
        <v>346.82</v>
      </c>
      <c r="O59" s="35">
        <v>701.95</v>
      </c>
      <c r="P59" s="30" t="str">
        <f t="shared" si="2"/>
        <v>Low</v>
      </c>
      <c r="Q59" s="43">
        <v>0.14699999999999999</v>
      </c>
      <c r="R59" s="42" t="str">
        <f t="shared" si="3"/>
        <v>Medium</v>
      </c>
      <c r="S59" s="17">
        <v>8</v>
      </c>
      <c r="T59" s="30">
        <v>4790.1068000000005</v>
      </c>
      <c r="U59" s="30">
        <v>2774.56</v>
      </c>
      <c r="V59" s="30">
        <v>2015.5468000000005</v>
      </c>
      <c r="W59" s="30">
        <v>0.42077283120284509</v>
      </c>
      <c r="X59" t="str">
        <f t="shared" si="4"/>
        <v>On-time</v>
      </c>
      <c r="Y59" t="str">
        <f t="shared" si="5"/>
        <v>Compliant Discount</v>
      </c>
      <c r="Z59" s="9">
        <f>MIN(Q59,'Scenario Modelling'!$B$2)</f>
        <v>0.14699999999999999</v>
      </c>
      <c r="AA59">
        <f t="shared" si="6"/>
        <v>598.76335000000006</v>
      </c>
      <c r="AB59">
        <f>N59*(1+'Scenario Modelling'!$B$3)</f>
        <v>381.50200000000001</v>
      </c>
      <c r="AC59">
        <f>ROUNDUP(S59*(1+'Scenario Modelling'!$B$4),0)</f>
        <v>9</v>
      </c>
      <c r="AD59">
        <f t="shared" si="7"/>
        <v>5388.8701500000006</v>
      </c>
      <c r="AE59">
        <f t="shared" si="8"/>
        <v>1955.3521500000004</v>
      </c>
    </row>
    <row r="60" spans="1:31" x14ac:dyDescent="0.3">
      <c r="A60" s="36" t="s">
        <v>73</v>
      </c>
      <c r="B60" s="49">
        <v>45817</v>
      </c>
      <c r="C60" s="47" t="str">
        <f t="shared" si="1"/>
        <v>Q2-2025</v>
      </c>
      <c r="D60" s="37">
        <v>45826</v>
      </c>
      <c r="E60" s="16">
        <f t="shared" si="0"/>
        <v>9</v>
      </c>
      <c r="F60" s="38" t="s">
        <v>649</v>
      </c>
      <c r="G60" s="38" t="s">
        <v>657</v>
      </c>
      <c r="H60" s="38" t="s">
        <v>673</v>
      </c>
      <c r="I60" s="38" t="s">
        <v>705</v>
      </c>
      <c r="J60" s="38" t="s">
        <v>709</v>
      </c>
      <c r="K60" s="38" t="s">
        <v>722</v>
      </c>
      <c r="L60" s="38" t="s">
        <v>733</v>
      </c>
      <c r="M60" s="39" t="s">
        <v>792</v>
      </c>
      <c r="N60" s="40">
        <v>1225.5</v>
      </c>
      <c r="O60" s="40">
        <v>5.27</v>
      </c>
      <c r="P60" s="30" t="str">
        <f t="shared" si="2"/>
        <v>Low</v>
      </c>
      <c r="Q60" s="44">
        <v>7.4999999999999997E-2</v>
      </c>
      <c r="R60" s="42" t="str">
        <f t="shared" si="3"/>
        <v>Low</v>
      </c>
      <c r="S60" s="16">
        <v>56</v>
      </c>
      <c r="T60" s="30">
        <v>272.98599999999999</v>
      </c>
      <c r="U60" s="30">
        <v>68628</v>
      </c>
      <c r="V60" s="30">
        <v>-68355.013999999996</v>
      </c>
      <c r="W60" s="30">
        <v>-250.39750756449047</v>
      </c>
      <c r="X60" t="str">
        <f t="shared" si="4"/>
        <v>Delayed</v>
      </c>
      <c r="Y60" t="str">
        <f t="shared" si="5"/>
        <v>Compliant Discount</v>
      </c>
      <c r="Z60" s="9">
        <f>MIN(Q60,'Scenario Modelling'!$B$2)</f>
        <v>7.4999999999999997E-2</v>
      </c>
      <c r="AA60">
        <f t="shared" si="6"/>
        <v>4.8747499999999997</v>
      </c>
      <c r="AB60">
        <f>N60*(1+'Scenario Modelling'!$B$3)</f>
        <v>1348.0500000000002</v>
      </c>
      <c r="AC60">
        <f>ROUNDUP(S60*(1+'Scenario Modelling'!$B$4),0)</f>
        <v>59</v>
      </c>
      <c r="AD60">
        <f t="shared" si="7"/>
        <v>287.61025000000001</v>
      </c>
      <c r="AE60">
        <f t="shared" si="8"/>
        <v>-79247.339750000014</v>
      </c>
    </row>
    <row r="61" spans="1:31" x14ac:dyDescent="0.3">
      <c r="A61" s="31" t="s">
        <v>74</v>
      </c>
      <c r="B61" s="48">
        <v>45779</v>
      </c>
      <c r="C61" s="47" t="str">
        <f t="shared" si="1"/>
        <v>Q2-2025</v>
      </c>
      <c r="D61" s="32">
        <v>45790</v>
      </c>
      <c r="E61" s="17">
        <f t="shared" si="0"/>
        <v>11</v>
      </c>
      <c r="F61" s="33" t="s">
        <v>646</v>
      </c>
      <c r="G61" s="33" t="s">
        <v>650</v>
      </c>
      <c r="H61" s="33" t="s">
        <v>678</v>
      </c>
      <c r="I61" s="33" t="s">
        <v>705</v>
      </c>
      <c r="J61" s="33" t="s">
        <v>708</v>
      </c>
      <c r="K61" s="33" t="s">
        <v>720</v>
      </c>
      <c r="L61" s="33" t="s">
        <v>733</v>
      </c>
      <c r="M61" s="34" t="s">
        <v>793</v>
      </c>
      <c r="N61" s="35">
        <v>1057.5999999999999</v>
      </c>
      <c r="O61" s="35">
        <v>1437.06</v>
      </c>
      <c r="P61" s="30" t="str">
        <f t="shared" si="2"/>
        <v>Medium</v>
      </c>
      <c r="Q61" s="43">
        <v>0.20499999999999999</v>
      </c>
      <c r="R61" s="42" t="str">
        <f t="shared" si="3"/>
        <v>High</v>
      </c>
      <c r="S61" s="17">
        <v>4</v>
      </c>
      <c r="T61" s="30">
        <v>4569.8508000000002</v>
      </c>
      <c r="U61" s="30">
        <v>4230.3999999999996</v>
      </c>
      <c r="V61" s="30">
        <v>339.45080000000053</v>
      </c>
      <c r="W61" s="30">
        <v>7.4280499485891424E-2</v>
      </c>
      <c r="X61" t="str">
        <f t="shared" si="4"/>
        <v>Delayed</v>
      </c>
      <c r="Y61" t="str">
        <f t="shared" si="5"/>
        <v>Non-compliant Discount</v>
      </c>
      <c r="Z61" s="9">
        <f>MIN(Q61,'Scenario Modelling'!$B$2)</f>
        <v>0.2</v>
      </c>
      <c r="AA61">
        <f t="shared" si="6"/>
        <v>1149.6479999999999</v>
      </c>
      <c r="AB61">
        <f>N61*(1+'Scenario Modelling'!$B$3)</f>
        <v>1163.3599999999999</v>
      </c>
      <c r="AC61">
        <f>ROUNDUP(S61*(1+'Scenario Modelling'!$B$4),0)</f>
        <v>5</v>
      </c>
      <c r="AD61">
        <f t="shared" si="7"/>
        <v>5748.24</v>
      </c>
      <c r="AE61">
        <f t="shared" si="8"/>
        <v>-68.559999999999945</v>
      </c>
    </row>
    <row r="62" spans="1:31" x14ac:dyDescent="0.3">
      <c r="A62" s="36" t="s">
        <v>75</v>
      </c>
      <c r="B62" s="49">
        <v>45361</v>
      </c>
      <c r="C62" s="47" t="str">
        <f t="shared" si="1"/>
        <v>Q1-2024</v>
      </c>
      <c r="D62" s="37">
        <v>45391</v>
      </c>
      <c r="E62" s="16">
        <f t="shared" si="0"/>
        <v>30</v>
      </c>
      <c r="F62" s="38" t="s">
        <v>649</v>
      </c>
      <c r="G62" s="38" t="s">
        <v>657</v>
      </c>
      <c r="H62" s="38" t="s">
        <v>679</v>
      </c>
      <c r="I62" s="38" t="s">
        <v>701</v>
      </c>
      <c r="J62" s="38" t="s">
        <v>711</v>
      </c>
      <c r="K62" s="38" t="s">
        <v>714</v>
      </c>
      <c r="L62" s="38" t="s">
        <v>727</v>
      </c>
      <c r="M62" s="39" t="s">
        <v>794</v>
      </c>
      <c r="N62" s="40">
        <v>1176.56</v>
      </c>
      <c r="O62" s="40">
        <v>1911.89</v>
      </c>
      <c r="P62" s="30" t="str">
        <f t="shared" si="2"/>
        <v>High</v>
      </c>
      <c r="Q62" s="44">
        <v>0.11899999999999999</v>
      </c>
      <c r="R62" s="42" t="str">
        <f t="shared" si="3"/>
        <v>Medium</v>
      </c>
      <c r="S62" s="16">
        <v>20</v>
      </c>
      <c r="T62" s="30">
        <v>33687.501800000005</v>
      </c>
      <c r="U62" s="30">
        <v>23531.199999999997</v>
      </c>
      <c r="V62" s="30">
        <v>10156.301800000008</v>
      </c>
      <c r="W62" s="30">
        <v>0.30148575160892477</v>
      </c>
      <c r="X62" t="str">
        <f t="shared" si="4"/>
        <v>Delayed</v>
      </c>
      <c r="Y62" t="str">
        <f t="shared" si="5"/>
        <v>Compliant Discount</v>
      </c>
      <c r="Z62" s="9">
        <f>MIN(Q62,'Scenario Modelling'!$B$2)</f>
        <v>0.11899999999999999</v>
      </c>
      <c r="AA62">
        <f t="shared" si="6"/>
        <v>1684.37509</v>
      </c>
      <c r="AB62">
        <f>N62*(1+'Scenario Modelling'!$B$3)</f>
        <v>1294.2160000000001</v>
      </c>
      <c r="AC62">
        <f>ROUNDUP(S62*(1+'Scenario Modelling'!$B$4),0)</f>
        <v>21</v>
      </c>
      <c r="AD62">
        <f t="shared" si="7"/>
        <v>35371.87689</v>
      </c>
      <c r="AE62">
        <f t="shared" si="8"/>
        <v>8193.3408899999977</v>
      </c>
    </row>
    <row r="63" spans="1:31" x14ac:dyDescent="0.3">
      <c r="A63" s="31" t="s">
        <v>76</v>
      </c>
      <c r="B63" s="48">
        <v>45910</v>
      </c>
      <c r="C63" s="47" t="str">
        <f t="shared" si="1"/>
        <v>Q3-2025</v>
      </c>
      <c r="D63" s="32">
        <v>45912</v>
      </c>
      <c r="E63" s="17">
        <f t="shared" si="0"/>
        <v>2</v>
      </c>
      <c r="F63" s="33" t="s">
        <v>647</v>
      </c>
      <c r="G63" s="33" t="s">
        <v>652</v>
      </c>
      <c r="H63" s="33" t="s">
        <v>689</v>
      </c>
      <c r="I63" s="33" t="s">
        <v>704</v>
      </c>
      <c r="J63" s="33" t="s">
        <v>708</v>
      </c>
      <c r="K63" s="33" t="s">
        <v>719</v>
      </c>
      <c r="L63" s="33" t="s">
        <v>727</v>
      </c>
      <c r="M63" s="34" t="s">
        <v>795</v>
      </c>
      <c r="N63" s="35">
        <v>1470.15</v>
      </c>
      <c r="O63" s="35">
        <v>2593.7800000000002</v>
      </c>
      <c r="P63" s="30" t="str">
        <f t="shared" si="2"/>
        <v>High</v>
      </c>
      <c r="Q63" s="43">
        <v>0.11</v>
      </c>
      <c r="R63" s="42" t="str">
        <f t="shared" si="3"/>
        <v>Medium</v>
      </c>
      <c r="S63" s="17">
        <v>12</v>
      </c>
      <c r="T63" s="30">
        <v>27701.570400000001</v>
      </c>
      <c r="U63" s="30">
        <v>17641.800000000003</v>
      </c>
      <c r="V63" s="30">
        <v>10059.770399999998</v>
      </c>
      <c r="W63" s="30">
        <v>0.36314801849645306</v>
      </c>
      <c r="X63" t="str">
        <f t="shared" si="4"/>
        <v>On-time</v>
      </c>
      <c r="Y63" t="str">
        <f t="shared" si="5"/>
        <v>Compliant Discount</v>
      </c>
      <c r="Z63" s="9">
        <f>MIN(Q63,'Scenario Modelling'!$B$2)</f>
        <v>0.11</v>
      </c>
      <c r="AA63">
        <f t="shared" si="6"/>
        <v>2308.4642000000003</v>
      </c>
      <c r="AB63">
        <f>N63*(1+'Scenario Modelling'!$B$3)</f>
        <v>1617.1650000000002</v>
      </c>
      <c r="AC63">
        <f>ROUNDUP(S63*(1+'Scenario Modelling'!$B$4),0)</f>
        <v>13</v>
      </c>
      <c r="AD63">
        <f t="shared" si="7"/>
        <v>30010.034600000006</v>
      </c>
      <c r="AE63">
        <f t="shared" si="8"/>
        <v>8986.8896000000022</v>
      </c>
    </row>
    <row r="64" spans="1:31" x14ac:dyDescent="0.3">
      <c r="A64" s="36" t="s">
        <v>77</v>
      </c>
      <c r="B64" s="49">
        <v>45774</v>
      </c>
      <c r="C64" s="47" t="str">
        <f t="shared" si="1"/>
        <v>Q2-2025</v>
      </c>
      <c r="D64" s="37">
        <v>45802</v>
      </c>
      <c r="E64" s="16">
        <f t="shared" si="0"/>
        <v>28</v>
      </c>
      <c r="F64" s="38" t="s">
        <v>649</v>
      </c>
      <c r="G64" s="38" t="s">
        <v>657</v>
      </c>
      <c r="H64" s="38" t="s">
        <v>690</v>
      </c>
      <c r="I64" s="38" t="s">
        <v>705</v>
      </c>
      <c r="J64" s="38" t="s">
        <v>709</v>
      </c>
      <c r="K64" s="38" t="s">
        <v>714</v>
      </c>
      <c r="L64" s="38" t="s">
        <v>730</v>
      </c>
      <c r="M64" s="39" t="s">
        <v>796</v>
      </c>
      <c r="N64" s="40">
        <v>603.45000000000005</v>
      </c>
      <c r="O64" s="40">
        <v>1244.08</v>
      </c>
      <c r="P64" s="30" t="str">
        <f t="shared" si="2"/>
        <v>Medium</v>
      </c>
      <c r="Q64" s="44">
        <v>0.2</v>
      </c>
      <c r="R64" s="42" t="str">
        <f t="shared" si="3"/>
        <v>Medium</v>
      </c>
      <c r="S64" s="16">
        <v>11</v>
      </c>
      <c r="T64" s="30">
        <v>10947.904</v>
      </c>
      <c r="U64" s="30">
        <v>6637.9500000000007</v>
      </c>
      <c r="V64" s="30">
        <v>4309.9539999999997</v>
      </c>
      <c r="W64" s="30">
        <v>0.39367846119220623</v>
      </c>
      <c r="X64" t="str">
        <f t="shared" si="4"/>
        <v>Delayed</v>
      </c>
      <c r="Y64" t="str">
        <f t="shared" si="5"/>
        <v>Compliant Discount</v>
      </c>
      <c r="Z64" s="9">
        <f>MIN(Q64,'Scenario Modelling'!$B$2)</f>
        <v>0.2</v>
      </c>
      <c r="AA64">
        <f t="shared" si="6"/>
        <v>995.26400000000001</v>
      </c>
      <c r="AB64">
        <f>N64*(1+'Scenario Modelling'!$B$3)</f>
        <v>663.79500000000007</v>
      </c>
      <c r="AC64">
        <f>ROUNDUP(S64*(1+'Scenario Modelling'!$B$4),0)</f>
        <v>12</v>
      </c>
      <c r="AD64">
        <f t="shared" si="7"/>
        <v>11943.168</v>
      </c>
      <c r="AE64">
        <f t="shared" si="8"/>
        <v>3977.6279999999992</v>
      </c>
    </row>
    <row r="65" spans="1:31" x14ac:dyDescent="0.3">
      <c r="A65" s="31" t="s">
        <v>78</v>
      </c>
      <c r="B65" s="48">
        <v>45598</v>
      </c>
      <c r="C65" s="47" t="str">
        <f t="shared" si="1"/>
        <v>Q4-2024</v>
      </c>
      <c r="D65" s="32">
        <v>45614</v>
      </c>
      <c r="E65" s="17">
        <f t="shared" si="0"/>
        <v>16</v>
      </c>
      <c r="F65" s="33" t="s">
        <v>647</v>
      </c>
      <c r="G65" s="33" t="s">
        <v>654</v>
      </c>
      <c r="H65" s="33" t="s">
        <v>691</v>
      </c>
      <c r="I65" s="33" t="s">
        <v>705</v>
      </c>
      <c r="J65" s="33" t="s">
        <v>710</v>
      </c>
      <c r="K65" s="33" t="s">
        <v>719</v>
      </c>
      <c r="L65" s="33" t="s">
        <v>732</v>
      </c>
      <c r="M65" s="34" t="s">
        <v>797</v>
      </c>
      <c r="N65" s="35">
        <v>1233.58</v>
      </c>
      <c r="O65" s="35">
        <v>1912.51</v>
      </c>
      <c r="P65" s="30" t="str">
        <f t="shared" si="2"/>
        <v>High</v>
      </c>
      <c r="Q65" s="43">
        <v>0.255</v>
      </c>
      <c r="R65" s="42" t="str">
        <f t="shared" si="3"/>
        <v>High</v>
      </c>
      <c r="S65" s="17">
        <v>51</v>
      </c>
      <c r="T65" s="30">
        <v>72665.817450000002</v>
      </c>
      <c r="U65" s="30">
        <v>62912.579999999994</v>
      </c>
      <c r="V65" s="30">
        <v>9753.2374500000078</v>
      </c>
      <c r="W65" s="30">
        <v>0.134220432553601</v>
      </c>
      <c r="X65" t="str">
        <f t="shared" si="4"/>
        <v>Delayed</v>
      </c>
      <c r="Y65" t="str">
        <f t="shared" si="5"/>
        <v>Non-compliant Discount</v>
      </c>
      <c r="Z65" s="9">
        <f>MIN(Q65,'Scenario Modelling'!$B$2)</f>
        <v>0.2</v>
      </c>
      <c r="AA65">
        <f t="shared" si="6"/>
        <v>1530.008</v>
      </c>
      <c r="AB65">
        <f>N65*(1+'Scenario Modelling'!$B$3)</f>
        <v>1356.9380000000001</v>
      </c>
      <c r="AC65">
        <f>ROUNDUP(S65*(1+'Scenario Modelling'!$B$4),0)</f>
        <v>54</v>
      </c>
      <c r="AD65">
        <f t="shared" si="7"/>
        <v>82620.432000000001</v>
      </c>
      <c r="AE65">
        <f t="shared" si="8"/>
        <v>9345.779999999997</v>
      </c>
    </row>
    <row r="66" spans="1:31" x14ac:dyDescent="0.3">
      <c r="A66" s="36" t="s">
        <v>79</v>
      </c>
      <c r="B66" s="49">
        <v>44972</v>
      </c>
      <c r="C66" s="47" t="str">
        <f t="shared" si="1"/>
        <v>Q1-2023</v>
      </c>
      <c r="D66" s="37">
        <v>44983</v>
      </c>
      <c r="E66" s="16">
        <f t="shared" ref="E66:E129" si="9">D66-B66</f>
        <v>11</v>
      </c>
      <c r="F66" s="38" t="s">
        <v>646</v>
      </c>
      <c r="G66" s="38" t="s">
        <v>661</v>
      </c>
      <c r="H66" s="38" t="s">
        <v>682</v>
      </c>
      <c r="I66" s="38" t="s">
        <v>703</v>
      </c>
      <c r="J66" s="38" t="s">
        <v>707</v>
      </c>
      <c r="K66" s="38" t="s">
        <v>723</v>
      </c>
      <c r="L66" s="38" t="s">
        <v>731</v>
      </c>
      <c r="M66" s="39" t="s">
        <v>798</v>
      </c>
      <c r="N66" s="40">
        <v>498.5</v>
      </c>
      <c r="O66" s="40">
        <v>755.87</v>
      </c>
      <c r="P66" s="30" t="str">
        <f t="shared" si="2"/>
        <v>Low</v>
      </c>
      <c r="Q66" s="44">
        <v>0.13</v>
      </c>
      <c r="R66" s="42" t="str">
        <f t="shared" si="3"/>
        <v>Medium</v>
      </c>
      <c r="S66" s="16">
        <v>40</v>
      </c>
      <c r="T66" s="30">
        <v>26304.275999999998</v>
      </c>
      <c r="U66" s="30">
        <v>19940</v>
      </c>
      <c r="V66" s="30">
        <v>6364.275999999998</v>
      </c>
      <c r="W66" s="30">
        <v>0.24194834330357537</v>
      </c>
      <c r="X66" t="str">
        <f t="shared" si="4"/>
        <v>Delayed</v>
      </c>
      <c r="Y66" t="str">
        <f t="shared" si="5"/>
        <v>Compliant Discount</v>
      </c>
      <c r="Z66" s="9">
        <f>MIN(Q66,'Scenario Modelling'!$B$2)</f>
        <v>0.13</v>
      </c>
      <c r="AA66">
        <f t="shared" si="6"/>
        <v>657.6069</v>
      </c>
      <c r="AB66">
        <f>N66*(1+'Scenario Modelling'!$B$3)</f>
        <v>548.35</v>
      </c>
      <c r="AC66">
        <f>ROUNDUP(S66*(1+'Scenario Modelling'!$B$4),0)</f>
        <v>42</v>
      </c>
      <c r="AD66">
        <f t="shared" si="7"/>
        <v>27619.489799999999</v>
      </c>
      <c r="AE66">
        <f t="shared" si="8"/>
        <v>4588.7897999999986</v>
      </c>
    </row>
    <row r="67" spans="1:31" x14ac:dyDescent="0.3">
      <c r="A67" s="31" t="s">
        <v>80</v>
      </c>
      <c r="B67" s="48">
        <v>45263</v>
      </c>
      <c r="C67" s="47" t="str">
        <f t="shared" ref="C67:C130" si="10">"Q"&amp;ROUNDUP(MONTH(B67)/3,0)&amp;"-"&amp;YEAR(B67)</f>
        <v>Q4-2023</v>
      </c>
      <c r="D67" s="32">
        <v>45286</v>
      </c>
      <c r="E67" s="17">
        <f t="shared" si="9"/>
        <v>23</v>
      </c>
      <c r="F67" s="33" t="s">
        <v>648</v>
      </c>
      <c r="G67" s="33" t="s">
        <v>655</v>
      </c>
      <c r="H67" s="33" t="s">
        <v>692</v>
      </c>
      <c r="I67" s="33" t="s">
        <v>702</v>
      </c>
      <c r="J67" s="33" t="s">
        <v>707</v>
      </c>
      <c r="K67" s="33" t="s">
        <v>719</v>
      </c>
      <c r="L67" s="33" t="s">
        <v>730</v>
      </c>
      <c r="M67" s="34" t="s">
        <v>799</v>
      </c>
      <c r="N67" s="35">
        <v>1303.1099999999999</v>
      </c>
      <c r="O67" s="35">
        <v>1145.67</v>
      </c>
      <c r="P67" s="30" t="str">
        <f t="shared" ref="P67:P130" si="11">IF(O67&lt;=_xlfn.PERCENTILE.INC(IF(L67:L697=L67, O67:O697), 0.33), "Low", IF(O67&lt;=_xlfn.PERCENTILE.INC(IF(L67:L697=L67, O67:O697), 0.66), "Medium", IF(O67 &gt; _xlfn.PERCENTILE.INC(IF(L67:L697=L67, O67:O697), 0.66), "High")))</f>
        <v>Medium</v>
      </c>
      <c r="Q67" s="43">
        <v>0.184</v>
      </c>
      <c r="R67" s="42" t="str">
        <f t="shared" ref="R67:R130" si="12">IF(Q67&lt;=0.1,"Low",IF(Q67&gt;0.2,"High","Medium"))</f>
        <v>Medium</v>
      </c>
      <c r="S67" s="17">
        <v>13</v>
      </c>
      <c r="T67" s="30">
        <v>12153.267360000002</v>
      </c>
      <c r="U67" s="30">
        <v>16940.43</v>
      </c>
      <c r="V67" s="30">
        <v>-4787.1626399999986</v>
      </c>
      <c r="W67" s="30">
        <v>-0.39389922875851208</v>
      </c>
      <c r="X67" t="str">
        <f t="shared" ref="X67:X130" si="13">IF(E67&lt;=7,"On-time","Delayed")</f>
        <v>Delayed</v>
      </c>
      <c r="Y67" t="str">
        <f t="shared" ref="Y67:Y130" si="14">IF(Q67&lt;=0.2, "Compliant Discount", "Non-compliant Discount")</f>
        <v>Compliant Discount</v>
      </c>
      <c r="Z67" s="9">
        <f>MIN(Q67,'Scenario Modelling'!$B$2)</f>
        <v>0.184</v>
      </c>
      <c r="AA67">
        <f t="shared" ref="AA67:AA130" si="15">O67*(1-Z67)</f>
        <v>934.8667200000001</v>
      </c>
      <c r="AB67">
        <f>N67*(1+'Scenario Modelling'!$B$3)</f>
        <v>1433.421</v>
      </c>
      <c r="AC67">
        <f>ROUNDUP(S67*(1+'Scenario Modelling'!$B$4),0)</f>
        <v>14</v>
      </c>
      <c r="AD67">
        <f t="shared" ref="AD67:AD130" si="16">AA67*AC67</f>
        <v>13088.134080000002</v>
      </c>
      <c r="AE67">
        <f t="shared" ref="AE67:AE130" si="17">(AA67-AB67)*AC67</f>
        <v>-6979.7599199999995</v>
      </c>
    </row>
    <row r="68" spans="1:31" x14ac:dyDescent="0.3">
      <c r="A68" s="36" t="s">
        <v>81</v>
      </c>
      <c r="B68" s="49">
        <v>45004</v>
      </c>
      <c r="C68" s="47" t="str">
        <f t="shared" si="10"/>
        <v>Q1-2023</v>
      </c>
      <c r="D68" s="37">
        <v>45025</v>
      </c>
      <c r="E68" s="16">
        <f t="shared" si="9"/>
        <v>21</v>
      </c>
      <c r="F68" s="38" t="s">
        <v>649</v>
      </c>
      <c r="G68" s="38" t="s">
        <v>658</v>
      </c>
      <c r="H68" s="38" t="s">
        <v>693</v>
      </c>
      <c r="I68" s="38" t="s">
        <v>704</v>
      </c>
      <c r="J68" s="38" t="s">
        <v>707</v>
      </c>
      <c r="K68" s="38" t="s">
        <v>716</v>
      </c>
      <c r="L68" s="38" t="s">
        <v>733</v>
      </c>
      <c r="M68" s="39" t="s">
        <v>800</v>
      </c>
      <c r="N68" s="40">
        <v>1082.17</v>
      </c>
      <c r="O68" s="40">
        <v>1234.0999999999999</v>
      </c>
      <c r="P68" s="30" t="str">
        <f t="shared" si="11"/>
        <v>Medium</v>
      </c>
      <c r="Q68" s="44">
        <v>0.189</v>
      </c>
      <c r="R68" s="42" t="str">
        <f t="shared" si="12"/>
        <v>Medium</v>
      </c>
      <c r="S68" s="16">
        <v>16</v>
      </c>
      <c r="T68" s="30">
        <v>16013.681599999998</v>
      </c>
      <c r="U68" s="30">
        <v>17314.72</v>
      </c>
      <c r="V68" s="30">
        <v>-1301.0384000000031</v>
      </c>
      <c r="W68" s="30">
        <v>-8.124542703534228E-2</v>
      </c>
      <c r="X68" t="str">
        <f t="shared" si="13"/>
        <v>Delayed</v>
      </c>
      <c r="Y68" t="str">
        <f t="shared" si="14"/>
        <v>Compliant Discount</v>
      </c>
      <c r="Z68" s="9">
        <f>MIN(Q68,'Scenario Modelling'!$B$2)</f>
        <v>0.189</v>
      </c>
      <c r="AA68">
        <f t="shared" si="15"/>
        <v>1000.8550999999999</v>
      </c>
      <c r="AB68">
        <f>N68*(1+'Scenario Modelling'!$B$3)</f>
        <v>1190.3870000000002</v>
      </c>
      <c r="AC68">
        <f>ROUNDUP(S68*(1+'Scenario Modelling'!$B$4),0)</f>
        <v>17</v>
      </c>
      <c r="AD68">
        <f t="shared" si="16"/>
        <v>17014.536699999997</v>
      </c>
      <c r="AE68">
        <f t="shared" si="17"/>
        <v>-3222.0423000000051</v>
      </c>
    </row>
    <row r="69" spans="1:31" x14ac:dyDescent="0.3">
      <c r="A69" s="31" t="s">
        <v>82</v>
      </c>
      <c r="B69" s="48">
        <v>45434</v>
      </c>
      <c r="C69" s="47" t="str">
        <f t="shared" si="10"/>
        <v>Q2-2024</v>
      </c>
      <c r="D69" s="32">
        <v>45449</v>
      </c>
      <c r="E69" s="17">
        <f t="shared" si="9"/>
        <v>15</v>
      </c>
      <c r="F69" s="33" t="s">
        <v>647</v>
      </c>
      <c r="G69" s="33" t="s">
        <v>652</v>
      </c>
      <c r="H69" s="33" t="s">
        <v>694</v>
      </c>
      <c r="I69" s="33" t="s">
        <v>701</v>
      </c>
      <c r="J69" s="33" t="s">
        <v>710</v>
      </c>
      <c r="K69" s="33" t="s">
        <v>712</v>
      </c>
      <c r="L69" s="33" t="s">
        <v>732</v>
      </c>
      <c r="M69" s="34" t="s">
        <v>801</v>
      </c>
      <c r="N69" s="35">
        <v>673.88</v>
      </c>
      <c r="O69" s="35">
        <v>1228.01</v>
      </c>
      <c r="P69" s="30" t="str">
        <f t="shared" si="11"/>
        <v>Medium</v>
      </c>
      <c r="Q69" s="43">
        <v>0.105</v>
      </c>
      <c r="R69" s="42" t="str">
        <f t="shared" si="12"/>
        <v>Medium</v>
      </c>
      <c r="S69" s="17">
        <v>13</v>
      </c>
      <c r="T69" s="30">
        <v>14287.896349999999</v>
      </c>
      <c r="U69" s="30">
        <v>8760.44</v>
      </c>
      <c r="V69" s="30">
        <v>5527.4563499999986</v>
      </c>
      <c r="W69" s="30">
        <v>0.38686285332689996</v>
      </c>
      <c r="X69" t="str">
        <f t="shared" si="13"/>
        <v>Delayed</v>
      </c>
      <c r="Y69" t="str">
        <f t="shared" si="14"/>
        <v>Compliant Discount</v>
      </c>
      <c r="Z69" s="9">
        <f>MIN(Q69,'Scenario Modelling'!$B$2)</f>
        <v>0.105</v>
      </c>
      <c r="AA69">
        <f t="shared" si="15"/>
        <v>1099.0689500000001</v>
      </c>
      <c r="AB69">
        <f>N69*(1+'Scenario Modelling'!$B$3)</f>
        <v>741.26800000000003</v>
      </c>
      <c r="AC69">
        <f>ROUNDUP(S69*(1+'Scenario Modelling'!$B$4),0)</f>
        <v>14</v>
      </c>
      <c r="AD69">
        <f t="shared" si="16"/>
        <v>15386.965300000002</v>
      </c>
      <c r="AE69">
        <f t="shared" si="17"/>
        <v>5009.2133000000013</v>
      </c>
    </row>
    <row r="70" spans="1:31" x14ac:dyDescent="0.3">
      <c r="A70" s="36" t="s">
        <v>83</v>
      </c>
      <c r="B70" s="49">
        <v>45157</v>
      </c>
      <c r="C70" s="47" t="str">
        <f t="shared" si="10"/>
        <v>Q3-2023</v>
      </c>
      <c r="D70" s="37">
        <v>45176</v>
      </c>
      <c r="E70" s="16">
        <f t="shared" si="9"/>
        <v>19</v>
      </c>
      <c r="F70" s="38" t="s">
        <v>646</v>
      </c>
      <c r="G70" s="38" t="s">
        <v>661</v>
      </c>
      <c r="H70" s="38" t="s">
        <v>682</v>
      </c>
      <c r="I70" s="38" t="s">
        <v>706</v>
      </c>
      <c r="J70" s="38" t="s">
        <v>707</v>
      </c>
      <c r="K70" s="38" t="s">
        <v>726</v>
      </c>
      <c r="L70" s="38" t="s">
        <v>732</v>
      </c>
      <c r="M70" s="39" t="s">
        <v>802</v>
      </c>
      <c r="N70" s="40">
        <v>494.61</v>
      </c>
      <c r="O70" s="40">
        <v>605.23</v>
      </c>
      <c r="P70" s="30" t="str">
        <f t="shared" si="11"/>
        <v>Low</v>
      </c>
      <c r="Q70" s="44">
        <v>0.20399999999999999</v>
      </c>
      <c r="R70" s="42" t="str">
        <f t="shared" si="12"/>
        <v>High</v>
      </c>
      <c r="S70" s="16">
        <v>18</v>
      </c>
      <c r="T70" s="30">
        <v>8671.7354400000004</v>
      </c>
      <c r="U70" s="30">
        <v>8902.98</v>
      </c>
      <c r="V70" s="30">
        <v>-231.24455999999918</v>
      </c>
      <c r="W70" s="30">
        <v>-2.6666468505639647E-2</v>
      </c>
      <c r="X70" t="str">
        <f t="shared" si="13"/>
        <v>Delayed</v>
      </c>
      <c r="Y70" t="str">
        <f t="shared" si="14"/>
        <v>Non-compliant Discount</v>
      </c>
      <c r="Z70" s="9">
        <f>MIN(Q70,'Scenario Modelling'!$B$2)</f>
        <v>0.2</v>
      </c>
      <c r="AA70">
        <f t="shared" si="15"/>
        <v>484.18400000000003</v>
      </c>
      <c r="AB70">
        <f>N70*(1+'Scenario Modelling'!$B$3)</f>
        <v>544.07100000000003</v>
      </c>
      <c r="AC70">
        <f>ROUNDUP(S70*(1+'Scenario Modelling'!$B$4),0)</f>
        <v>19</v>
      </c>
      <c r="AD70">
        <f t="shared" si="16"/>
        <v>9199.496000000001</v>
      </c>
      <c r="AE70">
        <f t="shared" si="17"/>
        <v>-1137.8530000000001</v>
      </c>
    </row>
    <row r="71" spans="1:31" x14ac:dyDescent="0.3">
      <c r="A71" s="31" t="s">
        <v>84</v>
      </c>
      <c r="B71" s="48">
        <v>45037</v>
      </c>
      <c r="C71" s="47" t="str">
        <f t="shared" si="10"/>
        <v>Q2-2023</v>
      </c>
      <c r="D71" s="32">
        <v>45056</v>
      </c>
      <c r="E71" s="17">
        <f t="shared" si="9"/>
        <v>19</v>
      </c>
      <c r="F71" s="33" t="s">
        <v>647</v>
      </c>
      <c r="G71" s="33" t="s">
        <v>659</v>
      </c>
      <c r="H71" s="33" t="s">
        <v>685</v>
      </c>
      <c r="I71" s="33" t="s">
        <v>701</v>
      </c>
      <c r="J71" s="33" t="s">
        <v>707</v>
      </c>
      <c r="K71" s="33" t="s">
        <v>720</v>
      </c>
      <c r="L71" s="33" t="s">
        <v>727</v>
      </c>
      <c r="M71" s="34" t="s">
        <v>803</v>
      </c>
      <c r="N71" s="35">
        <v>882.33</v>
      </c>
      <c r="O71" s="35">
        <v>1880.15</v>
      </c>
      <c r="P71" s="30" t="str">
        <f t="shared" si="11"/>
        <v>High</v>
      </c>
      <c r="Q71" s="43">
        <v>0.05</v>
      </c>
      <c r="R71" s="42" t="str">
        <f t="shared" si="12"/>
        <v>Low</v>
      </c>
      <c r="S71" s="17">
        <v>5</v>
      </c>
      <c r="T71" s="30">
        <v>8930.7124999999996</v>
      </c>
      <c r="U71" s="30">
        <v>4411.6500000000005</v>
      </c>
      <c r="V71" s="30">
        <v>4519.0624999999991</v>
      </c>
      <c r="W71" s="30">
        <v>0.50601365792482955</v>
      </c>
      <c r="X71" t="str">
        <f t="shared" si="13"/>
        <v>Delayed</v>
      </c>
      <c r="Y71" t="str">
        <f t="shared" si="14"/>
        <v>Compliant Discount</v>
      </c>
      <c r="Z71" s="9">
        <f>MIN(Q71,'Scenario Modelling'!$B$2)</f>
        <v>0.05</v>
      </c>
      <c r="AA71">
        <f t="shared" si="15"/>
        <v>1786.1424999999999</v>
      </c>
      <c r="AB71">
        <f>N71*(1+'Scenario Modelling'!$B$3)</f>
        <v>970.5630000000001</v>
      </c>
      <c r="AC71">
        <f>ROUNDUP(S71*(1+'Scenario Modelling'!$B$4),0)</f>
        <v>6</v>
      </c>
      <c r="AD71">
        <f t="shared" si="16"/>
        <v>10716.855</v>
      </c>
      <c r="AE71">
        <f t="shared" si="17"/>
        <v>4893.476999999999</v>
      </c>
    </row>
    <row r="72" spans="1:31" x14ac:dyDescent="0.3">
      <c r="A72" s="36" t="s">
        <v>85</v>
      </c>
      <c r="B72" s="49">
        <v>45369</v>
      </c>
      <c r="C72" s="47" t="str">
        <f t="shared" si="10"/>
        <v>Q1-2024</v>
      </c>
      <c r="D72" s="37">
        <v>45372</v>
      </c>
      <c r="E72" s="16">
        <f t="shared" si="9"/>
        <v>3</v>
      </c>
      <c r="F72" s="38" t="s">
        <v>649</v>
      </c>
      <c r="G72" s="38" t="s">
        <v>656</v>
      </c>
      <c r="H72" s="38" t="s">
        <v>684</v>
      </c>
      <c r="I72" s="38" t="s">
        <v>705</v>
      </c>
      <c r="J72" s="38" t="s">
        <v>708</v>
      </c>
      <c r="K72" s="38" t="s">
        <v>724</v>
      </c>
      <c r="L72" s="38" t="s">
        <v>733</v>
      </c>
      <c r="M72" s="39" t="s">
        <v>804</v>
      </c>
      <c r="N72" s="40">
        <v>910.63</v>
      </c>
      <c r="O72" s="40">
        <v>1269.4000000000001</v>
      </c>
      <c r="P72" s="30" t="str">
        <f t="shared" si="11"/>
        <v>Medium</v>
      </c>
      <c r="Q72" s="44">
        <v>6.8000000000000005E-2</v>
      </c>
      <c r="R72" s="42" t="str">
        <f t="shared" si="12"/>
        <v>Low</v>
      </c>
      <c r="S72" s="16">
        <v>9</v>
      </c>
      <c r="T72" s="30">
        <v>10647.727199999999</v>
      </c>
      <c r="U72" s="30">
        <v>8195.67</v>
      </c>
      <c r="V72" s="30">
        <v>2452.0571999999993</v>
      </c>
      <c r="W72" s="30">
        <v>0.23028925834989455</v>
      </c>
      <c r="X72" t="str">
        <f t="shared" si="13"/>
        <v>On-time</v>
      </c>
      <c r="Y72" t="str">
        <f t="shared" si="14"/>
        <v>Compliant Discount</v>
      </c>
      <c r="Z72" s="9">
        <f>MIN(Q72,'Scenario Modelling'!$B$2)</f>
        <v>6.8000000000000005E-2</v>
      </c>
      <c r="AA72">
        <f t="shared" si="15"/>
        <v>1183.0808</v>
      </c>
      <c r="AB72">
        <f>N72*(1+'Scenario Modelling'!$B$3)</f>
        <v>1001.6930000000001</v>
      </c>
      <c r="AC72">
        <f>ROUNDUP(S72*(1+'Scenario Modelling'!$B$4),0)</f>
        <v>10</v>
      </c>
      <c r="AD72">
        <f t="shared" si="16"/>
        <v>11830.807999999999</v>
      </c>
      <c r="AE72">
        <f t="shared" si="17"/>
        <v>1813.8779999999986</v>
      </c>
    </row>
    <row r="73" spans="1:31" x14ac:dyDescent="0.3">
      <c r="A73" s="31" t="s">
        <v>86</v>
      </c>
      <c r="B73" s="48">
        <v>45756</v>
      </c>
      <c r="C73" s="47" t="str">
        <f t="shared" si="10"/>
        <v>Q2-2025</v>
      </c>
      <c r="D73" s="32">
        <v>45783</v>
      </c>
      <c r="E73" s="17">
        <f t="shared" si="9"/>
        <v>27</v>
      </c>
      <c r="F73" s="33" t="s">
        <v>648</v>
      </c>
      <c r="G73" s="33" t="s">
        <v>655</v>
      </c>
      <c r="H73" s="33" t="s">
        <v>672</v>
      </c>
      <c r="I73" s="33" t="s">
        <v>706</v>
      </c>
      <c r="J73" s="33" t="s">
        <v>709</v>
      </c>
      <c r="K73" s="33" t="s">
        <v>721</v>
      </c>
      <c r="L73" s="33" t="s">
        <v>731</v>
      </c>
      <c r="M73" s="34" t="s">
        <v>805</v>
      </c>
      <c r="N73" s="35">
        <v>264.19</v>
      </c>
      <c r="O73" s="35">
        <v>620.92999999999995</v>
      </c>
      <c r="P73" s="30" t="str">
        <f t="shared" si="11"/>
        <v>Low</v>
      </c>
      <c r="Q73" s="43">
        <v>0.14199999999999999</v>
      </c>
      <c r="R73" s="42" t="str">
        <f t="shared" si="12"/>
        <v>Medium</v>
      </c>
      <c r="S73" s="17">
        <v>12</v>
      </c>
      <c r="T73" s="30">
        <v>6393.0952799999995</v>
      </c>
      <c r="U73" s="30">
        <v>3170.2799999999997</v>
      </c>
      <c r="V73" s="30">
        <v>3222.8152799999998</v>
      </c>
      <c r="W73" s="30">
        <v>0.50410875152794532</v>
      </c>
      <c r="X73" t="str">
        <f t="shared" si="13"/>
        <v>Delayed</v>
      </c>
      <c r="Y73" t="str">
        <f t="shared" si="14"/>
        <v>Compliant Discount</v>
      </c>
      <c r="Z73" s="9">
        <f>MIN(Q73,'Scenario Modelling'!$B$2)</f>
        <v>0.14199999999999999</v>
      </c>
      <c r="AA73">
        <f t="shared" si="15"/>
        <v>532.75793999999996</v>
      </c>
      <c r="AB73">
        <f>N73*(1+'Scenario Modelling'!$B$3)</f>
        <v>290.60900000000004</v>
      </c>
      <c r="AC73">
        <f>ROUNDUP(S73*(1+'Scenario Modelling'!$B$4),0)</f>
        <v>13</v>
      </c>
      <c r="AD73">
        <f t="shared" si="16"/>
        <v>6925.8532199999991</v>
      </c>
      <c r="AE73">
        <f t="shared" si="17"/>
        <v>3147.9362199999991</v>
      </c>
    </row>
    <row r="74" spans="1:31" x14ac:dyDescent="0.3">
      <c r="A74" s="36" t="s">
        <v>87</v>
      </c>
      <c r="B74" s="49">
        <v>45394</v>
      </c>
      <c r="C74" s="47" t="str">
        <f t="shared" si="10"/>
        <v>Q2-2024</v>
      </c>
      <c r="D74" s="37">
        <v>45419</v>
      </c>
      <c r="E74" s="16">
        <f t="shared" si="9"/>
        <v>25</v>
      </c>
      <c r="F74" s="38" t="s">
        <v>646</v>
      </c>
      <c r="G74" s="38" t="s">
        <v>661</v>
      </c>
      <c r="H74" s="38" t="s">
        <v>682</v>
      </c>
      <c r="I74" s="38" t="s">
        <v>702</v>
      </c>
      <c r="J74" s="38" t="s">
        <v>710</v>
      </c>
      <c r="K74" s="38" t="s">
        <v>720</v>
      </c>
      <c r="L74" s="38" t="s">
        <v>731</v>
      </c>
      <c r="M74" s="39" t="s">
        <v>806</v>
      </c>
      <c r="N74" s="40">
        <v>1376.51</v>
      </c>
      <c r="O74" s="40">
        <v>1455.91</v>
      </c>
      <c r="P74" s="30" t="str">
        <f t="shared" si="11"/>
        <v>Medium</v>
      </c>
      <c r="Q74" s="44">
        <v>0.185</v>
      </c>
      <c r="R74" s="42" t="str">
        <f t="shared" si="12"/>
        <v>Medium</v>
      </c>
      <c r="S74" s="16">
        <v>17</v>
      </c>
      <c r="T74" s="30">
        <v>20171.63305</v>
      </c>
      <c r="U74" s="30">
        <v>23400.67</v>
      </c>
      <c r="V74" s="30">
        <v>-3229.0369499999979</v>
      </c>
      <c r="W74" s="30">
        <v>-0.1600781127634085</v>
      </c>
      <c r="X74" t="str">
        <f t="shared" si="13"/>
        <v>Delayed</v>
      </c>
      <c r="Y74" t="str">
        <f t="shared" si="14"/>
        <v>Compliant Discount</v>
      </c>
      <c r="Z74" s="9">
        <f>MIN(Q74,'Scenario Modelling'!$B$2)</f>
        <v>0.185</v>
      </c>
      <c r="AA74">
        <f t="shared" si="15"/>
        <v>1186.56665</v>
      </c>
      <c r="AB74">
        <f>N74*(1+'Scenario Modelling'!$B$3)</f>
        <v>1514.1610000000001</v>
      </c>
      <c r="AC74">
        <f>ROUNDUP(S74*(1+'Scenario Modelling'!$B$4),0)</f>
        <v>18</v>
      </c>
      <c r="AD74">
        <f t="shared" si="16"/>
        <v>21358.199700000001</v>
      </c>
      <c r="AE74">
        <f t="shared" si="17"/>
        <v>-5896.6983000000018</v>
      </c>
    </row>
    <row r="75" spans="1:31" x14ac:dyDescent="0.3">
      <c r="A75" s="31" t="s">
        <v>88</v>
      </c>
      <c r="B75" s="48">
        <v>45641</v>
      </c>
      <c r="C75" s="47" t="str">
        <f t="shared" si="10"/>
        <v>Q4-2024</v>
      </c>
      <c r="D75" s="32">
        <v>45646</v>
      </c>
      <c r="E75" s="17">
        <f t="shared" si="9"/>
        <v>5</v>
      </c>
      <c r="F75" s="33" t="s">
        <v>647</v>
      </c>
      <c r="G75" s="33" t="s">
        <v>659</v>
      </c>
      <c r="H75" s="33" t="s">
        <v>676</v>
      </c>
      <c r="I75" s="33" t="s">
        <v>705</v>
      </c>
      <c r="J75" s="33" t="s">
        <v>711</v>
      </c>
      <c r="K75" s="33" t="s">
        <v>713</v>
      </c>
      <c r="L75" s="33" t="s">
        <v>729</v>
      </c>
      <c r="M75" s="34" t="s">
        <v>807</v>
      </c>
      <c r="N75" s="35">
        <v>717.55</v>
      </c>
      <c r="O75" s="35">
        <v>546.42999999999995</v>
      </c>
      <c r="P75" s="30" t="str">
        <f t="shared" si="11"/>
        <v>Low</v>
      </c>
      <c r="Q75" s="43">
        <v>4.7E-2</v>
      </c>
      <c r="R75" s="42" t="str">
        <f t="shared" si="12"/>
        <v>Low</v>
      </c>
      <c r="S75" s="17">
        <v>18</v>
      </c>
      <c r="T75" s="30">
        <v>9373.460219999999</v>
      </c>
      <c r="U75" s="30">
        <v>12915.9</v>
      </c>
      <c r="V75" s="30">
        <v>-3542.4397800000006</v>
      </c>
      <c r="W75" s="30">
        <v>-0.37792231437026369</v>
      </c>
      <c r="X75" t="str">
        <f t="shared" si="13"/>
        <v>On-time</v>
      </c>
      <c r="Y75" t="str">
        <f t="shared" si="14"/>
        <v>Compliant Discount</v>
      </c>
      <c r="Z75" s="9">
        <f>MIN(Q75,'Scenario Modelling'!$B$2)</f>
        <v>4.7E-2</v>
      </c>
      <c r="AA75">
        <f t="shared" si="15"/>
        <v>520.7477899999999</v>
      </c>
      <c r="AB75">
        <f>N75*(1+'Scenario Modelling'!$B$3)</f>
        <v>789.30500000000006</v>
      </c>
      <c r="AC75">
        <f>ROUNDUP(S75*(1+'Scenario Modelling'!$B$4),0)</f>
        <v>19</v>
      </c>
      <c r="AD75">
        <f t="shared" si="16"/>
        <v>9894.2080099999985</v>
      </c>
      <c r="AE75">
        <f t="shared" si="17"/>
        <v>-5102.5869900000034</v>
      </c>
    </row>
    <row r="76" spans="1:31" x14ac:dyDescent="0.3">
      <c r="A76" s="36" t="s">
        <v>89</v>
      </c>
      <c r="B76" s="49">
        <v>45066</v>
      </c>
      <c r="C76" s="47" t="str">
        <f t="shared" si="10"/>
        <v>Q2-2023</v>
      </c>
      <c r="D76" s="37">
        <v>45073</v>
      </c>
      <c r="E76" s="16">
        <f t="shared" si="9"/>
        <v>7</v>
      </c>
      <c r="F76" s="38" t="s">
        <v>646</v>
      </c>
      <c r="G76" s="38" t="s">
        <v>661</v>
      </c>
      <c r="H76" s="38" t="s">
        <v>687</v>
      </c>
      <c r="I76" s="38" t="s">
        <v>701</v>
      </c>
      <c r="J76" s="38" t="s">
        <v>710</v>
      </c>
      <c r="K76" s="38" t="s">
        <v>720</v>
      </c>
      <c r="L76" s="38" t="s">
        <v>727</v>
      </c>
      <c r="M76" s="39" t="s">
        <v>808</v>
      </c>
      <c r="N76" s="40">
        <v>917.88</v>
      </c>
      <c r="O76" s="40">
        <v>1347.92</v>
      </c>
      <c r="P76" s="30" t="str">
        <f t="shared" si="11"/>
        <v>Medium</v>
      </c>
      <c r="Q76" s="44">
        <v>0.3</v>
      </c>
      <c r="R76" s="42" t="str">
        <f t="shared" si="12"/>
        <v>High</v>
      </c>
      <c r="S76" s="16">
        <v>5</v>
      </c>
      <c r="T76" s="30">
        <v>4717.72</v>
      </c>
      <c r="U76" s="30">
        <v>4589.3999999999996</v>
      </c>
      <c r="V76" s="30">
        <v>128.32000000000062</v>
      </c>
      <c r="W76" s="30">
        <v>2.7199579457873848E-2</v>
      </c>
      <c r="X76" t="str">
        <f t="shared" si="13"/>
        <v>On-time</v>
      </c>
      <c r="Y76" t="str">
        <f t="shared" si="14"/>
        <v>Non-compliant Discount</v>
      </c>
      <c r="Z76" s="9">
        <f>MIN(Q76,'Scenario Modelling'!$B$2)</f>
        <v>0.2</v>
      </c>
      <c r="AA76">
        <f t="shared" si="15"/>
        <v>1078.336</v>
      </c>
      <c r="AB76">
        <f>N76*(1+'Scenario Modelling'!$B$3)</f>
        <v>1009.6680000000001</v>
      </c>
      <c r="AC76">
        <f>ROUNDUP(S76*(1+'Scenario Modelling'!$B$4),0)</f>
        <v>6</v>
      </c>
      <c r="AD76">
        <f t="shared" si="16"/>
        <v>6470.0159999999996</v>
      </c>
      <c r="AE76">
        <f t="shared" si="17"/>
        <v>412.00799999999936</v>
      </c>
    </row>
    <row r="77" spans="1:31" x14ac:dyDescent="0.3">
      <c r="A77" s="31" t="s">
        <v>90</v>
      </c>
      <c r="B77" s="48">
        <v>45187</v>
      </c>
      <c r="C77" s="47" t="str">
        <f t="shared" si="10"/>
        <v>Q3-2023</v>
      </c>
      <c r="D77" s="32">
        <v>45207</v>
      </c>
      <c r="E77" s="17">
        <f t="shared" si="9"/>
        <v>20</v>
      </c>
      <c r="F77" s="33" t="s">
        <v>647</v>
      </c>
      <c r="G77" s="33" t="s">
        <v>654</v>
      </c>
      <c r="H77" s="33" t="s">
        <v>680</v>
      </c>
      <c r="I77" s="33" t="s">
        <v>705</v>
      </c>
      <c r="J77" s="33" t="s">
        <v>711</v>
      </c>
      <c r="K77" s="33" t="s">
        <v>717</v>
      </c>
      <c r="L77" s="33" t="s">
        <v>727</v>
      </c>
      <c r="M77" s="34" t="s">
        <v>809</v>
      </c>
      <c r="N77" s="35">
        <v>825.64</v>
      </c>
      <c r="O77" s="35">
        <v>1108.43</v>
      </c>
      <c r="P77" s="30" t="str">
        <f t="shared" si="11"/>
        <v>Medium</v>
      </c>
      <c r="Q77" s="43">
        <v>0.114</v>
      </c>
      <c r="R77" s="42" t="str">
        <f t="shared" si="12"/>
        <v>Medium</v>
      </c>
      <c r="S77" s="17">
        <v>7</v>
      </c>
      <c r="T77" s="30">
        <v>6874.4828600000001</v>
      </c>
      <c r="U77" s="30">
        <v>5779.48</v>
      </c>
      <c r="V77" s="30">
        <v>1095.0028600000005</v>
      </c>
      <c r="W77" s="30">
        <v>0.15928512475773349</v>
      </c>
      <c r="X77" t="str">
        <f t="shared" si="13"/>
        <v>Delayed</v>
      </c>
      <c r="Y77" t="str">
        <f t="shared" si="14"/>
        <v>Compliant Discount</v>
      </c>
      <c r="Z77" s="9">
        <f>MIN(Q77,'Scenario Modelling'!$B$2)</f>
        <v>0.114</v>
      </c>
      <c r="AA77">
        <f t="shared" si="15"/>
        <v>982.06898000000001</v>
      </c>
      <c r="AB77">
        <f>N77*(1+'Scenario Modelling'!$B$3)</f>
        <v>908.20400000000006</v>
      </c>
      <c r="AC77">
        <f>ROUNDUP(S77*(1+'Scenario Modelling'!$B$4),0)</f>
        <v>8</v>
      </c>
      <c r="AD77">
        <f t="shared" si="16"/>
        <v>7856.5518400000001</v>
      </c>
      <c r="AE77">
        <f t="shared" si="17"/>
        <v>590.91983999999957</v>
      </c>
    </row>
    <row r="78" spans="1:31" x14ac:dyDescent="0.3">
      <c r="A78" s="36" t="s">
        <v>91</v>
      </c>
      <c r="B78" s="49">
        <v>45532</v>
      </c>
      <c r="C78" s="47" t="str">
        <f t="shared" si="10"/>
        <v>Q3-2024</v>
      </c>
      <c r="D78" s="37">
        <v>45560</v>
      </c>
      <c r="E78" s="16">
        <f t="shared" si="9"/>
        <v>28</v>
      </c>
      <c r="F78" s="38" t="s">
        <v>648</v>
      </c>
      <c r="G78" s="38" t="s">
        <v>655</v>
      </c>
      <c r="H78" s="38" t="s">
        <v>692</v>
      </c>
      <c r="I78" s="38" t="s">
        <v>703</v>
      </c>
      <c r="J78" s="38" t="s">
        <v>708</v>
      </c>
      <c r="K78" s="38" t="s">
        <v>1424</v>
      </c>
      <c r="L78" s="38" t="s">
        <v>733</v>
      </c>
      <c r="M78" s="39" t="s">
        <v>810</v>
      </c>
      <c r="N78" s="40">
        <v>1394.65</v>
      </c>
      <c r="O78" s="40">
        <v>3144.1</v>
      </c>
      <c r="P78" s="30" t="str">
        <f t="shared" si="11"/>
        <v>High</v>
      </c>
      <c r="Q78" s="44">
        <v>0.13400000000000001</v>
      </c>
      <c r="R78" s="42" t="str">
        <f t="shared" si="12"/>
        <v>Medium</v>
      </c>
      <c r="S78" s="16">
        <v>13</v>
      </c>
      <c r="T78" s="30">
        <v>35396.277799999996</v>
      </c>
      <c r="U78" s="30">
        <v>18130.45</v>
      </c>
      <c r="V78" s="30">
        <v>17265.827799999995</v>
      </c>
      <c r="W78" s="30">
        <v>0.4877865378263021</v>
      </c>
      <c r="X78" t="str">
        <f t="shared" si="13"/>
        <v>Delayed</v>
      </c>
      <c r="Y78" t="str">
        <f t="shared" si="14"/>
        <v>Compliant Discount</v>
      </c>
      <c r="Z78" s="9">
        <f>MIN(Q78,'Scenario Modelling'!$B$2)</f>
        <v>0.13400000000000001</v>
      </c>
      <c r="AA78">
        <f t="shared" si="15"/>
        <v>2722.7905999999998</v>
      </c>
      <c r="AB78">
        <f>N78*(1+'Scenario Modelling'!$B$3)</f>
        <v>1534.1150000000002</v>
      </c>
      <c r="AC78">
        <f>ROUNDUP(S78*(1+'Scenario Modelling'!$B$4),0)</f>
        <v>14</v>
      </c>
      <c r="AD78">
        <f t="shared" si="16"/>
        <v>38119.068399999996</v>
      </c>
      <c r="AE78">
        <f t="shared" si="17"/>
        <v>16641.458399999996</v>
      </c>
    </row>
    <row r="79" spans="1:31" x14ac:dyDescent="0.3">
      <c r="A79" s="31" t="s">
        <v>92</v>
      </c>
      <c r="B79" s="48">
        <v>45473</v>
      </c>
      <c r="C79" s="47" t="str">
        <f t="shared" si="10"/>
        <v>Q2-2024</v>
      </c>
      <c r="D79" s="32">
        <v>45480</v>
      </c>
      <c r="E79" s="17">
        <f t="shared" si="9"/>
        <v>7</v>
      </c>
      <c r="F79" s="33" t="s">
        <v>648</v>
      </c>
      <c r="G79" s="33" t="s">
        <v>655</v>
      </c>
      <c r="H79" s="33" t="s">
        <v>692</v>
      </c>
      <c r="I79" s="33" t="s">
        <v>705</v>
      </c>
      <c r="J79" s="33" t="s">
        <v>711</v>
      </c>
      <c r="K79" s="33" t="s">
        <v>716</v>
      </c>
      <c r="L79" s="33" t="s">
        <v>733</v>
      </c>
      <c r="M79" s="34" t="s">
        <v>811</v>
      </c>
      <c r="N79" s="35">
        <v>1112.98</v>
      </c>
      <c r="O79" s="35">
        <v>2095.73</v>
      </c>
      <c r="P79" s="30" t="str">
        <f t="shared" si="11"/>
        <v>High</v>
      </c>
      <c r="Q79" s="43">
        <v>7.1999999999999995E-2</v>
      </c>
      <c r="R79" s="42" t="str">
        <f t="shared" si="12"/>
        <v>Low</v>
      </c>
      <c r="S79" s="17">
        <v>17</v>
      </c>
      <c r="T79" s="30">
        <v>33062.236480000007</v>
      </c>
      <c r="U79" s="30">
        <v>18920.66</v>
      </c>
      <c r="V79" s="30">
        <v>14141.576480000007</v>
      </c>
      <c r="W79" s="30">
        <v>0.42772594916724777</v>
      </c>
      <c r="X79" t="str">
        <f t="shared" si="13"/>
        <v>On-time</v>
      </c>
      <c r="Y79" t="str">
        <f t="shared" si="14"/>
        <v>Compliant Discount</v>
      </c>
      <c r="Z79" s="9">
        <f>MIN(Q79,'Scenario Modelling'!$B$2)</f>
        <v>7.1999999999999995E-2</v>
      </c>
      <c r="AA79">
        <f t="shared" si="15"/>
        <v>1944.83744</v>
      </c>
      <c r="AB79">
        <f>N79*(1+'Scenario Modelling'!$B$3)</f>
        <v>1224.278</v>
      </c>
      <c r="AC79">
        <f>ROUNDUP(S79*(1+'Scenario Modelling'!$B$4),0)</f>
        <v>18</v>
      </c>
      <c r="AD79">
        <f t="shared" si="16"/>
        <v>35007.073920000003</v>
      </c>
      <c r="AE79">
        <f t="shared" si="17"/>
        <v>12970.06992</v>
      </c>
    </row>
    <row r="80" spans="1:31" x14ac:dyDescent="0.3">
      <c r="A80" s="36" t="s">
        <v>93</v>
      </c>
      <c r="B80" s="49">
        <v>45091</v>
      </c>
      <c r="C80" s="47" t="str">
        <f t="shared" si="10"/>
        <v>Q2-2023</v>
      </c>
      <c r="D80" s="37">
        <v>45093</v>
      </c>
      <c r="E80" s="16">
        <f t="shared" si="9"/>
        <v>2</v>
      </c>
      <c r="F80" s="38" t="s">
        <v>649</v>
      </c>
      <c r="G80" s="38" t="s">
        <v>658</v>
      </c>
      <c r="H80" s="38" t="s">
        <v>693</v>
      </c>
      <c r="I80" s="38" t="s">
        <v>703</v>
      </c>
      <c r="J80" s="38" t="s">
        <v>711</v>
      </c>
      <c r="K80" s="38" t="s">
        <v>723</v>
      </c>
      <c r="L80" s="38" t="s">
        <v>727</v>
      </c>
      <c r="M80" s="39" t="s">
        <v>812</v>
      </c>
      <c r="N80" s="40">
        <v>357.36</v>
      </c>
      <c r="O80" s="40">
        <v>703.62</v>
      </c>
      <c r="P80" s="30" t="str">
        <f t="shared" si="11"/>
        <v>Low</v>
      </c>
      <c r="Q80" s="44">
        <v>0.25700000000000001</v>
      </c>
      <c r="R80" s="42" t="str">
        <f t="shared" si="12"/>
        <v>High</v>
      </c>
      <c r="S80" s="16">
        <v>20</v>
      </c>
      <c r="T80" s="30">
        <v>10455.7932</v>
      </c>
      <c r="U80" s="30">
        <v>7147.2000000000007</v>
      </c>
      <c r="V80" s="30">
        <v>3308.5931999999993</v>
      </c>
      <c r="W80" s="30">
        <v>0.31643636563125593</v>
      </c>
      <c r="X80" t="str">
        <f t="shared" si="13"/>
        <v>On-time</v>
      </c>
      <c r="Y80" t="str">
        <f t="shared" si="14"/>
        <v>Non-compliant Discount</v>
      </c>
      <c r="Z80" s="9">
        <f>MIN(Q80,'Scenario Modelling'!$B$2)</f>
        <v>0.2</v>
      </c>
      <c r="AA80">
        <f t="shared" si="15"/>
        <v>562.89600000000007</v>
      </c>
      <c r="AB80">
        <f>N80*(1+'Scenario Modelling'!$B$3)</f>
        <v>393.09600000000006</v>
      </c>
      <c r="AC80">
        <f>ROUNDUP(S80*(1+'Scenario Modelling'!$B$4),0)</f>
        <v>21</v>
      </c>
      <c r="AD80">
        <f t="shared" si="16"/>
        <v>11820.816000000001</v>
      </c>
      <c r="AE80">
        <f t="shared" si="17"/>
        <v>3565.8</v>
      </c>
    </row>
    <row r="81" spans="1:31" x14ac:dyDescent="0.3">
      <c r="A81" s="31" t="s">
        <v>94</v>
      </c>
      <c r="B81" s="48">
        <v>45617</v>
      </c>
      <c r="C81" s="47" t="str">
        <f t="shared" si="10"/>
        <v>Q4-2024</v>
      </c>
      <c r="D81" s="32">
        <v>45647</v>
      </c>
      <c r="E81" s="17">
        <f t="shared" si="9"/>
        <v>30</v>
      </c>
      <c r="F81" s="33" t="s">
        <v>649</v>
      </c>
      <c r="G81" s="33" t="s">
        <v>657</v>
      </c>
      <c r="H81" s="33" t="s">
        <v>673</v>
      </c>
      <c r="I81" s="33" t="s">
        <v>705</v>
      </c>
      <c r="J81" s="33" t="s">
        <v>711</v>
      </c>
      <c r="K81" s="33" t="s">
        <v>714</v>
      </c>
      <c r="L81" s="33" t="s">
        <v>732</v>
      </c>
      <c r="M81" s="34" t="s">
        <v>813</v>
      </c>
      <c r="N81" s="35">
        <v>1122.68</v>
      </c>
      <c r="O81" s="35">
        <v>1997.19</v>
      </c>
      <c r="P81" s="30" t="str">
        <f t="shared" si="11"/>
        <v>High</v>
      </c>
      <c r="Q81" s="43">
        <v>0.186</v>
      </c>
      <c r="R81" s="42" t="str">
        <f t="shared" si="12"/>
        <v>Medium</v>
      </c>
      <c r="S81" s="17">
        <v>3</v>
      </c>
      <c r="T81" s="30">
        <v>4877.1379800000004</v>
      </c>
      <c r="U81" s="30">
        <v>3368.04</v>
      </c>
      <c r="V81" s="30">
        <v>1509.0979800000005</v>
      </c>
      <c r="W81" s="30">
        <v>0.30942285951073306</v>
      </c>
      <c r="X81" t="str">
        <f t="shared" si="13"/>
        <v>Delayed</v>
      </c>
      <c r="Y81" t="str">
        <f t="shared" si="14"/>
        <v>Compliant Discount</v>
      </c>
      <c r="Z81" s="9">
        <f>MIN(Q81,'Scenario Modelling'!$B$2)</f>
        <v>0.186</v>
      </c>
      <c r="AA81">
        <f t="shared" si="15"/>
        <v>1625.7126600000001</v>
      </c>
      <c r="AB81">
        <f>N81*(1+'Scenario Modelling'!$B$3)</f>
        <v>1234.9480000000001</v>
      </c>
      <c r="AC81">
        <f>ROUNDUP(S81*(1+'Scenario Modelling'!$B$4),0)</f>
        <v>4</v>
      </c>
      <c r="AD81">
        <f t="shared" si="16"/>
        <v>6502.8506400000006</v>
      </c>
      <c r="AE81">
        <f t="shared" si="17"/>
        <v>1563.0586400000002</v>
      </c>
    </row>
    <row r="82" spans="1:31" x14ac:dyDescent="0.3">
      <c r="A82" s="36" t="s">
        <v>95</v>
      </c>
      <c r="B82" s="49">
        <v>44965</v>
      </c>
      <c r="C82" s="47" t="str">
        <f t="shared" si="10"/>
        <v>Q1-2023</v>
      </c>
      <c r="D82" s="37">
        <v>44968</v>
      </c>
      <c r="E82" s="16">
        <f t="shared" si="9"/>
        <v>3</v>
      </c>
      <c r="F82" s="38" t="s">
        <v>646</v>
      </c>
      <c r="G82" s="38" t="s">
        <v>661</v>
      </c>
      <c r="H82" s="38" t="s">
        <v>695</v>
      </c>
      <c r="I82" s="38" t="s">
        <v>701</v>
      </c>
      <c r="J82" s="38" t="s">
        <v>711</v>
      </c>
      <c r="K82" s="38" t="s">
        <v>724</v>
      </c>
      <c r="L82" s="38" t="s">
        <v>729</v>
      </c>
      <c r="M82" s="39" t="s">
        <v>814</v>
      </c>
      <c r="N82" s="40">
        <v>1410.05</v>
      </c>
      <c r="O82" s="40">
        <v>2763.95</v>
      </c>
      <c r="P82" s="30" t="str">
        <f t="shared" si="11"/>
        <v>High</v>
      </c>
      <c r="Q82" s="44">
        <v>0.161</v>
      </c>
      <c r="R82" s="42" t="str">
        <f t="shared" si="12"/>
        <v>Medium</v>
      </c>
      <c r="S82" s="16">
        <v>26</v>
      </c>
      <c r="T82" s="30">
        <v>60292.805299999993</v>
      </c>
      <c r="U82" s="30">
        <v>36661.299999999996</v>
      </c>
      <c r="V82" s="30">
        <v>23631.505299999997</v>
      </c>
      <c r="W82" s="30">
        <v>0.39194569206750779</v>
      </c>
      <c r="X82" t="str">
        <f t="shared" si="13"/>
        <v>On-time</v>
      </c>
      <c r="Y82" t="str">
        <f t="shared" si="14"/>
        <v>Compliant Discount</v>
      </c>
      <c r="Z82" s="9">
        <f>MIN(Q82,'Scenario Modelling'!$B$2)</f>
        <v>0.161</v>
      </c>
      <c r="AA82">
        <f t="shared" si="15"/>
        <v>2318.9540499999998</v>
      </c>
      <c r="AB82">
        <f>N82*(1+'Scenario Modelling'!$B$3)</f>
        <v>1551.0550000000001</v>
      </c>
      <c r="AC82">
        <f>ROUNDUP(S82*(1+'Scenario Modelling'!$B$4),0)</f>
        <v>28</v>
      </c>
      <c r="AD82">
        <f t="shared" si="16"/>
        <v>64930.713399999993</v>
      </c>
      <c r="AE82">
        <f t="shared" si="17"/>
        <v>21501.173399999992</v>
      </c>
    </row>
    <row r="83" spans="1:31" x14ac:dyDescent="0.3">
      <c r="A83" s="31" t="s">
        <v>96</v>
      </c>
      <c r="B83" s="48">
        <v>45157</v>
      </c>
      <c r="C83" s="47" t="str">
        <f t="shared" si="10"/>
        <v>Q3-2023</v>
      </c>
      <c r="D83" s="32">
        <v>45181</v>
      </c>
      <c r="E83" s="17">
        <f t="shared" si="9"/>
        <v>24</v>
      </c>
      <c r="F83" s="33" t="s">
        <v>648</v>
      </c>
      <c r="G83" s="33" t="s">
        <v>653</v>
      </c>
      <c r="H83" s="33" t="s">
        <v>688</v>
      </c>
      <c r="I83" s="33" t="s">
        <v>706</v>
      </c>
      <c r="J83" s="33" t="s">
        <v>707</v>
      </c>
      <c r="K83" s="33" t="s">
        <v>714</v>
      </c>
      <c r="L83" s="33" t="s">
        <v>728</v>
      </c>
      <c r="M83" s="34" t="s">
        <v>815</v>
      </c>
      <c r="N83" s="35">
        <v>1183.95</v>
      </c>
      <c r="O83" s="35">
        <v>1503.53</v>
      </c>
      <c r="P83" s="30" t="str">
        <f t="shared" si="11"/>
        <v>Medium</v>
      </c>
      <c r="Q83" s="43">
        <v>0.24099999999999999</v>
      </c>
      <c r="R83" s="42" t="str">
        <f t="shared" si="12"/>
        <v>High</v>
      </c>
      <c r="S83" s="17">
        <v>16</v>
      </c>
      <c r="T83" s="30">
        <v>18258.868320000001</v>
      </c>
      <c r="U83" s="30">
        <v>18943.2</v>
      </c>
      <c r="V83" s="30">
        <v>-684.33167999999932</v>
      </c>
      <c r="W83" s="30">
        <v>-3.7479413729623705E-2</v>
      </c>
      <c r="X83" t="str">
        <f t="shared" si="13"/>
        <v>Delayed</v>
      </c>
      <c r="Y83" t="str">
        <f t="shared" si="14"/>
        <v>Non-compliant Discount</v>
      </c>
      <c r="Z83" s="9">
        <f>MIN(Q83,'Scenario Modelling'!$B$2)</f>
        <v>0.2</v>
      </c>
      <c r="AA83">
        <f t="shared" si="15"/>
        <v>1202.8240000000001</v>
      </c>
      <c r="AB83">
        <f>N83*(1+'Scenario Modelling'!$B$3)</f>
        <v>1302.3450000000003</v>
      </c>
      <c r="AC83">
        <f>ROUNDUP(S83*(1+'Scenario Modelling'!$B$4),0)</f>
        <v>17</v>
      </c>
      <c r="AD83">
        <f t="shared" si="16"/>
        <v>20448.008000000002</v>
      </c>
      <c r="AE83">
        <f t="shared" si="17"/>
        <v>-1691.8570000000032</v>
      </c>
    </row>
    <row r="84" spans="1:31" x14ac:dyDescent="0.3">
      <c r="A84" s="36" t="s">
        <v>97</v>
      </c>
      <c r="B84" s="49">
        <v>45791</v>
      </c>
      <c r="C84" s="47" t="str">
        <f t="shared" si="10"/>
        <v>Q2-2025</v>
      </c>
      <c r="D84" s="37">
        <v>45801</v>
      </c>
      <c r="E84" s="16">
        <f t="shared" si="9"/>
        <v>10</v>
      </c>
      <c r="F84" s="38" t="s">
        <v>649</v>
      </c>
      <c r="G84" s="38" t="s">
        <v>657</v>
      </c>
      <c r="H84" s="38" t="s">
        <v>690</v>
      </c>
      <c r="I84" s="38" t="s">
        <v>705</v>
      </c>
      <c r="J84" s="38" t="s">
        <v>709</v>
      </c>
      <c r="K84" s="38" t="s">
        <v>723</v>
      </c>
      <c r="L84" s="38" t="s">
        <v>727</v>
      </c>
      <c r="M84" s="39" t="s">
        <v>816</v>
      </c>
      <c r="N84" s="40">
        <v>170.39</v>
      </c>
      <c r="O84" s="40">
        <v>388.04</v>
      </c>
      <c r="P84" s="30" t="str">
        <f t="shared" si="11"/>
        <v>Low</v>
      </c>
      <c r="Q84" s="44">
        <v>8.4000000000000005E-2</v>
      </c>
      <c r="R84" s="42" t="str">
        <f t="shared" si="12"/>
        <v>Low</v>
      </c>
      <c r="S84" s="16">
        <v>15</v>
      </c>
      <c r="T84" s="30">
        <v>5331.6696000000002</v>
      </c>
      <c r="U84" s="30">
        <v>2555.85</v>
      </c>
      <c r="V84" s="30">
        <v>2775.8196000000003</v>
      </c>
      <c r="W84" s="30">
        <v>0.52062858508711796</v>
      </c>
      <c r="X84" t="str">
        <f t="shared" si="13"/>
        <v>Delayed</v>
      </c>
      <c r="Y84" t="str">
        <f t="shared" si="14"/>
        <v>Compliant Discount</v>
      </c>
      <c r="Z84" s="9">
        <f>MIN(Q84,'Scenario Modelling'!$B$2)</f>
        <v>8.4000000000000005E-2</v>
      </c>
      <c r="AA84">
        <f t="shared" si="15"/>
        <v>355.44464000000005</v>
      </c>
      <c r="AB84">
        <f>N84*(1+'Scenario Modelling'!$B$3)</f>
        <v>187.429</v>
      </c>
      <c r="AC84">
        <f>ROUNDUP(S84*(1+'Scenario Modelling'!$B$4),0)</f>
        <v>16</v>
      </c>
      <c r="AD84">
        <f t="shared" si="16"/>
        <v>5687.1142400000008</v>
      </c>
      <c r="AE84">
        <f t="shared" si="17"/>
        <v>2688.2502400000008</v>
      </c>
    </row>
    <row r="85" spans="1:31" x14ac:dyDescent="0.3">
      <c r="A85" s="31" t="s">
        <v>98</v>
      </c>
      <c r="B85" s="48">
        <v>45770</v>
      </c>
      <c r="C85" s="47" t="str">
        <f t="shared" si="10"/>
        <v>Q2-2025</v>
      </c>
      <c r="D85" s="32">
        <v>45777</v>
      </c>
      <c r="E85" s="17">
        <f t="shared" si="9"/>
        <v>7</v>
      </c>
      <c r="F85" s="33" t="s">
        <v>648</v>
      </c>
      <c r="G85" s="33" t="s">
        <v>660</v>
      </c>
      <c r="H85" s="33" t="s">
        <v>686</v>
      </c>
      <c r="I85" s="33" t="s">
        <v>703</v>
      </c>
      <c r="J85" s="33" t="s">
        <v>710</v>
      </c>
      <c r="K85" s="33" t="s">
        <v>726</v>
      </c>
      <c r="L85" s="33" t="s">
        <v>732</v>
      </c>
      <c r="M85" s="34" t="s">
        <v>817</v>
      </c>
      <c r="N85" s="35">
        <v>23.24</v>
      </c>
      <c r="O85" s="35">
        <v>44.57</v>
      </c>
      <c r="P85" s="30" t="str">
        <f t="shared" si="11"/>
        <v>Low</v>
      </c>
      <c r="Q85" s="43">
        <v>0.215</v>
      </c>
      <c r="R85" s="42" t="str">
        <f t="shared" si="12"/>
        <v>High</v>
      </c>
      <c r="S85" s="17">
        <v>15</v>
      </c>
      <c r="T85" s="30">
        <v>524.81174999999996</v>
      </c>
      <c r="U85" s="30">
        <v>348.59999999999997</v>
      </c>
      <c r="V85" s="30">
        <v>176.21174999999999</v>
      </c>
      <c r="W85" s="30">
        <v>0.33576182316802167</v>
      </c>
      <c r="X85" t="str">
        <f t="shared" si="13"/>
        <v>On-time</v>
      </c>
      <c r="Y85" t="str">
        <f t="shared" si="14"/>
        <v>Non-compliant Discount</v>
      </c>
      <c r="Z85" s="9">
        <f>MIN(Q85,'Scenario Modelling'!$B$2)</f>
        <v>0.2</v>
      </c>
      <c r="AA85">
        <f t="shared" si="15"/>
        <v>35.655999999999999</v>
      </c>
      <c r="AB85">
        <f>N85*(1+'Scenario Modelling'!$B$3)</f>
        <v>25.564</v>
      </c>
      <c r="AC85">
        <f>ROUNDUP(S85*(1+'Scenario Modelling'!$B$4),0)</f>
        <v>16</v>
      </c>
      <c r="AD85">
        <f t="shared" si="16"/>
        <v>570.49599999999998</v>
      </c>
      <c r="AE85">
        <f t="shared" si="17"/>
        <v>161.47199999999998</v>
      </c>
    </row>
    <row r="86" spans="1:31" x14ac:dyDescent="0.3">
      <c r="A86" s="36" t="s">
        <v>99</v>
      </c>
      <c r="B86" s="49">
        <v>45741</v>
      </c>
      <c r="C86" s="47" t="str">
        <f t="shared" si="10"/>
        <v>Q1-2025</v>
      </c>
      <c r="D86" s="37">
        <v>45764</v>
      </c>
      <c r="E86" s="16">
        <f t="shared" si="9"/>
        <v>23</v>
      </c>
      <c r="F86" s="38" t="s">
        <v>649</v>
      </c>
      <c r="G86" s="38" t="s">
        <v>658</v>
      </c>
      <c r="H86" s="38" t="s">
        <v>683</v>
      </c>
      <c r="I86" s="38" t="s">
        <v>704</v>
      </c>
      <c r="J86" s="38" t="s">
        <v>707</v>
      </c>
      <c r="K86" s="38" t="s">
        <v>722</v>
      </c>
      <c r="L86" s="38" t="s">
        <v>729</v>
      </c>
      <c r="M86" s="39" t="s">
        <v>818</v>
      </c>
      <c r="N86" s="40">
        <v>1421.19</v>
      </c>
      <c r="O86" s="40">
        <v>1808.26</v>
      </c>
      <c r="P86" s="30" t="str">
        <f t="shared" si="11"/>
        <v>High</v>
      </c>
      <c r="Q86" s="44">
        <v>0.104</v>
      </c>
      <c r="R86" s="42" t="str">
        <f t="shared" si="12"/>
        <v>Medium</v>
      </c>
      <c r="S86" s="16">
        <v>13</v>
      </c>
      <c r="T86" s="30">
        <v>21062.61248</v>
      </c>
      <c r="U86" s="30">
        <v>18475.47</v>
      </c>
      <c r="V86" s="30">
        <v>2587.1424799999986</v>
      </c>
      <c r="W86" s="30">
        <v>0.12283103449093123</v>
      </c>
      <c r="X86" t="str">
        <f t="shared" si="13"/>
        <v>Delayed</v>
      </c>
      <c r="Y86" t="str">
        <f t="shared" si="14"/>
        <v>Compliant Discount</v>
      </c>
      <c r="Z86" s="9">
        <f>MIN(Q86,'Scenario Modelling'!$B$2)</f>
        <v>0.104</v>
      </c>
      <c r="AA86">
        <f t="shared" si="15"/>
        <v>1620.2009600000001</v>
      </c>
      <c r="AB86">
        <f>N86*(1+'Scenario Modelling'!$B$3)</f>
        <v>1563.3090000000002</v>
      </c>
      <c r="AC86">
        <f>ROUNDUP(S86*(1+'Scenario Modelling'!$B$4),0)</f>
        <v>14</v>
      </c>
      <c r="AD86">
        <f t="shared" si="16"/>
        <v>22682.813440000002</v>
      </c>
      <c r="AE86">
        <f t="shared" si="17"/>
        <v>796.48743999999897</v>
      </c>
    </row>
    <row r="87" spans="1:31" x14ac:dyDescent="0.3">
      <c r="A87" s="31" t="s">
        <v>100</v>
      </c>
      <c r="B87" s="48">
        <v>45282</v>
      </c>
      <c r="C87" s="47" t="str">
        <f t="shared" si="10"/>
        <v>Q4-2023</v>
      </c>
      <c r="D87" s="32">
        <v>45283</v>
      </c>
      <c r="E87" s="17">
        <f t="shared" si="9"/>
        <v>1</v>
      </c>
      <c r="F87" s="33" t="s">
        <v>646</v>
      </c>
      <c r="G87" s="33" t="s">
        <v>661</v>
      </c>
      <c r="H87" s="33" t="s">
        <v>695</v>
      </c>
      <c r="I87" s="33" t="s">
        <v>703</v>
      </c>
      <c r="J87" s="33" t="s">
        <v>709</v>
      </c>
      <c r="K87" s="33" t="s">
        <v>726</v>
      </c>
      <c r="L87" s="33" t="s">
        <v>727</v>
      </c>
      <c r="M87" s="34" t="s">
        <v>819</v>
      </c>
      <c r="N87" s="35">
        <v>1186.18</v>
      </c>
      <c r="O87" s="35">
        <v>1285.0899999999999</v>
      </c>
      <c r="P87" s="30" t="str">
        <f t="shared" si="11"/>
        <v>Medium</v>
      </c>
      <c r="Q87" s="43">
        <v>7.0000000000000007E-2</v>
      </c>
      <c r="R87" s="42" t="str">
        <f t="shared" si="12"/>
        <v>Low</v>
      </c>
      <c r="S87" s="17">
        <v>11</v>
      </c>
      <c r="T87" s="30">
        <v>13146.470699999998</v>
      </c>
      <c r="U87" s="30">
        <v>13047.980000000001</v>
      </c>
      <c r="V87" s="30">
        <v>98.49069999999665</v>
      </c>
      <c r="W87" s="30">
        <v>7.4917977796121861E-3</v>
      </c>
      <c r="X87" t="str">
        <f t="shared" si="13"/>
        <v>On-time</v>
      </c>
      <c r="Y87" t="str">
        <f t="shared" si="14"/>
        <v>Compliant Discount</v>
      </c>
      <c r="Z87" s="9">
        <f>MIN(Q87,'Scenario Modelling'!$B$2)</f>
        <v>7.0000000000000007E-2</v>
      </c>
      <c r="AA87">
        <f t="shared" si="15"/>
        <v>1195.1336999999999</v>
      </c>
      <c r="AB87">
        <f>N87*(1+'Scenario Modelling'!$B$3)</f>
        <v>1304.7980000000002</v>
      </c>
      <c r="AC87">
        <f>ROUNDUP(S87*(1+'Scenario Modelling'!$B$4),0)</f>
        <v>12</v>
      </c>
      <c r="AD87">
        <f t="shared" si="16"/>
        <v>14341.604399999998</v>
      </c>
      <c r="AE87">
        <f t="shared" si="17"/>
        <v>-1315.9716000000044</v>
      </c>
    </row>
    <row r="88" spans="1:31" x14ac:dyDescent="0.3">
      <c r="A88" s="36" t="s">
        <v>101</v>
      </c>
      <c r="B88" s="49">
        <v>45388</v>
      </c>
      <c r="C88" s="47" t="str">
        <f t="shared" si="10"/>
        <v>Q2-2024</v>
      </c>
      <c r="D88" s="37">
        <v>45407</v>
      </c>
      <c r="E88" s="16">
        <f t="shared" si="9"/>
        <v>19</v>
      </c>
      <c r="F88" s="38" t="s">
        <v>647</v>
      </c>
      <c r="G88" s="38" t="s">
        <v>659</v>
      </c>
      <c r="H88" s="38" t="s">
        <v>685</v>
      </c>
      <c r="I88" s="38" t="s">
        <v>701</v>
      </c>
      <c r="J88" s="38" t="s">
        <v>707</v>
      </c>
      <c r="K88" s="38" t="s">
        <v>723</v>
      </c>
      <c r="L88" s="38" t="s">
        <v>727</v>
      </c>
      <c r="M88" s="39" t="s">
        <v>820</v>
      </c>
      <c r="N88" s="40">
        <v>1366.48</v>
      </c>
      <c r="O88" s="40">
        <v>1678.14</v>
      </c>
      <c r="P88" s="30" t="str">
        <f t="shared" si="11"/>
        <v>High</v>
      </c>
      <c r="Q88" s="44">
        <v>0.154</v>
      </c>
      <c r="R88" s="42" t="str">
        <f t="shared" si="12"/>
        <v>Medium</v>
      </c>
      <c r="S88" s="16">
        <v>10</v>
      </c>
      <c r="T88" s="30">
        <v>14197.064400000001</v>
      </c>
      <c r="U88" s="30">
        <v>13664.8</v>
      </c>
      <c r="V88" s="30">
        <v>532.26440000000184</v>
      </c>
      <c r="W88" s="30">
        <v>3.7491159087790132E-2</v>
      </c>
      <c r="X88" t="str">
        <f t="shared" si="13"/>
        <v>Delayed</v>
      </c>
      <c r="Y88" t="str">
        <f t="shared" si="14"/>
        <v>Compliant Discount</v>
      </c>
      <c r="Z88" s="9">
        <f>MIN(Q88,'Scenario Modelling'!$B$2)</f>
        <v>0.154</v>
      </c>
      <c r="AA88">
        <f t="shared" si="15"/>
        <v>1419.7064399999999</v>
      </c>
      <c r="AB88">
        <f>N88*(1+'Scenario Modelling'!$B$3)</f>
        <v>1503.1280000000002</v>
      </c>
      <c r="AC88">
        <f>ROUNDUP(S88*(1+'Scenario Modelling'!$B$4),0)</f>
        <v>11</v>
      </c>
      <c r="AD88">
        <f t="shared" si="16"/>
        <v>15616.770839999999</v>
      </c>
      <c r="AE88">
        <f t="shared" si="17"/>
        <v>-917.6371600000025</v>
      </c>
    </row>
    <row r="89" spans="1:31" x14ac:dyDescent="0.3">
      <c r="A89" s="31" t="s">
        <v>102</v>
      </c>
      <c r="B89" s="48">
        <v>45876</v>
      </c>
      <c r="C89" s="47" t="str">
        <f t="shared" si="10"/>
        <v>Q3-2025</v>
      </c>
      <c r="D89" s="32">
        <v>45888</v>
      </c>
      <c r="E89" s="17">
        <f t="shared" si="9"/>
        <v>12</v>
      </c>
      <c r="F89" s="33" t="s">
        <v>646</v>
      </c>
      <c r="G89" s="33" t="s">
        <v>650</v>
      </c>
      <c r="H89" s="33" t="s">
        <v>678</v>
      </c>
      <c r="I89" s="33" t="s">
        <v>701</v>
      </c>
      <c r="J89" s="33" t="s">
        <v>1424</v>
      </c>
      <c r="K89" s="33" t="s">
        <v>724</v>
      </c>
      <c r="L89" s="33" t="s">
        <v>727</v>
      </c>
      <c r="M89" s="34" t="s">
        <v>821</v>
      </c>
      <c r="N89" s="35">
        <v>601.51</v>
      </c>
      <c r="O89" s="35">
        <v>679.35</v>
      </c>
      <c r="P89" s="30" t="str">
        <f t="shared" si="11"/>
        <v>Low</v>
      </c>
      <c r="Q89" s="43">
        <v>0.188</v>
      </c>
      <c r="R89" s="42" t="str">
        <f t="shared" si="12"/>
        <v>Medium</v>
      </c>
      <c r="S89" s="17">
        <v>3</v>
      </c>
      <c r="T89" s="30">
        <v>1654.8966000000003</v>
      </c>
      <c r="U89" s="30">
        <v>1804.53</v>
      </c>
      <c r="V89" s="30">
        <v>-149.63339999999971</v>
      </c>
      <c r="W89" s="30">
        <v>-9.0418579626062243E-2</v>
      </c>
      <c r="X89" t="str">
        <f t="shared" si="13"/>
        <v>Delayed</v>
      </c>
      <c r="Y89" t="str">
        <f t="shared" si="14"/>
        <v>Compliant Discount</v>
      </c>
      <c r="Z89" s="9">
        <f>MIN(Q89,'Scenario Modelling'!$B$2)</f>
        <v>0.188</v>
      </c>
      <c r="AA89">
        <f t="shared" si="15"/>
        <v>551.63220000000001</v>
      </c>
      <c r="AB89">
        <f>N89*(1+'Scenario Modelling'!$B$3)</f>
        <v>661.66100000000006</v>
      </c>
      <c r="AC89">
        <f>ROUNDUP(S89*(1+'Scenario Modelling'!$B$4),0)</f>
        <v>4</v>
      </c>
      <c r="AD89">
        <f t="shared" si="16"/>
        <v>2206.5288</v>
      </c>
      <c r="AE89">
        <f t="shared" si="17"/>
        <v>-440.11520000000019</v>
      </c>
    </row>
    <row r="90" spans="1:31" x14ac:dyDescent="0.3">
      <c r="A90" s="36" t="s">
        <v>103</v>
      </c>
      <c r="B90" s="49">
        <v>45312</v>
      </c>
      <c r="C90" s="47" t="str">
        <f t="shared" si="10"/>
        <v>Q1-2024</v>
      </c>
      <c r="D90" s="37">
        <v>45316</v>
      </c>
      <c r="E90" s="16">
        <f t="shared" si="9"/>
        <v>4</v>
      </c>
      <c r="F90" s="38" t="s">
        <v>647</v>
      </c>
      <c r="G90" s="38" t="s">
        <v>654</v>
      </c>
      <c r="H90" s="38" t="s">
        <v>680</v>
      </c>
      <c r="I90" s="38" t="s">
        <v>704</v>
      </c>
      <c r="J90" s="38" t="s">
        <v>711</v>
      </c>
      <c r="K90" s="38" t="s">
        <v>712</v>
      </c>
      <c r="L90" s="38" t="s">
        <v>732</v>
      </c>
      <c r="M90" s="39" t="s">
        <v>822</v>
      </c>
      <c r="N90" s="40">
        <v>523.70000000000005</v>
      </c>
      <c r="O90" s="40">
        <v>1109.92</v>
      </c>
      <c r="P90" s="30" t="str">
        <f t="shared" si="11"/>
        <v>Medium</v>
      </c>
      <c r="Q90" s="44">
        <v>0.03</v>
      </c>
      <c r="R90" s="42" t="str">
        <f t="shared" si="12"/>
        <v>Low</v>
      </c>
      <c r="S90" s="16">
        <v>11</v>
      </c>
      <c r="T90" s="30">
        <v>11842.8464</v>
      </c>
      <c r="U90" s="30">
        <v>5760.7000000000007</v>
      </c>
      <c r="V90" s="30">
        <v>6082.1463999999996</v>
      </c>
      <c r="W90" s="30">
        <v>0.51357133197302973</v>
      </c>
      <c r="X90" t="str">
        <f t="shared" si="13"/>
        <v>On-time</v>
      </c>
      <c r="Y90" t="str">
        <f t="shared" si="14"/>
        <v>Compliant Discount</v>
      </c>
      <c r="Z90" s="9">
        <f>MIN(Q90,'Scenario Modelling'!$B$2)</f>
        <v>0.03</v>
      </c>
      <c r="AA90">
        <f t="shared" si="15"/>
        <v>1076.6224</v>
      </c>
      <c r="AB90">
        <f>N90*(1+'Scenario Modelling'!$B$3)</f>
        <v>576.07000000000005</v>
      </c>
      <c r="AC90">
        <f>ROUNDUP(S90*(1+'Scenario Modelling'!$B$4),0)</f>
        <v>12</v>
      </c>
      <c r="AD90">
        <f t="shared" si="16"/>
        <v>12919.468799999999</v>
      </c>
      <c r="AE90">
        <f t="shared" si="17"/>
        <v>6006.6287999999986</v>
      </c>
    </row>
    <row r="91" spans="1:31" x14ac:dyDescent="0.3">
      <c r="A91" s="31" t="s">
        <v>104</v>
      </c>
      <c r="B91" s="48">
        <v>45106</v>
      </c>
      <c r="C91" s="47" t="str">
        <f t="shared" si="10"/>
        <v>Q2-2023</v>
      </c>
      <c r="D91" s="32">
        <v>45109</v>
      </c>
      <c r="E91" s="17">
        <f t="shared" si="9"/>
        <v>3</v>
      </c>
      <c r="F91" s="33" t="s">
        <v>647</v>
      </c>
      <c r="G91" s="33" t="s">
        <v>652</v>
      </c>
      <c r="H91" s="33" t="s">
        <v>694</v>
      </c>
      <c r="I91" s="33" t="s">
        <v>702</v>
      </c>
      <c r="J91" s="33" t="s">
        <v>709</v>
      </c>
      <c r="K91" s="33" t="s">
        <v>721</v>
      </c>
      <c r="L91" s="33" t="s">
        <v>732</v>
      </c>
      <c r="M91" s="34" t="s">
        <v>823</v>
      </c>
      <c r="N91" s="35">
        <v>55.65</v>
      </c>
      <c r="O91" s="35">
        <v>83.57</v>
      </c>
      <c r="P91" s="30" t="str">
        <f t="shared" si="11"/>
        <v>Low</v>
      </c>
      <c r="Q91" s="43">
        <v>6.6000000000000003E-2</v>
      </c>
      <c r="R91" s="42" t="str">
        <f t="shared" si="12"/>
        <v>Low</v>
      </c>
      <c r="S91" s="17">
        <v>8</v>
      </c>
      <c r="T91" s="30">
        <v>624.43503999999996</v>
      </c>
      <c r="U91" s="30">
        <v>445.2</v>
      </c>
      <c r="V91" s="30">
        <v>179.23503999999997</v>
      </c>
      <c r="W91" s="30">
        <v>0.2870355257449998</v>
      </c>
      <c r="X91" t="str">
        <f t="shared" si="13"/>
        <v>On-time</v>
      </c>
      <c r="Y91" t="str">
        <f t="shared" si="14"/>
        <v>Compliant Discount</v>
      </c>
      <c r="Z91" s="9">
        <f>MIN(Q91,'Scenario Modelling'!$B$2)</f>
        <v>6.6000000000000003E-2</v>
      </c>
      <c r="AA91">
        <f t="shared" si="15"/>
        <v>78.054379999999995</v>
      </c>
      <c r="AB91">
        <f>N91*(1+'Scenario Modelling'!$B$3)</f>
        <v>61.215000000000003</v>
      </c>
      <c r="AC91">
        <f>ROUNDUP(S91*(1+'Scenario Modelling'!$B$4),0)</f>
        <v>9</v>
      </c>
      <c r="AD91">
        <f t="shared" si="16"/>
        <v>702.48942</v>
      </c>
      <c r="AE91">
        <f t="shared" si="17"/>
        <v>151.55441999999994</v>
      </c>
    </row>
    <row r="92" spans="1:31" x14ac:dyDescent="0.3">
      <c r="A92" s="36" t="s">
        <v>105</v>
      </c>
      <c r="B92" s="49">
        <v>45775</v>
      </c>
      <c r="C92" s="47" t="str">
        <f t="shared" si="10"/>
        <v>Q2-2025</v>
      </c>
      <c r="D92" s="37">
        <v>45792</v>
      </c>
      <c r="E92" s="16">
        <f t="shared" si="9"/>
        <v>17</v>
      </c>
      <c r="F92" s="38" t="s">
        <v>647</v>
      </c>
      <c r="G92" s="38" t="s">
        <v>652</v>
      </c>
      <c r="H92" s="38" t="s">
        <v>694</v>
      </c>
      <c r="I92" s="38" t="s">
        <v>702</v>
      </c>
      <c r="J92" s="38" t="s">
        <v>711</v>
      </c>
      <c r="K92" s="38" t="s">
        <v>725</v>
      </c>
      <c r="L92" s="38" t="s">
        <v>729</v>
      </c>
      <c r="M92" s="39" t="s">
        <v>824</v>
      </c>
      <c r="N92" s="40">
        <v>691.19</v>
      </c>
      <c r="O92" s="40">
        <v>1284.3</v>
      </c>
      <c r="P92" s="30" t="str">
        <f t="shared" si="11"/>
        <v>Medium</v>
      </c>
      <c r="Q92" s="44">
        <v>7.3999999999999996E-2</v>
      </c>
      <c r="R92" s="42" t="str">
        <f t="shared" si="12"/>
        <v>Low</v>
      </c>
      <c r="S92" s="16">
        <v>7</v>
      </c>
      <c r="T92" s="30">
        <v>8324.8326000000015</v>
      </c>
      <c r="U92" s="30">
        <v>4838.33</v>
      </c>
      <c r="V92" s="30">
        <v>3486.5026000000016</v>
      </c>
      <c r="W92" s="30">
        <v>0.41880753253825198</v>
      </c>
      <c r="X92" t="str">
        <f t="shared" si="13"/>
        <v>Delayed</v>
      </c>
      <c r="Y92" t="str">
        <f t="shared" si="14"/>
        <v>Compliant Discount</v>
      </c>
      <c r="Z92" s="9">
        <f>MIN(Q92,'Scenario Modelling'!$B$2)</f>
        <v>7.3999999999999996E-2</v>
      </c>
      <c r="AA92">
        <f t="shared" si="15"/>
        <v>1189.2618</v>
      </c>
      <c r="AB92">
        <f>N92*(1+'Scenario Modelling'!$B$3)</f>
        <v>760.30900000000008</v>
      </c>
      <c r="AC92">
        <f>ROUNDUP(S92*(1+'Scenario Modelling'!$B$4),0)</f>
        <v>8</v>
      </c>
      <c r="AD92">
        <f t="shared" si="16"/>
        <v>9514.0944</v>
      </c>
      <c r="AE92">
        <f t="shared" si="17"/>
        <v>3431.6223999999993</v>
      </c>
    </row>
    <row r="93" spans="1:31" x14ac:dyDescent="0.3">
      <c r="A93" s="31" t="s">
        <v>106</v>
      </c>
      <c r="B93" s="48">
        <v>45817</v>
      </c>
      <c r="C93" s="47" t="str">
        <f t="shared" si="10"/>
        <v>Q2-2025</v>
      </c>
      <c r="D93" s="32">
        <v>45833</v>
      </c>
      <c r="E93" s="17">
        <f t="shared" si="9"/>
        <v>16</v>
      </c>
      <c r="F93" s="33" t="s">
        <v>647</v>
      </c>
      <c r="G93" s="33" t="s">
        <v>654</v>
      </c>
      <c r="H93" s="33" t="s">
        <v>696</v>
      </c>
      <c r="I93" s="33" t="s">
        <v>706</v>
      </c>
      <c r="J93" s="33" t="s">
        <v>710</v>
      </c>
      <c r="K93" s="33" t="s">
        <v>724</v>
      </c>
      <c r="L93" s="33" t="s">
        <v>730</v>
      </c>
      <c r="M93" s="34" t="s">
        <v>825</v>
      </c>
      <c r="N93" s="35">
        <v>527.33000000000004</v>
      </c>
      <c r="O93" s="35">
        <v>911.72</v>
      </c>
      <c r="P93" s="30" t="str">
        <f t="shared" si="11"/>
        <v>Medium</v>
      </c>
      <c r="Q93" s="43">
        <v>0.14399999999999999</v>
      </c>
      <c r="R93" s="42" t="str">
        <f t="shared" si="12"/>
        <v>Medium</v>
      </c>
      <c r="S93" s="17">
        <v>25</v>
      </c>
      <c r="T93" s="30">
        <v>19510.808000000001</v>
      </c>
      <c r="U93" s="30">
        <v>13183.250000000002</v>
      </c>
      <c r="V93" s="30">
        <v>6327.5579999999991</v>
      </c>
      <c r="W93" s="30">
        <v>0.32431040272652978</v>
      </c>
      <c r="X93" t="str">
        <f t="shared" si="13"/>
        <v>Delayed</v>
      </c>
      <c r="Y93" t="str">
        <f t="shared" si="14"/>
        <v>Compliant Discount</v>
      </c>
      <c r="Z93" s="9">
        <f>MIN(Q93,'Scenario Modelling'!$B$2)</f>
        <v>0.14399999999999999</v>
      </c>
      <c r="AA93">
        <f t="shared" si="15"/>
        <v>780.43232</v>
      </c>
      <c r="AB93">
        <f>N93*(1+'Scenario Modelling'!$B$3)</f>
        <v>580.0630000000001</v>
      </c>
      <c r="AC93">
        <f>ROUNDUP(S93*(1+'Scenario Modelling'!$B$4),0)</f>
        <v>27</v>
      </c>
      <c r="AD93">
        <f t="shared" si="16"/>
        <v>21071.672640000001</v>
      </c>
      <c r="AE93">
        <f t="shared" si="17"/>
        <v>5409.971639999997</v>
      </c>
    </row>
    <row r="94" spans="1:31" x14ac:dyDescent="0.3">
      <c r="A94" s="36" t="s">
        <v>107</v>
      </c>
      <c r="B94" s="49">
        <v>45101</v>
      </c>
      <c r="C94" s="47" t="str">
        <f t="shared" si="10"/>
        <v>Q2-2023</v>
      </c>
      <c r="D94" s="37">
        <v>45108</v>
      </c>
      <c r="E94" s="16">
        <f t="shared" si="9"/>
        <v>7</v>
      </c>
      <c r="F94" s="38" t="s">
        <v>648</v>
      </c>
      <c r="G94" s="38" t="s">
        <v>655</v>
      </c>
      <c r="H94" s="38" t="s">
        <v>692</v>
      </c>
      <c r="I94" s="38" t="s">
        <v>703</v>
      </c>
      <c r="J94" s="38" t="s">
        <v>707</v>
      </c>
      <c r="K94" s="38" t="s">
        <v>718</v>
      </c>
      <c r="L94" s="38" t="s">
        <v>728</v>
      </c>
      <c r="M94" s="39" t="s">
        <v>826</v>
      </c>
      <c r="N94" s="40">
        <v>804.01</v>
      </c>
      <c r="O94" s="40">
        <v>1405.07</v>
      </c>
      <c r="P94" s="30" t="str">
        <f t="shared" si="11"/>
        <v>Medium</v>
      </c>
      <c r="Q94" s="44">
        <v>9.6000000000000002E-2</v>
      </c>
      <c r="R94" s="42" t="str">
        <f t="shared" si="12"/>
        <v>Low</v>
      </c>
      <c r="S94" s="16">
        <v>8</v>
      </c>
      <c r="T94" s="30">
        <v>10161.46624</v>
      </c>
      <c r="U94" s="30">
        <v>6432.08</v>
      </c>
      <c r="V94" s="30">
        <v>3729.3862399999998</v>
      </c>
      <c r="W94" s="30">
        <v>0.36701260939287439</v>
      </c>
      <c r="X94" t="str">
        <f t="shared" si="13"/>
        <v>On-time</v>
      </c>
      <c r="Y94" t="str">
        <f t="shared" si="14"/>
        <v>Compliant Discount</v>
      </c>
      <c r="Z94" s="9">
        <f>MIN(Q94,'Scenario Modelling'!$B$2)</f>
        <v>9.6000000000000002E-2</v>
      </c>
      <c r="AA94">
        <f t="shared" si="15"/>
        <v>1270.18328</v>
      </c>
      <c r="AB94">
        <f>N94*(1+'Scenario Modelling'!$B$3)</f>
        <v>884.41100000000006</v>
      </c>
      <c r="AC94">
        <f>ROUNDUP(S94*(1+'Scenario Modelling'!$B$4),0)</f>
        <v>9</v>
      </c>
      <c r="AD94">
        <f t="shared" si="16"/>
        <v>11431.649519999999</v>
      </c>
      <c r="AE94">
        <f t="shared" si="17"/>
        <v>3471.9505199999994</v>
      </c>
    </row>
    <row r="95" spans="1:31" x14ac:dyDescent="0.3">
      <c r="A95" s="31" t="s">
        <v>108</v>
      </c>
      <c r="B95" s="48">
        <v>45569</v>
      </c>
      <c r="C95" s="47" t="str">
        <f t="shared" si="10"/>
        <v>Q4-2024</v>
      </c>
      <c r="D95" s="32">
        <v>45598</v>
      </c>
      <c r="E95" s="17">
        <f t="shared" si="9"/>
        <v>29</v>
      </c>
      <c r="F95" s="33" t="s">
        <v>646</v>
      </c>
      <c r="G95" s="33" t="s">
        <v>651</v>
      </c>
      <c r="H95" s="33" t="s">
        <v>669</v>
      </c>
      <c r="I95" s="33" t="s">
        <v>701</v>
      </c>
      <c r="J95" s="33" t="s">
        <v>710</v>
      </c>
      <c r="K95" s="33" t="s">
        <v>721</v>
      </c>
      <c r="L95" s="33" t="s">
        <v>733</v>
      </c>
      <c r="M95" s="34" t="s">
        <v>827</v>
      </c>
      <c r="N95" s="35">
        <v>412.09</v>
      </c>
      <c r="O95" s="35">
        <v>968.94</v>
      </c>
      <c r="P95" s="30" t="str">
        <f t="shared" si="11"/>
        <v>Medium</v>
      </c>
      <c r="Q95" s="43">
        <v>9.9000000000000005E-2</v>
      </c>
      <c r="R95" s="42" t="str">
        <f t="shared" si="12"/>
        <v>Low</v>
      </c>
      <c r="S95" s="17">
        <v>23</v>
      </c>
      <c r="T95" s="30">
        <v>20079.343620000003</v>
      </c>
      <c r="U95" s="30">
        <v>9478.07</v>
      </c>
      <c r="V95" s="30">
        <v>10601.273620000004</v>
      </c>
      <c r="W95" s="30">
        <v>0.52796913189137418</v>
      </c>
      <c r="X95" t="str">
        <f t="shared" si="13"/>
        <v>Delayed</v>
      </c>
      <c r="Y95" t="str">
        <f t="shared" si="14"/>
        <v>Compliant Discount</v>
      </c>
      <c r="Z95" s="9">
        <f>MIN(Q95,'Scenario Modelling'!$B$2)</f>
        <v>9.9000000000000005E-2</v>
      </c>
      <c r="AA95">
        <f t="shared" si="15"/>
        <v>873.01494000000002</v>
      </c>
      <c r="AB95">
        <f>N95*(1+'Scenario Modelling'!$B$3)</f>
        <v>453.29900000000004</v>
      </c>
      <c r="AC95">
        <f>ROUNDUP(S95*(1+'Scenario Modelling'!$B$4),0)</f>
        <v>25</v>
      </c>
      <c r="AD95">
        <f t="shared" si="16"/>
        <v>21825.373500000002</v>
      </c>
      <c r="AE95">
        <f t="shared" si="17"/>
        <v>10492.898499999999</v>
      </c>
    </row>
    <row r="96" spans="1:31" x14ac:dyDescent="0.3">
      <c r="A96" s="36" t="s">
        <v>109</v>
      </c>
      <c r="B96" s="49">
        <v>45910</v>
      </c>
      <c r="C96" s="47" t="str">
        <f t="shared" si="10"/>
        <v>Q3-2025</v>
      </c>
      <c r="D96" s="37">
        <v>45930</v>
      </c>
      <c r="E96" s="16">
        <f t="shared" si="9"/>
        <v>20</v>
      </c>
      <c r="F96" s="38" t="s">
        <v>646</v>
      </c>
      <c r="G96" s="38" t="s">
        <v>650</v>
      </c>
      <c r="H96" s="38" t="s">
        <v>675</v>
      </c>
      <c r="I96" s="38" t="s">
        <v>701</v>
      </c>
      <c r="J96" s="38" t="s">
        <v>711</v>
      </c>
      <c r="K96" s="38" t="s">
        <v>716</v>
      </c>
      <c r="L96" s="38" t="s">
        <v>730</v>
      </c>
      <c r="M96" s="39" t="s">
        <v>828</v>
      </c>
      <c r="N96" s="40">
        <v>1009.48</v>
      </c>
      <c r="O96" s="40">
        <v>1088.81</v>
      </c>
      <c r="P96" s="30" t="str">
        <f t="shared" si="11"/>
        <v>Medium</v>
      </c>
      <c r="Q96" s="44">
        <v>0.16</v>
      </c>
      <c r="R96" s="42" t="str">
        <f t="shared" si="12"/>
        <v>Medium</v>
      </c>
      <c r="S96" s="16">
        <v>6</v>
      </c>
      <c r="T96" s="30">
        <v>5487.6023999999998</v>
      </c>
      <c r="U96" s="30">
        <v>6056.88</v>
      </c>
      <c r="V96" s="30">
        <v>-569.27760000000035</v>
      </c>
      <c r="W96" s="30">
        <v>-0.10373885688219693</v>
      </c>
      <c r="X96" t="str">
        <f t="shared" si="13"/>
        <v>Delayed</v>
      </c>
      <c r="Y96" t="str">
        <f t="shared" si="14"/>
        <v>Compliant Discount</v>
      </c>
      <c r="Z96" s="9">
        <f>MIN(Q96,'Scenario Modelling'!$B$2)</f>
        <v>0.16</v>
      </c>
      <c r="AA96">
        <f t="shared" si="15"/>
        <v>914.60039999999992</v>
      </c>
      <c r="AB96">
        <f>N96*(1+'Scenario Modelling'!$B$3)</f>
        <v>1110.4280000000001</v>
      </c>
      <c r="AC96">
        <f>ROUNDUP(S96*(1+'Scenario Modelling'!$B$4),0)</f>
        <v>7</v>
      </c>
      <c r="AD96">
        <f t="shared" si="16"/>
        <v>6402.2027999999991</v>
      </c>
      <c r="AE96">
        <f t="shared" si="17"/>
        <v>-1370.7932000000014</v>
      </c>
    </row>
    <row r="97" spans="1:31" x14ac:dyDescent="0.3">
      <c r="A97" s="31" t="s">
        <v>110</v>
      </c>
      <c r="B97" s="48">
        <v>45022</v>
      </c>
      <c r="C97" s="47" t="str">
        <f t="shared" si="10"/>
        <v>Q2-2023</v>
      </c>
      <c r="D97" s="32">
        <v>45043</v>
      </c>
      <c r="E97" s="17">
        <f t="shared" si="9"/>
        <v>21</v>
      </c>
      <c r="F97" s="33" t="s">
        <v>649</v>
      </c>
      <c r="G97" s="33" t="s">
        <v>658</v>
      </c>
      <c r="H97" s="33" t="s">
        <v>693</v>
      </c>
      <c r="I97" s="33" t="s">
        <v>706</v>
      </c>
      <c r="J97" s="33" t="s">
        <v>710</v>
      </c>
      <c r="K97" s="33" t="s">
        <v>714</v>
      </c>
      <c r="L97" s="33" t="s">
        <v>728</v>
      </c>
      <c r="M97" s="34" t="s">
        <v>829</v>
      </c>
      <c r="N97" s="35">
        <v>1084.79</v>
      </c>
      <c r="O97" s="35">
        <v>2484.9899999999998</v>
      </c>
      <c r="P97" s="30" t="str">
        <f t="shared" si="11"/>
        <v>High</v>
      </c>
      <c r="Q97" s="43">
        <v>3.4000000000000002E-2</v>
      </c>
      <c r="R97" s="42" t="str">
        <f t="shared" si="12"/>
        <v>Low</v>
      </c>
      <c r="S97" s="17">
        <v>18</v>
      </c>
      <c r="T97" s="30">
        <v>43209.006119999991</v>
      </c>
      <c r="U97" s="30">
        <v>19526.22</v>
      </c>
      <c r="V97" s="30">
        <v>23682.78611999999</v>
      </c>
      <c r="W97" s="30">
        <v>0.54809837685755114</v>
      </c>
      <c r="X97" t="str">
        <f t="shared" si="13"/>
        <v>Delayed</v>
      </c>
      <c r="Y97" t="str">
        <f t="shared" si="14"/>
        <v>Compliant Discount</v>
      </c>
      <c r="Z97" s="9">
        <f>MIN(Q97,'Scenario Modelling'!$B$2)</f>
        <v>3.4000000000000002E-2</v>
      </c>
      <c r="AA97">
        <f t="shared" si="15"/>
        <v>2400.5003399999996</v>
      </c>
      <c r="AB97">
        <f>N97*(1+'Scenario Modelling'!$B$3)</f>
        <v>1193.269</v>
      </c>
      <c r="AC97">
        <f>ROUNDUP(S97*(1+'Scenario Modelling'!$B$4),0)</f>
        <v>19</v>
      </c>
      <c r="AD97">
        <f t="shared" si="16"/>
        <v>45609.50645999999</v>
      </c>
      <c r="AE97">
        <f t="shared" si="17"/>
        <v>22937.395459999992</v>
      </c>
    </row>
    <row r="98" spans="1:31" x14ac:dyDescent="0.3">
      <c r="A98" s="36" t="s">
        <v>111</v>
      </c>
      <c r="B98" s="49">
        <v>45870</v>
      </c>
      <c r="C98" s="47" t="str">
        <f t="shared" si="10"/>
        <v>Q3-2025</v>
      </c>
      <c r="D98" s="37">
        <v>45885</v>
      </c>
      <c r="E98" s="16">
        <f t="shared" si="9"/>
        <v>15</v>
      </c>
      <c r="F98" s="38" t="s">
        <v>647</v>
      </c>
      <c r="G98" s="38" t="s">
        <v>654</v>
      </c>
      <c r="H98" s="38" t="s">
        <v>1424</v>
      </c>
      <c r="I98" s="38" t="s">
        <v>706</v>
      </c>
      <c r="J98" s="38" t="s">
        <v>711</v>
      </c>
      <c r="K98" s="38" t="s">
        <v>719</v>
      </c>
      <c r="L98" s="38" t="s">
        <v>732</v>
      </c>
      <c r="M98" s="39" t="s">
        <v>830</v>
      </c>
      <c r="N98" s="40">
        <v>24.44</v>
      </c>
      <c r="O98" s="40">
        <v>28.69</v>
      </c>
      <c r="P98" s="30" t="str">
        <f t="shared" si="11"/>
        <v>Low</v>
      </c>
      <c r="Q98" s="44">
        <v>0.14599999999999999</v>
      </c>
      <c r="R98" s="42" t="str">
        <f t="shared" si="12"/>
        <v>Medium</v>
      </c>
      <c r="S98" s="16">
        <v>6</v>
      </c>
      <c r="T98" s="30">
        <v>147.00756000000001</v>
      </c>
      <c r="U98" s="30">
        <v>146.64000000000001</v>
      </c>
      <c r="V98" s="30">
        <v>0.36755999999999744</v>
      </c>
      <c r="W98" s="30">
        <v>2.5002795774584476E-3</v>
      </c>
      <c r="X98" t="str">
        <f t="shared" si="13"/>
        <v>Delayed</v>
      </c>
      <c r="Y98" t="str">
        <f t="shared" si="14"/>
        <v>Compliant Discount</v>
      </c>
      <c r="Z98" s="9">
        <f>MIN(Q98,'Scenario Modelling'!$B$2)</f>
        <v>0.14599999999999999</v>
      </c>
      <c r="AA98">
        <f t="shared" si="15"/>
        <v>24.501260000000002</v>
      </c>
      <c r="AB98">
        <f>N98*(1+'Scenario Modelling'!$B$3)</f>
        <v>26.884000000000004</v>
      </c>
      <c r="AC98">
        <f>ROUNDUP(S98*(1+'Scenario Modelling'!$B$4),0)</f>
        <v>7</v>
      </c>
      <c r="AD98">
        <f t="shared" si="16"/>
        <v>171.50882000000001</v>
      </c>
      <c r="AE98">
        <f t="shared" si="17"/>
        <v>-16.679180000000013</v>
      </c>
    </row>
    <row r="99" spans="1:31" x14ac:dyDescent="0.3">
      <c r="A99" s="31" t="s">
        <v>112</v>
      </c>
      <c r="B99" s="48">
        <v>45440</v>
      </c>
      <c r="C99" s="47" t="str">
        <f t="shared" si="10"/>
        <v>Q2-2024</v>
      </c>
      <c r="D99" s="32">
        <v>45447</v>
      </c>
      <c r="E99" s="17">
        <f t="shared" si="9"/>
        <v>7</v>
      </c>
      <c r="F99" s="33" t="s">
        <v>646</v>
      </c>
      <c r="G99" s="33" t="s">
        <v>651</v>
      </c>
      <c r="H99" s="33" t="s">
        <v>669</v>
      </c>
      <c r="I99" s="33" t="s">
        <v>706</v>
      </c>
      <c r="J99" s="33" t="s">
        <v>708</v>
      </c>
      <c r="K99" s="33" t="s">
        <v>721</v>
      </c>
      <c r="L99" s="33" t="s">
        <v>733</v>
      </c>
      <c r="M99" s="34" t="s">
        <v>831</v>
      </c>
      <c r="N99" s="35">
        <v>1227.08</v>
      </c>
      <c r="O99" s="35">
        <v>1896.62</v>
      </c>
      <c r="P99" s="30" t="str">
        <f t="shared" si="11"/>
        <v>High</v>
      </c>
      <c r="Q99" s="43">
        <v>0</v>
      </c>
      <c r="R99" s="42" t="str">
        <f t="shared" si="12"/>
        <v>Low</v>
      </c>
      <c r="S99" s="17">
        <v>18</v>
      </c>
      <c r="T99" s="30">
        <v>34139.159999999996</v>
      </c>
      <c r="U99" s="30">
        <v>22087.439999999999</v>
      </c>
      <c r="V99" s="30">
        <v>12051.719999999998</v>
      </c>
      <c r="W99" s="30">
        <v>0.353017473189147</v>
      </c>
      <c r="X99" t="str">
        <f t="shared" si="13"/>
        <v>On-time</v>
      </c>
      <c r="Y99" t="str">
        <f t="shared" si="14"/>
        <v>Compliant Discount</v>
      </c>
      <c r="Z99" s="9">
        <f>MIN(Q99,'Scenario Modelling'!$B$2)</f>
        <v>0</v>
      </c>
      <c r="AA99">
        <f t="shared" si="15"/>
        <v>1896.62</v>
      </c>
      <c r="AB99">
        <f>N99*(1+'Scenario Modelling'!$B$3)</f>
        <v>1349.788</v>
      </c>
      <c r="AC99">
        <f>ROUNDUP(S99*(1+'Scenario Modelling'!$B$4),0)</f>
        <v>19</v>
      </c>
      <c r="AD99">
        <f t="shared" si="16"/>
        <v>36035.78</v>
      </c>
      <c r="AE99">
        <f t="shared" si="17"/>
        <v>10389.807999999997</v>
      </c>
    </row>
    <row r="100" spans="1:31" x14ac:dyDescent="0.3">
      <c r="A100" s="36" t="s">
        <v>113</v>
      </c>
      <c r="B100" s="49">
        <v>45860</v>
      </c>
      <c r="C100" s="47" t="str">
        <f t="shared" si="10"/>
        <v>Q3-2025</v>
      </c>
      <c r="D100" s="37">
        <v>45887</v>
      </c>
      <c r="E100" s="16">
        <f t="shared" si="9"/>
        <v>27</v>
      </c>
      <c r="F100" s="38" t="s">
        <v>647</v>
      </c>
      <c r="G100" s="38" t="s">
        <v>659</v>
      </c>
      <c r="H100" s="38" t="s">
        <v>676</v>
      </c>
      <c r="I100" s="38" t="s">
        <v>703</v>
      </c>
      <c r="J100" s="38" t="s">
        <v>709</v>
      </c>
      <c r="K100" s="38" t="s">
        <v>724</v>
      </c>
      <c r="L100" s="38" t="s">
        <v>729</v>
      </c>
      <c r="M100" s="39" t="s">
        <v>832</v>
      </c>
      <c r="N100" s="40">
        <v>547.32000000000005</v>
      </c>
      <c r="O100" s="40">
        <v>419.17</v>
      </c>
      <c r="P100" s="30" t="str">
        <f t="shared" si="11"/>
        <v>Low</v>
      </c>
      <c r="Q100" s="44">
        <v>9.1999999999999998E-2</v>
      </c>
      <c r="R100" s="42" t="str">
        <f t="shared" si="12"/>
        <v>Low</v>
      </c>
      <c r="S100" s="16">
        <v>14</v>
      </c>
      <c r="T100" s="30">
        <v>5328.4890400000004</v>
      </c>
      <c r="U100" s="30">
        <v>7662.4800000000005</v>
      </c>
      <c r="V100" s="30">
        <v>-2333.9909600000001</v>
      </c>
      <c r="W100" s="30">
        <v>-0.43802116181137907</v>
      </c>
      <c r="X100" t="str">
        <f t="shared" si="13"/>
        <v>Delayed</v>
      </c>
      <c r="Y100" t="str">
        <f t="shared" si="14"/>
        <v>Compliant Discount</v>
      </c>
      <c r="Z100" s="9">
        <f>MIN(Q100,'Scenario Modelling'!$B$2)</f>
        <v>9.1999999999999998E-2</v>
      </c>
      <c r="AA100">
        <f t="shared" si="15"/>
        <v>380.60636000000005</v>
      </c>
      <c r="AB100">
        <f>N100*(1+'Scenario Modelling'!$B$3)</f>
        <v>602.05200000000013</v>
      </c>
      <c r="AC100">
        <f>ROUNDUP(S100*(1+'Scenario Modelling'!$B$4),0)</f>
        <v>15</v>
      </c>
      <c r="AD100">
        <f t="shared" si="16"/>
        <v>5709.0954000000011</v>
      </c>
      <c r="AE100">
        <f t="shared" si="17"/>
        <v>-3321.6846000000014</v>
      </c>
    </row>
    <row r="101" spans="1:31" x14ac:dyDescent="0.3">
      <c r="A101" s="31" t="s">
        <v>114</v>
      </c>
      <c r="B101" s="48">
        <v>44985</v>
      </c>
      <c r="C101" s="47" t="str">
        <f t="shared" si="10"/>
        <v>Q1-2023</v>
      </c>
      <c r="D101" s="32">
        <v>45005</v>
      </c>
      <c r="E101" s="17">
        <f t="shared" si="9"/>
        <v>20</v>
      </c>
      <c r="F101" s="33" t="s">
        <v>649</v>
      </c>
      <c r="G101" s="33" t="s">
        <v>656</v>
      </c>
      <c r="H101" s="33" t="s">
        <v>671</v>
      </c>
      <c r="I101" s="33" t="s">
        <v>705</v>
      </c>
      <c r="J101" s="33" t="s">
        <v>711</v>
      </c>
      <c r="K101" s="33" t="s">
        <v>722</v>
      </c>
      <c r="L101" s="33" t="s">
        <v>731</v>
      </c>
      <c r="M101" s="34" t="s">
        <v>833</v>
      </c>
      <c r="N101" s="35">
        <v>1200.78</v>
      </c>
      <c r="O101" s="35">
        <v>2001.17</v>
      </c>
      <c r="P101" s="30" t="str">
        <f t="shared" si="11"/>
        <v>High</v>
      </c>
      <c r="Q101" s="43">
        <v>0.29199999999999998</v>
      </c>
      <c r="R101" s="42" t="str">
        <f t="shared" si="12"/>
        <v>High</v>
      </c>
      <c r="S101" s="17">
        <v>18</v>
      </c>
      <c r="T101" s="30">
        <v>25502.910479999999</v>
      </c>
      <c r="U101" s="30">
        <v>21614.04</v>
      </c>
      <c r="V101" s="30">
        <v>3888.8704799999978</v>
      </c>
      <c r="W101" s="30">
        <v>0.15248732034132906</v>
      </c>
      <c r="X101" t="str">
        <f t="shared" si="13"/>
        <v>Delayed</v>
      </c>
      <c r="Y101" t="str">
        <f t="shared" si="14"/>
        <v>Non-compliant Discount</v>
      </c>
      <c r="Z101" s="9">
        <f>MIN(Q101,'Scenario Modelling'!$B$2)</f>
        <v>0.2</v>
      </c>
      <c r="AA101">
        <f t="shared" si="15"/>
        <v>1600.9360000000001</v>
      </c>
      <c r="AB101">
        <f>N101*(1+'Scenario Modelling'!$B$3)</f>
        <v>1320.8580000000002</v>
      </c>
      <c r="AC101">
        <f>ROUNDUP(S101*(1+'Scenario Modelling'!$B$4),0)</f>
        <v>19</v>
      </c>
      <c r="AD101">
        <f t="shared" si="16"/>
        <v>30417.784000000003</v>
      </c>
      <c r="AE101">
        <f t="shared" si="17"/>
        <v>5321.482</v>
      </c>
    </row>
    <row r="102" spans="1:31" x14ac:dyDescent="0.3">
      <c r="A102" s="36" t="s">
        <v>115</v>
      </c>
      <c r="B102" s="49">
        <v>45684</v>
      </c>
      <c r="C102" s="47" t="str">
        <f t="shared" si="10"/>
        <v>Q1-2025</v>
      </c>
      <c r="D102" s="37">
        <v>45703</v>
      </c>
      <c r="E102" s="16">
        <f t="shared" si="9"/>
        <v>19</v>
      </c>
      <c r="F102" s="38" t="s">
        <v>647</v>
      </c>
      <c r="G102" s="38" t="s">
        <v>659</v>
      </c>
      <c r="H102" s="38" t="s">
        <v>676</v>
      </c>
      <c r="I102" s="38" t="s">
        <v>703</v>
      </c>
      <c r="J102" s="38" t="s">
        <v>711</v>
      </c>
      <c r="K102" s="38" t="s">
        <v>716</v>
      </c>
      <c r="L102" s="38" t="s">
        <v>730</v>
      </c>
      <c r="M102" s="39" t="s">
        <v>834</v>
      </c>
      <c r="N102" s="40">
        <v>1253.22</v>
      </c>
      <c r="O102" s="40">
        <v>3104.71</v>
      </c>
      <c r="P102" s="30" t="str">
        <f t="shared" si="11"/>
        <v>High</v>
      </c>
      <c r="Q102" s="44">
        <v>0</v>
      </c>
      <c r="R102" s="42" t="str">
        <f t="shared" si="12"/>
        <v>Low</v>
      </c>
      <c r="S102" s="16">
        <v>17</v>
      </c>
      <c r="T102" s="30">
        <v>52780.07</v>
      </c>
      <c r="U102" s="30">
        <v>21304.74</v>
      </c>
      <c r="V102" s="30">
        <v>31475.329999999998</v>
      </c>
      <c r="W102" s="30">
        <v>0.59634877331538205</v>
      </c>
      <c r="X102" t="str">
        <f t="shared" si="13"/>
        <v>Delayed</v>
      </c>
      <c r="Y102" t="str">
        <f t="shared" si="14"/>
        <v>Compliant Discount</v>
      </c>
      <c r="Z102" s="9">
        <f>MIN(Q102,'Scenario Modelling'!$B$2)</f>
        <v>0</v>
      </c>
      <c r="AA102">
        <f t="shared" si="15"/>
        <v>3104.71</v>
      </c>
      <c r="AB102">
        <f>N102*(1+'Scenario Modelling'!$B$3)</f>
        <v>1378.5420000000001</v>
      </c>
      <c r="AC102">
        <f>ROUNDUP(S102*(1+'Scenario Modelling'!$B$4),0)</f>
        <v>18</v>
      </c>
      <c r="AD102">
        <f t="shared" si="16"/>
        <v>55884.78</v>
      </c>
      <c r="AE102">
        <f t="shared" si="17"/>
        <v>31071.023999999998</v>
      </c>
    </row>
    <row r="103" spans="1:31" x14ac:dyDescent="0.3">
      <c r="A103" s="31" t="s">
        <v>116</v>
      </c>
      <c r="B103" s="48">
        <v>45304</v>
      </c>
      <c r="C103" s="47" t="str">
        <f t="shared" si="10"/>
        <v>Q1-2024</v>
      </c>
      <c r="D103" s="32">
        <v>45313</v>
      </c>
      <c r="E103" s="17">
        <f t="shared" si="9"/>
        <v>9</v>
      </c>
      <c r="F103" s="33" t="s">
        <v>647</v>
      </c>
      <c r="G103" s="33" t="s">
        <v>654</v>
      </c>
      <c r="H103" s="33" t="s">
        <v>691</v>
      </c>
      <c r="I103" s="33" t="s">
        <v>706</v>
      </c>
      <c r="J103" s="33" t="s">
        <v>709</v>
      </c>
      <c r="K103" s="33" t="s">
        <v>713</v>
      </c>
      <c r="L103" s="33" t="s">
        <v>727</v>
      </c>
      <c r="M103" s="34" t="s">
        <v>835</v>
      </c>
      <c r="N103" s="35">
        <v>313.60000000000002</v>
      </c>
      <c r="O103" s="35">
        <v>334.28</v>
      </c>
      <c r="P103" s="30" t="str">
        <f t="shared" si="11"/>
        <v>Low</v>
      </c>
      <c r="Q103" s="43">
        <v>0.14000000000000001</v>
      </c>
      <c r="R103" s="42" t="str">
        <f t="shared" si="12"/>
        <v>Medium</v>
      </c>
      <c r="S103" s="17">
        <v>22</v>
      </c>
      <c r="T103" s="30">
        <v>6324.5775999999996</v>
      </c>
      <c r="U103" s="30">
        <v>6899.2000000000007</v>
      </c>
      <c r="V103" s="30">
        <v>-574.62240000000111</v>
      </c>
      <c r="W103" s="30">
        <v>-9.0855458868905517E-2</v>
      </c>
      <c r="X103" t="str">
        <f t="shared" si="13"/>
        <v>Delayed</v>
      </c>
      <c r="Y103" t="str">
        <f t="shared" si="14"/>
        <v>Compliant Discount</v>
      </c>
      <c r="Z103" s="9">
        <f>MIN(Q103,'Scenario Modelling'!$B$2)</f>
        <v>0.14000000000000001</v>
      </c>
      <c r="AA103">
        <f t="shared" si="15"/>
        <v>287.48079999999999</v>
      </c>
      <c r="AB103">
        <f>N103*(1+'Scenario Modelling'!$B$3)</f>
        <v>344.96000000000004</v>
      </c>
      <c r="AC103">
        <f>ROUNDUP(S103*(1+'Scenario Modelling'!$B$4),0)</f>
        <v>24</v>
      </c>
      <c r="AD103">
        <f t="shared" si="16"/>
        <v>6899.5391999999993</v>
      </c>
      <c r="AE103">
        <f t="shared" si="17"/>
        <v>-1379.5008000000012</v>
      </c>
    </row>
    <row r="104" spans="1:31" x14ac:dyDescent="0.3">
      <c r="A104" s="36" t="s">
        <v>117</v>
      </c>
      <c r="B104" s="49">
        <v>45747</v>
      </c>
      <c r="C104" s="47" t="str">
        <f t="shared" si="10"/>
        <v>Q1-2025</v>
      </c>
      <c r="D104" s="37">
        <v>45751</v>
      </c>
      <c r="E104" s="16">
        <f t="shared" si="9"/>
        <v>4</v>
      </c>
      <c r="F104" s="38" t="s">
        <v>646</v>
      </c>
      <c r="G104" s="38" t="s">
        <v>650</v>
      </c>
      <c r="H104" s="38" t="s">
        <v>678</v>
      </c>
      <c r="I104" s="38" t="s">
        <v>701</v>
      </c>
      <c r="J104" s="38" t="s">
        <v>711</v>
      </c>
      <c r="K104" s="38" t="s">
        <v>712</v>
      </c>
      <c r="L104" s="38" t="s">
        <v>731</v>
      </c>
      <c r="M104" s="39" t="s">
        <v>836</v>
      </c>
      <c r="N104" s="40">
        <v>862.08</v>
      </c>
      <c r="O104" s="40">
        <v>1952.83</v>
      </c>
      <c r="P104" s="30" t="str">
        <f t="shared" si="11"/>
        <v>High</v>
      </c>
      <c r="Q104" s="44">
        <v>0</v>
      </c>
      <c r="R104" s="42" t="str">
        <f t="shared" si="12"/>
        <v>Low</v>
      </c>
      <c r="S104" s="16">
        <v>7</v>
      </c>
      <c r="T104" s="30">
        <v>13669.81</v>
      </c>
      <c r="U104" s="30">
        <v>6034.56</v>
      </c>
      <c r="V104" s="30">
        <v>7635.2499999999991</v>
      </c>
      <c r="W104" s="30">
        <v>0.5585483631447693</v>
      </c>
      <c r="X104" t="str">
        <f t="shared" si="13"/>
        <v>On-time</v>
      </c>
      <c r="Y104" t="str">
        <f t="shared" si="14"/>
        <v>Compliant Discount</v>
      </c>
      <c r="Z104" s="9">
        <f>MIN(Q104,'Scenario Modelling'!$B$2)</f>
        <v>0</v>
      </c>
      <c r="AA104">
        <f t="shared" si="15"/>
        <v>1952.83</v>
      </c>
      <c r="AB104">
        <f>N104*(1+'Scenario Modelling'!$B$3)</f>
        <v>948.28800000000012</v>
      </c>
      <c r="AC104">
        <f>ROUNDUP(S104*(1+'Scenario Modelling'!$B$4),0)</f>
        <v>8</v>
      </c>
      <c r="AD104">
        <f t="shared" si="16"/>
        <v>15622.64</v>
      </c>
      <c r="AE104">
        <f t="shared" si="17"/>
        <v>8036.3359999999984</v>
      </c>
    </row>
    <row r="105" spans="1:31" x14ac:dyDescent="0.3">
      <c r="A105" s="31" t="s">
        <v>118</v>
      </c>
      <c r="B105" s="48">
        <v>45631</v>
      </c>
      <c r="C105" s="47" t="str">
        <f t="shared" si="10"/>
        <v>Q4-2024</v>
      </c>
      <c r="D105" s="32">
        <v>45654</v>
      </c>
      <c r="E105" s="17">
        <f t="shared" si="9"/>
        <v>23</v>
      </c>
      <c r="F105" s="33" t="s">
        <v>648</v>
      </c>
      <c r="G105" s="33" t="s">
        <v>653</v>
      </c>
      <c r="H105" s="33" t="s">
        <v>688</v>
      </c>
      <c r="I105" s="33" t="s">
        <v>701</v>
      </c>
      <c r="J105" s="33" t="s">
        <v>711</v>
      </c>
      <c r="K105" s="33" t="s">
        <v>721</v>
      </c>
      <c r="L105" s="33" t="s">
        <v>733</v>
      </c>
      <c r="M105" s="34" t="s">
        <v>837</v>
      </c>
      <c r="N105" s="35">
        <v>107.03</v>
      </c>
      <c r="O105" s="35">
        <v>242.29</v>
      </c>
      <c r="P105" s="30" t="str">
        <f t="shared" si="11"/>
        <v>Low</v>
      </c>
      <c r="Q105" s="43">
        <v>0.18</v>
      </c>
      <c r="R105" s="42" t="str">
        <f t="shared" si="12"/>
        <v>Medium</v>
      </c>
      <c r="S105" s="17">
        <v>30</v>
      </c>
      <c r="T105" s="30">
        <v>5960.3340000000007</v>
      </c>
      <c r="U105" s="30">
        <v>3210.9</v>
      </c>
      <c r="V105" s="30">
        <v>2749.4340000000007</v>
      </c>
      <c r="W105" s="30">
        <v>0.46128857879440988</v>
      </c>
      <c r="X105" t="str">
        <f t="shared" si="13"/>
        <v>Delayed</v>
      </c>
      <c r="Y105" t="str">
        <f t="shared" si="14"/>
        <v>Compliant Discount</v>
      </c>
      <c r="Z105" s="9">
        <f>MIN(Q105,'Scenario Modelling'!$B$2)</f>
        <v>0.18</v>
      </c>
      <c r="AA105">
        <f t="shared" si="15"/>
        <v>198.67780000000002</v>
      </c>
      <c r="AB105">
        <f>N105*(1+'Scenario Modelling'!$B$3)</f>
        <v>117.733</v>
      </c>
      <c r="AC105">
        <f>ROUNDUP(S105*(1+'Scenario Modelling'!$B$4),0)</f>
        <v>32</v>
      </c>
      <c r="AD105">
        <f t="shared" si="16"/>
        <v>6357.6896000000006</v>
      </c>
      <c r="AE105">
        <f t="shared" si="17"/>
        <v>2590.2336000000005</v>
      </c>
    </row>
    <row r="106" spans="1:31" x14ac:dyDescent="0.3">
      <c r="A106" s="36" t="s">
        <v>119</v>
      </c>
      <c r="B106" s="49">
        <v>45549</v>
      </c>
      <c r="C106" s="47" t="str">
        <f t="shared" si="10"/>
        <v>Q3-2024</v>
      </c>
      <c r="D106" s="37">
        <v>45570</v>
      </c>
      <c r="E106" s="16">
        <f t="shared" si="9"/>
        <v>21</v>
      </c>
      <c r="F106" s="38" t="s">
        <v>647</v>
      </c>
      <c r="G106" s="38" t="s">
        <v>659</v>
      </c>
      <c r="H106" s="38" t="s">
        <v>685</v>
      </c>
      <c r="I106" s="38" t="s">
        <v>705</v>
      </c>
      <c r="J106" s="38" t="s">
        <v>708</v>
      </c>
      <c r="K106" s="38" t="s">
        <v>722</v>
      </c>
      <c r="L106" s="38" t="s">
        <v>731</v>
      </c>
      <c r="M106" s="39" t="s">
        <v>838</v>
      </c>
      <c r="N106" s="40">
        <v>1405.56</v>
      </c>
      <c r="O106" s="40">
        <v>2968.87</v>
      </c>
      <c r="P106" s="30" t="str">
        <f t="shared" si="11"/>
        <v>High</v>
      </c>
      <c r="Q106" s="44">
        <v>0.16900000000000001</v>
      </c>
      <c r="R106" s="42" t="str">
        <f t="shared" si="12"/>
        <v>Medium</v>
      </c>
      <c r="S106" s="16">
        <v>5</v>
      </c>
      <c r="T106" s="30">
        <v>12335.654849999999</v>
      </c>
      <c r="U106" s="30">
        <v>7027.7999999999993</v>
      </c>
      <c r="V106" s="30">
        <v>5307.8548499999997</v>
      </c>
      <c r="W106" s="30">
        <v>0.4302856163327235</v>
      </c>
      <c r="X106" t="str">
        <f t="shared" si="13"/>
        <v>Delayed</v>
      </c>
      <c r="Y106" t="str">
        <f t="shared" si="14"/>
        <v>Compliant Discount</v>
      </c>
      <c r="Z106" s="9">
        <f>MIN(Q106,'Scenario Modelling'!$B$2)</f>
        <v>0.16900000000000001</v>
      </c>
      <c r="AA106">
        <f t="shared" si="15"/>
        <v>2467.1309699999997</v>
      </c>
      <c r="AB106">
        <f>N106*(1+'Scenario Modelling'!$B$3)</f>
        <v>1546.116</v>
      </c>
      <c r="AC106">
        <f>ROUNDUP(S106*(1+'Scenario Modelling'!$B$4),0)</f>
        <v>6</v>
      </c>
      <c r="AD106">
        <f t="shared" si="16"/>
        <v>14802.785819999997</v>
      </c>
      <c r="AE106">
        <f t="shared" si="17"/>
        <v>5526.0898199999983</v>
      </c>
    </row>
    <row r="107" spans="1:31" x14ac:dyDescent="0.3">
      <c r="A107" s="31" t="s">
        <v>120</v>
      </c>
      <c r="B107" s="48">
        <v>45433</v>
      </c>
      <c r="C107" s="47" t="str">
        <f t="shared" si="10"/>
        <v>Q2-2024</v>
      </c>
      <c r="D107" s="32">
        <v>45439</v>
      </c>
      <c r="E107" s="17">
        <f t="shared" si="9"/>
        <v>6</v>
      </c>
      <c r="F107" s="33" t="s">
        <v>646</v>
      </c>
      <c r="G107" s="33" t="s">
        <v>661</v>
      </c>
      <c r="H107" s="33" t="s">
        <v>682</v>
      </c>
      <c r="I107" s="33" t="s">
        <v>703</v>
      </c>
      <c r="J107" s="33" t="s">
        <v>708</v>
      </c>
      <c r="K107" s="33" t="s">
        <v>724</v>
      </c>
      <c r="L107" s="33" t="s">
        <v>727</v>
      </c>
      <c r="M107" s="34" t="s">
        <v>839</v>
      </c>
      <c r="N107" s="35">
        <v>1157.51</v>
      </c>
      <c r="O107" s="35">
        <v>1394.3</v>
      </c>
      <c r="P107" s="30" t="str">
        <f t="shared" si="11"/>
        <v>Medium</v>
      </c>
      <c r="Q107" s="43">
        <v>0.27800000000000002</v>
      </c>
      <c r="R107" s="42" t="str">
        <f t="shared" si="12"/>
        <v>High</v>
      </c>
      <c r="S107" s="17">
        <v>12</v>
      </c>
      <c r="T107" s="30">
        <v>12080.215199999999</v>
      </c>
      <c r="U107" s="30">
        <v>13890.119999999999</v>
      </c>
      <c r="V107" s="30">
        <v>-1809.9048000000003</v>
      </c>
      <c r="W107" s="30">
        <v>-0.14982388724333326</v>
      </c>
      <c r="X107" t="str">
        <f t="shared" si="13"/>
        <v>On-time</v>
      </c>
      <c r="Y107" t="str">
        <f t="shared" si="14"/>
        <v>Non-compliant Discount</v>
      </c>
      <c r="Z107" s="9">
        <f>MIN(Q107,'Scenario Modelling'!$B$2)</f>
        <v>0.2</v>
      </c>
      <c r="AA107">
        <f t="shared" si="15"/>
        <v>1115.44</v>
      </c>
      <c r="AB107">
        <f>N107*(1+'Scenario Modelling'!$B$3)</f>
        <v>1273.2610000000002</v>
      </c>
      <c r="AC107">
        <f>ROUNDUP(S107*(1+'Scenario Modelling'!$B$4),0)</f>
        <v>13</v>
      </c>
      <c r="AD107">
        <f t="shared" si="16"/>
        <v>14500.720000000001</v>
      </c>
      <c r="AE107">
        <f t="shared" si="17"/>
        <v>-2051.6730000000016</v>
      </c>
    </row>
    <row r="108" spans="1:31" x14ac:dyDescent="0.3">
      <c r="A108" s="36" t="s">
        <v>121</v>
      </c>
      <c r="B108" s="49">
        <v>45057</v>
      </c>
      <c r="C108" s="47" t="str">
        <f t="shared" si="10"/>
        <v>Q2-2023</v>
      </c>
      <c r="D108" s="37">
        <v>45084</v>
      </c>
      <c r="E108" s="16">
        <f t="shared" si="9"/>
        <v>27</v>
      </c>
      <c r="F108" s="38" t="s">
        <v>646</v>
      </c>
      <c r="G108" s="38" t="s">
        <v>650</v>
      </c>
      <c r="H108" s="38" t="s">
        <v>675</v>
      </c>
      <c r="I108" s="38" t="s">
        <v>701</v>
      </c>
      <c r="J108" s="38" t="s">
        <v>708</v>
      </c>
      <c r="K108" s="38" t="s">
        <v>713</v>
      </c>
      <c r="L108" s="38" t="s">
        <v>730</v>
      </c>
      <c r="M108" s="39" t="s">
        <v>840</v>
      </c>
      <c r="N108" s="40">
        <v>12.85</v>
      </c>
      <c r="O108" s="40">
        <v>15.41</v>
      </c>
      <c r="P108" s="30" t="str">
        <f t="shared" si="11"/>
        <v>Low</v>
      </c>
      <c r="Q108" s="44">
        <v>0.13700000000000001</v>
      </c>
      <c r="R108" s="42" t="str">
        <f t="shared" si="12"/>
        <v>Medium</v>
      </c>
      <c r="S108" s="16">
        <v>39</v>
      </c>
      <c r="T108" s="30">
        <v>518.65436999999997</v>
      </c>
      <c r="U108" s="30">
        <v>501.15</v>
      </c>
      <c r="V108" s="30">
        <v>17.504369999999994</v>
      </c>
      <c r="W108" s="30">
        <v>3.3749585489851353E-2</v>
      </c>
      <c r="X108" t="str">
        <f t="shared" si="13"/>
        <v>Delayed</v>
      </c>
      <c r="Y108" t="str">
        <f t="shared" si="14"/>
        <v>Compliant Discount</v>
      </c>
      <c r="Z108" s="9">
        <f>MIN(Q108,'Scenario Modelling'!$B$2)</f>
        <v>0.13700000000000001</v>
      </c>
      <c r="AA108">
        <f t="shared" si="15"/>
        <v>13.298830000000001</v>
      </c>
      <c r="AB108">
        <f>N108*(1+'Scenario Modelling'!$B$3)</f>
        <v>14.135000000000002</v>
      </c>
      <c r="AC108">
        <f>ROUNDUP(S108*(1+'Scenario Modelling'!$B$4),0)</f>
        <v>41</v>
      </c>
      <c r="AD108">
        <f t="shared" si="16"/>
        <v>545.25202999999999</v>
      </c>
      <c r="AE108">
        <f t="shared" si="17"/>
        <v>-34.282970000000041</v>
      </c>
    </row>
    <row r="109" spans="1:31" x14ac:dyDescent="0.3">
      <c r="A109" s="31" t="s">
        <v>122</v>
      </c>
      <c r="B109" s="48">
        <v>45518</v>
      </c>
      <c r="C109" s="47" t="str">
        <f t="shared" si="10"/>
        <v>Q3-2024</v>
      </c>
      <c r="D109" s="32">
        <v>45539</v>
      </c>
      <c r="E109" s="17">
        <f t="shared" si="9"/>
        <v>21</v>
      </c>
      <c r="F109" s="33" t="s">
        <v>649</v>
      </c>
      <c r="G109" s="33" t="s">
        <v>658</v>
      </c>
      <c r="H109" s="33" t="s">
        <v>693</v>
      </c>
      <c r="I109" s="33" t="s">
        <v>703</v>
      </c>
      <c r="J109" s="33" t="s">
        <v>708</v>
      </c>
      <c r="K109" s="33" t="s">
        <v>713</v>
      </c>
      <c r="L109" s="33" t="s">
        <v>730</v>
      </c>
      <c r="M109" s="34" t="s">
        <v>841</v>
      </c>
      <c r="N109" s="35">
        <v>1138.8</v>
      </c>
      <c r="O109" s="35">
        <v>2250.81</v>
      </c>
      <c r="P109" s="30" t="str">
        <f t="shared" si="11"/>
        <v>High</v>
      </c>
      <c r="Q109" s="43">
        <v>0.123</v>
      </c>
      <c r="R109" s="42" t="str">
        <f t="shared" si="12"/>
        <v>Medium</v>
      </c>
      <c r="S109" s="17">
        <v>12</v>
      </c>
      <c r="T109" s="30">
        <v>23687.524440000001</v>
      </c>
      <c r="U109" s="30">
        <v>13665.599999999999</v>
      </c>
      <c r="V109" s="30">
        <v>10021.924440000003</v>
      </c>
      <c r="W109" s="30">
        <v>0.42308872188756258</v>
      </c>
      <c r="X109" t="str">
        <f t="shared" si="13"/>
        <v>Delayed</v>
      </c>
      <c r="Y109" t="str">
        <f t="shared" si="14"/>
        <v>Compliant Discount</v>
      </c>
      <c r="Z109" s="9">
        <f>MIN(Q109,'Scenario Modelling'!$B$2)</f>
        <v>0.123</v>
      </c>
      <c r="AA109">
        <f t="shared" si="15"/>
        <v>1973.96037</v>
      </c>
      <c r="AB109">
        <f>N109*(1+'Scenario Modelling'!$B$3)</f>
        <v>1252.68</v>
      </c>
      <c r="AC109">
        <f>ROUNDUP(S109*(1+'Scenario Modelling'!$B$4),0)</f>
        <v>13</v>
      </c>
      <c r="AD109">
        <f t="shared" si="16"/>
        <v>25661.484810000002</v>
      </c>
      <c r="AE109">
        <f t="shared" si="17"/>
        <v>9376.6448099999998</v>
      </c>
    </row>
    <row r="110" spans="1:31" x14ac:dyDescent="0.3">
      <c r="A110" s="36" t="s">
        <v>123</v>
      </c>
      <c r="B110" s="49">
        <v>45581</v>
      </c>
      <c r="C110" s="47" t="str">
        <f t="shared" si="10"/>
        <v>Q4-2024</v>
      </c>
      <c r="D110" s="37">
        <v>45604</v>
      </c>
      <c r="E110" s="16">
        <f t="shared" si="9"/>
        <v>23</v>
      </c>
      <c r="F110" s="38" t="s">
        <v>647</v>
      </c>
      <c r="G110" s="38" t="s">
        <v>652</v>
      </c>
      <c r="H110" s="38" t="s">
        <v>666</v>
      </c>
      <c r="I110" s="38" t="s">
        <v>705</v>
      </c>
      <c r="J110" s="38" t="s">
        <v>707</v>
      </c>
      <c r="K110" s="38" t="s">
        <v>713</v>
      </c>
      <c r="L110" s="38" t="s">
        <v>729</v>
      </c>
      <c r="M110" s="39" t="s">
        <v>842</v>
      </c>
      <c r="N110" s="40">
        <v>82.14</v>
      </c>
      <c r="O110" s="40">
        <v>166.04</v>
      </c>
      <c r="P110" s="30" t="str">
        <f t="shared" si="11"/>
        <v>Low</v>
      </c>
      <c r="Q110" s="44">
        <v>0</v>
      </c>
      <c r="R110" s="42" t="str">
        <f t="shared" si="12"/>
        <v>Low</v>
      </c>
      <c r="S110" s="16">
        <v>10</v>
      </c>
      <c r="T110" s="30">
        <v>1660.3999999999999</v>
      </c>
      <c r="U110" s="30">
        <v>821.4</v>
      </c>
      <c r="V110" s="30">
        <v>838.99999999999989</v>
      </c>
      <c r="W110" s="30">
        <v>0.50529992772825827</v>
      </c>
      <c r="X110" t="str">
        <f t="shared" si="13"/>
        <v>Delayed</v>
      </c>
      <c r="Y110" t="str">
        <f t="shared" si="14"/>
        <v>Compliant Discount</v>
      </c>
      <c r="Z110" s="9">
        <f>MIN(Q110,'Scenario Modelling'!$B$2)</f>
        <v>0</v>
      </c>
      <c r="AA110">
        <f t="shared" si="15"/>
        <v>166.04</v>
      </c>
      <c r="AB110">
        <f>N110*(1+'Scenario Modelling'!$B$3)</f>
        <v>90.354000000000013</v>
      </c>
      <c r="AC110">
        <f>ROUNDUP(S110*(1+'Scenario Modelling'!$B$4),0)</f>
        <v>11</v>
      </c>
      <c r="AD110">
        <f t="shared" si="16"/>
        <v>1826.4399999999998</v>
      </c>
      <c r="AE110">
        <f t="shared" si="17"/>
        <v>832.54599999999982</v>
      </c>
    </row>
    <row r="111" spans="1:31" x14ac:dyDescent="0.3">
      <c r="A111" s="31" t="s">
        <v>124</v>
      </c>
      <c r="B111" s="48">
        <v>45445</v>
      </c>
      <c r="C111" s="47" t="str">
        <f t="shared" si="10"/>
        <v>Q2-2024</v>
      </c>
      <c r="D111" s="32">
        <v>45451</v>
      </c>
      <c r="E111" s="17">
        <f t="shared" si="9"/>
        <v>6</v>
      </c>
      <c r="F111" s="33" t="s">
        <v>646</v>
      </c>
      <c r="G111" s="33" t="s">
        <v>650</v>
      </c>
      <c r="H111" s="33" t="s">
        <v>662</v>
      </c>
      <c r="I111" s="33" t="s">
        <v>704</v>
      </c>
      <c r="J111" s="33" t="s">
        <v>709</v>
      </c>
      <c r="K111" s="33" t="s">
        <v>720</v>
      </c>
      <c r="L111" s="33" t="s">
        <v>733</v>
      </c>
      <c r="M111" s="34" t="s">
        <v>843</v>
      </c>
      <c r="N111" s="35">
        <v>292.94</v>
      </c>
      <c r="O111" s="35">
        <v>356.55</v>
      </c>
      <c r="P111" s="30" t="str">
        <f t="shared" si="11"/>
        <v>Low</v>
      </c>
      <c r="Q111" s="43">
        <v>0.22900000000000001</v>
      </c>
      <c r="R111" s="42" t="str">
        <f t="shared" si="12"/>
        <v>High</v>
      </c>
      <c r="S111" s="17">
        <v>2</v>
      </c>
      <c r="T111" s="30">
        <v>549.80010000000004</v>
      </c>
      <c r="U111" s="30">
        <v>585.88</v>
      </c>
      <c r="V111" s="30">
        <v>-36.079899999999952</v>
      </c>
      <c r="W111" s="30">
        <v>-6.5623669402751925E-2</v>
      </c>
      <c r="X111" t="str">
        <f t="shared" si="13"/>
        <v>On-time</v>
      </c>
      <c r="Y111" t="str">
        <f t="shared" si="14"/>
        <v>Non-compliant Discount</v>
      </c>
      <c r="Z111" s="9">
        <f>MIN(Q111,'Scenario Modelling'!$B$2)</f>
        <v>0.2</v>
      </c>
      <c r="AA111">
        <f t="shared" si="15"/>
        <v>285.24</v>
      </c>
      <c r="AB111">
        <f>N111*(1+'Scenario Modelling'!$B$3)</f>
        <v>322.23400000000004</v>
      </c>
      <c r="AC111">
        <f>ROUNDUP(S111*(1+'Scenario Modelling'!$B$4),0)</f>
        <v>3</v>
      </c>
      <c r="AD111">
        <f t="shared" si="16"/>
        <v>855.72</v>
      </c>
      <c r="AE111">
        <f t="shared" si="17"/>
        <v>-110.98200000000008</v>
      </c>
    </row>
    <row r="112" spans="1:31" x14ac:dyDescent="0.3">
      <c r="A112" s="36" t="s">
        <v>125</v>
      </c>
      <c r="B112" s="49">
        <v>45452</v>
      </c>
      <c r="C112" s="47" t="str">
        <f t="shared" si="10"/>
        <v>Q2-2024</v>
      </c>
      <c r="D112" s="37">
        <v>45480</v>
      </c>
      <c r="E112" s="16">
        <f t="shared" si="9"/>
        <v>28</v>
      </c>
      <c r="F112" s="38" t="s">
        <v>647</v>
      </c>
      <c r="G112" s="38" t="s">
        <v>659</v>
      </c>
      <c r="H112" s="38" t="s">
        <v>676</v>
      </c>
      <c r="I112" s="38" t="s">
        <v>701</v>
      </c>
      <c r="J112" s="38" t="s">
        <v>708</v>
      </c>
      <c r="K112" s="38" t="s">
        <v>713</v>
      </c>
      <c r="L112" s="38" t="s">
        <v>727</v>
      </c>
      <c r="M112" s="39" t="s">
        <v>844</v>
      </c>
      <c r="N112" s="40">
        <v>550.22</v>
      </c>
      <c r="O112" s="40">
        <v>1025.05</v>
      </c>
      <c r="P112" s="30" t="str">
        <f t="shared" si="11"/>
        <v>Medium</v>
      </c>
      <c r="Q112" s="44">
        <v>0</v>
      </c>
      <c r="R112" s="42" t="str">
        <f t="shared" si="12"/>
        <v>Low</v>
      </c>
      <c r="S112" s="16">
        <v>27</v>
      </c>
      <c r="T112" s="30">
        <v>27676.35</v>
      </c>
      <c r="U112" s="30">
        <v>14855.94</v>
      </c>
      <c r="V112" s="30">
        <v>12820.409999999998</v>
      </c>
      <c r="W112" s="30">
        <v>0.46322618408858102</v>
      </c>
      <c r="X112" t="str">
        <f t="shared" si="13"/>
        <v>Delayed</v>
      </c>
      <c r="Y112" t="str">
        <f t="shared" si="14"/>
        <v>Compliant Discount</v>
      </c>
      <c r="Z112" s="9">
        <f>MIN(Q112,'Scenario Modelling'!$B$2)</f>
        <v>0</v>
      </c>
      <c r="AA112">
        <f t="shared" si="15"/>
        <v>1025.05</v>
      </c>
      <c r="AB112">
        <f>N112*(1+'Scenario Modelling'!$B$3)</f>
        <v>605.24200000000008</v>
      </c>
      <c r="AC112">
        <f>ROUNDUP(S112*(1+'Scenario Modelling'!$B$4),0)</f>
        <v>29</v>
      </c>
      <c r="AD112">
        <f t="shared" si="16"/>
        <v>29726.449999999997</v>
      </c>
      <c r="AE112">
        <f t="shared" si="17"/>
        <v>12174.431999999997</v>
      </c>
    </row>
    <row r="113" spans="1:31" x14ac:dyDescent="0.3">
      <c r="A113" s="31" t="s">
        <v>126</v>
      </c>
      <c r="B113" s="48">
        <v>45453</v>
      </c>
      <c r="C113" s="47" t="str">
        <f t="shared" si="10"/>
        <v>Q2-2024</v>
      </c>
      <c r="D113" s="32">
        <v>45454</v>
      </c>
      <c r="E113" s="17">
        <f t="shared" si="9"/>
        <v>1</v>
      </c>
      <c r="F113" s="33" t="s">
        <v>649</v>
      </c>
      <c r="G113" s="33" t="s">
        <v>658</v>
      </c>
      <c r="H113" s="33" t="s">
        <v>674</v>
      </c>
      <c r="I113" s="33" t="s">
        <v>705</v>
      </c>
      <c r="J113" s="33" t="s">
        <v>709</v>
      </c>
      <c r="K113" s="33" t="s">
        <v>724</v>
      </c>
      <c r="L113" s="33" t="s">
        <v>731</v>
      </c>
      <c r="M113" s="34" t="s">
        <v>845</v>
      </c>
      <c r="N113" s="35">
        <v>1187.1300000000001</v>
      </c>
      <c r="O113" s="35">
        <v>1795.17</v>
      </c>
      <c r="P113" s="30" t="str">
        <f t="shared" si="11"/>
        <v>High</v>
      </c>
      <c r="Q113" s="43">
        <v>1.2E-2</v>
      </c>
      <c r="R113" s="42" t="str">
        <f t="shared" si="12"/>
        <v>Low</v>
      </c>
      <c r="S113" s="17">
        <v>17</v>
      </c>
      <c r="T113" s="30">
        <v>30151.675319999998</v>
      </c>
      <c r="U113" s="30">
        <v>20181.210000000003</v>
      </c>
      <c r="V113" s="30">
        <v>9970.4653199999957</v>
      </c>
      <c r="W113" s="30">
        <v>0.33067699271046663</v>
      </c>
      <c r="X113" t="str">
        <f t="shared" si="13"/>
        <v>On-time</v>
      </c>
      <c r="Y113" t="str">
        <f t="shared" si="14"/>
        <v>Compliant Discount</v>
      </c>
      <c r="Z113" s="9">
        <f>MIN(Q113,'Scenario Modelling'!$B$2)</f>
        <v>1.2E-2</v>
      </c>
      <c r="AA113">
        <f t="shared" si="15"/>
        <v>1773.62796</v>
      </c>
      <c r="AB113">
        <f>N113*(1+'Scenario Modelling'!$B$3)</f>
        <v>1305.8430000000003</v>
      </c>
      <c r="AC113">
        <f>ROUNDUP(S113*(1+'Scenario Modelling'!$B$4),0)</f>
        <v>18</v>
      </c>
      <c r="AD113">
        <f t="shared" si="16"/>
        <v>31925.30328</v>
      </c>
      <c r="AE113">
        <f t="shared" si="17"/>
        <v>8420.1292799999956</v>
      </c>
    </row>
    <row r="114" spans="1:31" x14ac:dyDescent="0.3">
      <c r="A114" s="36" t="s">
        <v>127</v>
      </c>
      <c r="B114" s="49">
        <v>45472</v>
      </c>
      <c r="C114" s="47" t="str">
        <f t="shared" si="10"/>
        <v>Q2-2024</v>
      </c>
      <c r="D114" s="37">
        <v>45499</v>
      </c>
      <c r="E114" s="16">
        <f t="shared" si="9"/>
        <v>27</v>
      </c>
      <c r="F114" s="38" t="s">
        <v>646</v>
      </c>
      <c r="G114" s="38" t="s">
        <v>661</v>
      </c>
      <c r="H114" s="38" t="s">
        <v>687</v>
      </c>
      <c r="I114" s="38" t="s">
        <v>706</v>
      </c>
      <c r="J114" s="38" t="s">
        <v>710</v>
      </c>
      <c r="K114" s="38" t="s">
        <v>717</v>
      </c>
      <c r="L114" s="38" t="s">
        <v>729</v>
      </c>
      <c r="M114" s="39" t="s">
        <v>846</v>
      </c>
      <c r="N114" s="40">
        <v>5.36</v>
      </c>
      <c r="O114" s="40">
        <v>4.37</v>
      </c>
      <c r="P114" s="30" t="str">
        <f t="shared" si="11"/>
        <v>Low</v>
      </c>
      <c r="Q114" s="44">
        <v>0.11799999999999999</v>
      </c>
      <c r="R114" s="42" t="str">
        <f t="shared" si="12"/>
        <v>Medium</v>
      </c>
      <c r="S114" s="16">
        <v>9</v>
      </c>
      <c r="T114" s="30">
        <v>34.689059999999998</v>
      </c>
      <c r="U114" s="30">
        <v>48.24</v>
      </c>
      <c r="V114" s="30">
        <v>-13.550940000000004</v>
      </c>
      <c r="W114" s="30">
        <v>-0.39064016148030545</v>
      </c>
      <c r="X114" t="str">
        <f t="shared" si="13"/>
        <v>Delayed</v>
      </c>
      <c r="Y114" t="str">
        <f t="shared" si="14"/>
        <v>Compliant Discount</v>
      </c>
      <c r="Z114" s="9">
        <f>MIN(Q114,'Scenario Modelling'!$B$2)</f>
        <v>0.11799999999999999</v>
      </c>
      <c r="AA114">
        <f t="shared" si="15"/>
        <v>3.8543400000000001</v>
      </c>
      <c r="AB114">
        <f>N114*(1+'Scenario Modelling'!$B$3)</f>
        <v>5.8960000000000008</v>
      </c>
      <c r="AC114">
        <f>ROUNDUP(S114*(1+'Scenario Modelling'!$B$4),0)</f>
        <v>10</v>
      </c>
      <c r="AD114">
        <f t="shared" si="16"/>
        <v>38.543399999999998</v>
      </c>
      <c r="AE114">
        <f t="shared" si="17"/>
        <v>-20.416600000000006</v>
      </c>
    </row>
    <row r="115" spans="1:31" x14ac:dyDescent="0.3">
      <c r="A115" s="31" t="s">
        <v>128</v>
      </c>
      <c r="B115" s="48">
        <v>45674</v>
      </c>
      <c r="C115" s="47" t="str">
        <f t="shared" si="10"/>
        <v>Q1-2025</v>
      </c>
      <c r="D115" s="32">
        <v>45681</v>
      </c>
      <c r="E115" s="17">
        <f t="shared" si="9"/>
        <v>7</v>
      </c>
      <c r="F115" s="33" t="s">
        <v>648</v>
      </c>
      <c r="G115" s="33" t="s">
        <v>660</v>
      </c>
      <c r="H115" s="33" t="s">
        <v>697</v>
      </c>
      <c r="I115" s="33" t="s">
        <v>706</v>
      </c>
      <c r="J115" s="33" t="s">
        <v>708</v>
      </c>
      <c r="K115" s="33" t="s">
        <v>715</v>
      </c>
      <c r="L115" s="33" t="s">
        <v>733</v>
      </c>
      <c r="M115" s="34" t="s">
        <v>847</v>
      </c>
      <c r="N115" s="35">
        <v>142.09</v>
      </c>
      <c r="O115" s="35">
        <v>218.5</v>
      </c>
      <c r="P115" s="30" t="str">
        <f t="shared" si="11"/>
        <v>Low</v>
      </c>
      <c r="Q115" s="43">
        <v>0.11899999999999999</v>
      </c>
      <c r="R115" s="42" t="str">
        <f t="shared" si="12"/>
        <v>Medium</v>
      </c>
      <c r="S115" s="17">
        <v>11</v>
      </c>
      <c r="T115" s="30">
        <v>2117.4834999999998</v>
      </c>
      <c r="U115" s="30">
        <v>1562.99</v>
      </c>
      <c r="V115" s="30">
        <v>554.49349999999981</v>
      </c>
      <c r="W115" s="30">
        <v>0.26186437816398561</v>
      </c>
      <c r="X115" t="str">
        <f t="shared" si="13"/>
        <v>On-time</v>
      </c>
      <c r="Y115" t="str">
        <f t="shared" si="14"/>
        <v>Compliant Discount</v>
      </c>
      <c r="Z115" s="9">
        <f>MIN(Q115,'Scenario Modelling'!$B$2)</f>
        <v>0.11899999999999999</v>
      </c>
      <c r="AA115">
        <f t="shared" si="15"/>
        <v>192.49850000000001</v>
      </c>
      <c r="AB115">
        <f>N115*(1+'Scenario Modelling'!$B$3)</f>
        <v>156.29900000000001</v>
      </c>
      <c r="AC115">
        <f>ROUNDUP(S115*(1+'Scenario Modelling'!$B$4),0)</f>
        <v>12</v>
      </c>
      <c r="AD115">
        <f t="shared" si="16"/>
        <v>2309.982</v>
      </c>
      <c r="AE115">
        <f t="shared" si="17"/>
        <v>434.39400000000001</v>
      </c>
    </row>
    <row r="116" spans="1:31" x14ac:dyDescent="0.3">
      <c r="A116" s="36" t="s">
        <v>129</v>
      </c>
      <c r="B116" s="49">
        <v>45250</v>
      </c>
      <c r="C116" s="47" t="str">
        <f t="shared" si="10"/>
        <v>Q4-2023</v>
      </c>
      <c r="D116" s="37">
        <v>45265</v>
      </c>
      <c r="E116" s="16">
        <f t="shared" si="9"/>
        <v>15</v>
      </c>
      <c r="F116" s="38" t="s">
        <v>647</v>
      </c>
      <c r="G116" s="38" t="s">
        <v>652</v>
      </c>
      <c r="H116" s="38" t="s">
        <v>689</v>
      </c>
      <c r="I116" s="38" t="s">
        <v>706</v>
      </c>
      <c r="J116" s="38" t="s">
        <v>707</v>
      </c>
      <c r="K116" s="38" t="s">
        <v>716</v>
      </c>
      <c r="L116" s="38" t="s">
        <v>729</v>
      </c>
      <c r="M116" s="39" t="s">
        <v>848</v>
      </c>
      <c r="N116" s="40">
        <v>354.24</v>
      </c>
      <c r="O116" s="40">
        <v>249.87</v>
      </c>
      <c r="P116" s="30" t="str">
        <f t="shared" si="11"/>
        <v>Low</v>
      </c>
      <c r="Q116" s="44">
        <v>0</v>
      </c>
      <c r="R116" s="42" t="str">
        <f t="shared" si="12"/>
        <v>Low</v>
      </c>
      <c r="S116" s="16">
        <v>6</v>
      </c>
      <c r="T116" s="30">
        <v>1499.22</v>
      </c>
      <c r="U116" s="30">
        <v>2125.44</v>
      </c>
      <c r="V116" s="30">
        <v>-626.22</v>
      </c>
      <c r="W116" s="30">
        <v>-0.41769720254532355</v>
      </c>
      <c r="X116" t="str">
        <f t="shared" si="13"/>
        <v>Delayed</v>
      </c>
      <c r="Y116" t="str">
        <f t="shared" si="14"/>
        <v>Compliant Discount</v>
      </c>
      <c r="Z116" s="9">
        <f>MIN(Q116,'Scenario Modelling'!$B$2)</f>
        <v>0</v>
      </c>
      <c r="AA116">
        <f t="shared" si="15"/>
        <v>249.87</v>
      </c>
      <c r="AB116">
        <f>N116*(1+'Scenario Modelling'!$B$3)</f>
        <v>389.66400000000004</v>
      </c>
      <c r="AC116">
        <f>ROUNDUP(S116*(1+'Scenario Modelling'!$B$4),0)</f>
        <v>7</v>
      </c>
      <c r="AD116">
        <f t="shared" si="16"/>
        <v>1749.0900000000001</v>
      </c>
      <c r="AE116">
        <f t="shared" si="17"/>
        <v>-978.55800000000022</v>
      </c>
    </row>
    <row r="117" spans="1:31" x14ac:dyDescent="0.3">
      <c r="A117" s="31" t="s">
        <v>130</v>
      </c>
      <c r="B117" s="48">
        <v>44987</v>
      </c>
      <c r="C117" s="47" t="str">
        <f t="shared" si="10"/>
        <v>Q1-2023</v>
      </c>
      <c r="D117" s="32">
        <v>44990</v>
      </c>
      <c r="E117" s="17">
        <f t="shared" si="9"/>
        <v>3</v>
      </c>
      <c r="F117" s="33" t="s">
        <v>648</v>
      </c>
      <c r="G117" s="33" t="s">
        <v>655</v>
      </c>
      <c r="H117" s="33" t="s">
        <v>672</v>
      </c>
      <c r="I117" s="33" t="s">
        <v>706</v>
      </c>
      <c r="J117" s="33" t="s">
        <v>711</v>
      </c>
      <c r="K117" s="33" t="s">
        <v>715</v>
      </c>
      <c r="L117" s="33" t="s">
        <v>732</v>
      </c>
      <c r="M117" s="34" t="s">
        <v>849</v>
      </c>
      <c r="N117" s="35">
        <v>1473.58</v>
      </c>
      <c r="O117" s="35">
        <v>3436.52</v>
      </c>
      <c r="P117" s="30" t="str">
        <f t="shared" si="11"/>
        <v>High</v>
      </c>
      <c r="Q117" s="43">
        <v>0.108</v>
      </c>
      <c r="R117" s="42" t="str">
        <f t="shared" si="12"/>
        <v>Medium</v>
      </c>
      <c r="S117" s="17">
        <v>8</v>
      </c>
      <c r="T117" s="30">
        <v>24523.006720000001</v>
      </c>
      <c r="U117" s="30">
        <v>11788.64</v>
      </c>
      <c r="V117" s="30">
        <v>12734.366720000002</v>
      </c>
      <c r="W117" s="30">
        <v>0.51928243813652564</v>
      </c>
      <c r="X117" t="str">
        <f t="shared" si="13"/>
        <v>On-time</v>
      </c>
      <c r="Y117" t="str">
        <f t="shared" si="14"/>
        <v>Compliant Discount</v>
      </c>
      <c r="Z117" s="9">
        <f>MIN(Q117,'Scenario Modelling'!$B$2)</f>
        <v>0.108</v>
      </c>
      <c r="AA117">
        <f t="shared" si="15"/>
        <v>3065.3758400000002</v>
      </c>
      <c r="AB117">
        <f>N117*(1+'Scenario Modelling'!$B$3)</f>
        <v>1620.9380000000001</v>
      </c>
      <c r="AC117">
        <f>ROUNDUP(S117*(1+'Scenario Modelling'!$B$4),0)</f>
        <v>9</v>
      </c>
      <c r="AD117">
        <f t="shared" si="16"/>
        <v>27588.382560000002</v>
      </c>
      <c r="AE117">
        <f t="shared" si="17"/>
        <v>12999.940560000001</v>
      </c>
    </row>
    <row r="118" spans="1:31" x14ac:dyDescent="0.3">
      <c r="A118" s="36" t="s">
        <v>131</v>
      </c>
      <c r="B118" s="49">
        <v>45811</v>
      </c>
      <c r="C118" s="47" t="str">
        <f t="shared" si="10"/>
        <v>Q2-2025</v>
      </c>
      <c r="D118" s="37">
        <v>45818</v>
      </c>
      <c r="E118" s="16">
        <f t="shared" si="9"/>
        <v>7</v>
      </c>
      <c r="F118" s="38" t="s">
        <v>648</v>
      </c>
      <c r="G118" s="38" t="s">
        <v>653</v>
      </c>
      <c r="H118" s="38" t="s">
        <v>667</v>
      </c>
      <c r="I118" s="38" t="s">
        <v>704</v>
      </c>
      <c r="J118" s="38" t="s">
        <v>710</v>
      </c>
      <c r="K118" s="38" t="s">
        <v>719</v>
      </c>
      <c r="L118" s="38" t="s">
        <v>728</v>
      </c>
      <c r="M118" s="39" t="s">
        <v>850</v>
      </c>
      <c r="N118" s="40">
        <v>75.180000000000007</v>
      </c>
      <c r="O118" s="40">
        <v>53.45</v>
      </c>
      <c r="P118" s="30" t="str">
        <f t="shared" si="11"/>
        <v>Low</v>
      </c>
      <c r="Q118" s="44">
        <v>0.157</v>
      </c>
      <c r="R118" s="42" t="str">
        <f t="shared" si="12"/>
        <v>Medium</v>
      </c>
      <c r="S118" s="16">
        <v>17</v>
      </c>
      <c r="T118" s="30">
        <v>765.99195000000009</v>
      </c>
      <c r="U118" s="30">
        <v>1278.0600000000002</v>
      </c>
      <c r="V118" s="30">
        <v>-512.06805000000008</v>
      </c>
      <c r="W118" s="30">
        <v>-0.66850317421743144</v>
      </c>
      <c r="X118" t="str">
        <f t="shared" si="13"/>
        <v>On-time</v>
      </c>
      <c r="Y118" t="str">
        <f t="shared" si="14"/>
        <v>Compliant Discount</v>
      </c>
      <c r="Z118" s="9">
        <f>MIN(Q118,'Scenario Modelling'!$B$2)</f>
        <v>0.157</v>
      </c>
      <c r="AA118">
        <f t="shared" si="15"/>
        <v>45.058350000000004</v>
      </c>
      <c r="AB118">
        <f>N118*(1+'Scenario Modelling'!$B$3)</f>
        <v>82.698000000000008</v>
      </c>
      <c r="AC118">
        <f>ROUNDUP(S118*(1+'Scenario Modelling'!$B$4),0)</f>
        <v>18</v>
      </c>
      <c r="AD118">
        <f t="shared" si="16"/>
        <v>811.05030000000011</v>
      </c>
      <c r="AE118">
        <f t="shared" si="17"/>
        <v>-677.51370000000009</v>
      </c>
    </row>
    <row r="119" spans="1:31" x14ac:dyDescent="0.3">
      <c r="A119" s="31" t="s">
        <v>132</v>
      </c>
      <c r="B119" s="48">
        <v>45653</v>
      </c>
      <c r="C119" s="47" t="str">
        <f t="shared" si="10"/>
        <v>Q4-2024</v>
      </c>
      <c r="D119" s="32">
        <v>45659</v>
      </c>
      <c r="E119" s="17">
        <f t="shared" si="9"/>
        <v>6</v>
      </c>
      <c r="F119" s="33" t="s">
        <v>649</v>
      </c>
      <c r="G119" s="33" t="s">
        <v>656</v>
      </c>
      <c r="H119" s="33" t="s">
        <v>698</v>
      </c>
      <c r="I119" s="33" t="s">
        <v>702</v>
      </c>
      <c r="J119" s="33" t="s">
        <v>711</v>
      </c>
      <c r="K119" s="33" t="s">
        <v>721</v>
      </c>
      <c r="L119" s="33" t="s">
        <v>731</v>
      </c>
      <c r="M119" s="34" t="s">
        <v>851</v>
      </c>
      <c r="N119" s="35">
        <v>1391.99</v>
      </c>
      <c r="O119" s="35">
        <v>3469.7</v>
      </c>
      <c r="P119" s="30" t="str">
        <f t="shared" si="11"/>
        <v>High</v>
      </c>
      <c r="Q119" s="43">
        <v>0.184</v>
      </c>
      <c r="R119" s="42" t="str">
        <f t="shared" si="12"/>
        <v>Medium</v>
      </c>
      <c r="S119" s="17">
        <v>23</v>
      </c>
      <c r="T119" s="30">
        <v>65119.329599999997</v>
      </c>
      <c r="U119" s="30">
        <v>32015.77</v>
      </c>
      <c r="V119" s="30">
        <v>33103.559599999993</v>
      </c>
      <c r="W119" s="30">
        <v>0.50835227886006973</v>
      </c>
      <c r="X119" t="str">
        <f t="shared" si="13"/>
        <v>On-time</v>
      </c>
      <c r="Y119" t="str">
        <f t="shared" si="14"/>
        <v>Compliant Discount</v>
      </c>
      <c r="Z119" s="9">
        <f>MIN(Q119,'Scenario Modelling'!$B$2)</f>
        <v>0.184</v>
      </c>
      <c r="AA119">
        <f t="shared" si="15"/>
        <v>2831.2752</v>
      </c>
      <c r="AB119">
        <f>N119*(1+'Scenario Modelling'!$B$3)</f>
        <v>1531.1890000000001</v>
      </c>
      <c r="AC119">
        <f>ROUNDUP(S119*(1+'Scenario Modelling'!$B$4),0)</f>
        <v>25</v>
      </c>
      <c r="AD119">
        <f t="shared" si="16"/>
        <v>70781.88</v>
      </c>
      <c r="AE119">
        <f t="shared" si="17"/>
        <v>32502.154999999999</v>
      </c>
    </row>
    <row r="120" spans="1:31" x14ac:dyDescent="0.3">
      <c r="A120" s="36" t="s">
        <v>133</v>
      </c>
      <c r="B120" s="49">
        <v>45086</v>
      </c>
      <c r="C120" s="47" t="str">
        <f t="shared" si="10"/>
        <v>Q2-2023</v>
      </c>
      <c r="D120" s="37">
        <v>45096</v>
      </c>
      <c r="E120" s="16">
        <f t="shared" si="9"/>
        <v>10</v>
      </c>
      <c r="F120" s="38" t="s">
        <v>647</v>
      </c>
      <c r="G120" s="38" t="s">
        <v>659</v>
      </c>
      <c r="H120" s="38" t="s">
        <v>699</v>
      </c>
      <c r="I120" s="38" t="s">
        <v>706</v>
      </c>
      <c r="J120" s="38" t="s">
        <v>707</v>
      </c>
      <c r="K120" s="38" t="s">
        <v>721</v>
      </c>
      <c r="L120" s="38" t="s">
        <v>732</v>
      </c>
      <c r="M120" s="39" t="s">
        <v>852</v>
      </c>
      <c r="N120" s="40">
        <v>339.61</v>
      </c>
      <c r="O120" s="40">
        <v>621.02</v>
      </c>
      <c r="P120" s="30" t="str">
        <f t="shared" si="11"/>
        <v>Low</v>
      </c>
      <c r="Q120" s="44">
        <v>7.0999999999999994E-2</v>
      </c>
      <c r="R120" s="42" t="str">
        <f t="shared" si="12"/>
        <v>Low</v>
      </c>
      <c r="S120" s="16">
        <v>10</v>
      </c>
      <c r="T120" s="30">
        <v>5769.2758000000003</v>
      </c>
      <c r="U120" s="30">
        <v>3396.1000000000004</v>
      </c>
      <c r="V120" s="30">
        <v>2373.1758</v>
      </c>
      <c r="W120" s="30">
        <v>0.41134726129750981</v>
      </c>
      <c r="X120" t="str">
        <f t="shared" si="13"/>
        <v>Delayed</v>
      </c>
      <c r="Y120" t="str">
        <f t="shared" si="14"/>
        <v>Compliant Discount</v>
      </c>
      <c r="Z120" s="9">
        <f>MIN(Q120,'Scenario Modelling'!$B$2)</f>
        <v>7.0999999999999994E-2</v>
      </c>
      <c r="AA120">
        <f t="shared" si="15"/>
        <v>576.92758000000003</v>
      </c>
      <c r="AB120">
        <f>N120*(1+'Scenario Modelling'!$B$3)</f>
        <v>373.57100000000003</v>
      </c>
      <c r="AC120">
        <f>ROUNDUP(S120*(1+'Scenario Modelling'!$B$4),0)</f>
        <v>11</v>
      </c>
      <c r="AD120">
        <f t="shared" si="16"/>
        <v>6346.2033800000008</v>
      </c>
      <c r="AE120">
        <f t="shared" si="17"/>
        <v>2236.92238</v>
      </c>
    </row>
    <row r="121" spans="1:31" x14ac:dyDescent="0.3">
      <c r="A121" s="31" t="s">
        <v>134</v>
      </c>
      <c r="B121" s="48">
        <v>45847</v>
      </c>
      <c r="C121" s="47" t="str">
        <f t="shared" si="10"/>
        <v>Q3-2025</v>
      </c>
      <c r="D121" s="32">
        <v>45856</v>
      </c>
      <c r="E121" s="17">
        <f t="shared" si="9"/>
        <v>9</v>
      </c>
      <c r="F121" s="33" t="s">
        <v>648</v>
      </c>
      <c r="G121" s="33" t="s">
        <v>653</v>
      </c>
      <c r="H121" s="33" t="s">
        <v>688</v>
      </c>
      <c r="I121" s="33" t="s">
        <v>702</v>
      </c>
      <c r="J121" s="33" t="s">
        <v>710</v>
      </c>
      <c r="K121" s="33" t="s">
        <v>714</v>
      </c>
      <c r="L121" s="33" t="s">
        <v>731</v>
      </c>
      <c r="M121" s="34" t="s">
        <v>853</v>
      </c>
      <c r="N121" s="35">
        <v>57.96</v>
      </c>
      <c r="O121" s="35">
        <v>88.51</v>
      </c>
      <c r="P121" s="30" t="str">
        <f t="shared" si="11"/>
        <v>Low</v>
      </c>
      <c r="Q121" s="43">
        <v>4.2999999999999997E-2</v>
      </c>
      <c r="R121" s="42" t="str">
        <f t="shared" si="12"/>
        <v>Low</v>
      </c>
      <c r="S121" s="17">
        <v>7</v>
      </c>
      <c r="T121" s="30">
        <v>592.92849000000001</v>
      </c>
      <c r="U121" s="30">
        <v>405.72</v>
      </c>
      <c r="V121" s="30">
        <v>187.20848999999998</v>
      </c>
      <c r="W121" s="30">
        <v>0.3157353595877978</v>
      </c>
      <c r="X121" t="str">
        <f t="shared" si="13"/>
        <v>Delayed</v>
      </c>
      <c r="Y121" t="str">
        <f t="shared" si="14"/>
        <v>Compliant Discount</v>
      </c>
      <c r="Z121" s="9">
        <f>MIN(Q121,'Scenario Modelling'!$B$2)</f>
        <v>4.2999999999999997E-2</v>
      </c>
      <c r="AA121">
        <f t="shared" si="15"/>
        <v>84.704070000000002</v>
      </c>
      <c r="AB121">
        <f>N121*(1+'Scenario Modelling'!$B$3)</f>
        <v>63.756000000000007</v>
      </c>
      <c r="AC121">
        <f>ROUNDUP(S121*(1+'Scenario Modelling'!$B$4),0)</f>
        <v>8</v>
      </c>
      <c r="AD121">
        <f t="shared" si="16"/>
        <v>677.63256000000001</v>
      </c>
      <c r="AE121">
        <f t="shared" si="17"/>
        <v>167.58455999999995</v>
      </c>
    </row>
    <row r="122" spans="1:31" x14ac:dyDescent="0.3">
      <c r="A122" s="36" t="s">
        <v>135</v>
      </c>
      <c r="B122" s="49">
        <v>45827</v>
      </c>
      <c r="C122" s="47" t="str">
        <f t="shared" si="10"/>
        <v>Q2-2025</v>
      </c>
      <c r="D122" s="37">
        <v>45850</v>
      </c>
      <c r="E122" s="16">
        <f t="shared" si="9"/>
        <v>23</v>
      </c>
      <c r="F122" s="38" t="s">
        <v>649</v>
      </c>
      <c r="G122" s="38" t="s">
        <v>658</v>
      </c>
      <c r="H122" s="38" t="s">
        <v>1424</v>
      </c>
      <c r="I122" s="38" t="s">
        <v>703</v>
      </c>
      <c r="J122" s="38" t="s">
        <v>711</v>
      </c>
      <c r="K122" s="38" t="s">
        <v>1424</v>
      </c>
      <c r="L122" s="38" t="s">
        <v>729</v>
      </c>
      <c r="M122" s="39" t="s">
        <v>854</v>
      </c>
      <c r="N122" s="40">
        <v>801.24</v>
      </c>
      <c r="O122" s="40">
        <v>1959.09</v>
      </c>
      <c r="P122" s="30" t="str">
        <f t="shared" si="11"/>
        <v>High</v>
      </c>
      <c r="Q122" s="44">
        <v>0.123</v>
      </c>
      <c r="R122" s="42" t="str">
        <f t="shared" si="12"/>
        <v>Medium</v>
      </c>
      <c r="S122" s="16">
        <v>23</v>
      </c>
      <c r="T122" s="30">
        <v>39516.804389999998</v>
      </c>
      <c r="U122" s="30">
        <v>18428.52</v>
      </c>
      <c r="V122" s="30">
        <v>21088.284389999997</v>
      </c>
      <c r="W122" s="30">
        <v>0.53365358650651762</v>
      </c>
      <c r="X122" t="str">
        <f t="shared" si="13"/>
        <v>Delayed</v>
      </c>
      <c r="Y122" t="str">
        <f t="shared" si="14"/>
        <v>Compliant Discount</v>
      </c>
      <c r="Z122" s="9">
        <f>MIN(Q122,'Scenario Modelling'!$B$2)</f>
        <v>0.123</v>
      </c>
      <c r="AA122">
        <f t="shared" si="15"/>
        <v>1718.12193</v>
      </c>
      <c r="AB122">
        <f>N122*(1+'Scenario Modelling'!$B$3)</f>
        <v>881.36400000000003</v>
      </c>
      <c r="AC122">
        <f>ROUNDUP(S122*(1+'Scenario Modelling'!$B$4),0)</f>
        <v>25</v>
      </c>
      <c r="AD122">
        <f t="shared" si="16"/>
        <v>42953.04825</v>
      </c>
      <c r="AE122">
        <f t="shared" si="17"/>
        <v>20918.948250000001</v>
      </c>
    </row>
    <row r="123" spans="1:31" x14ac:dyDescent="0.3">
      <c r="A123" s="31" t="s">
        <v>136</v>
      </c>
      <c r="B123" s="48">
        <v>45249</v>
      </c>
      <c r="C123" s="47" t="str">
        <f t="shared" si="10"/>
        <v>Q4-2023</v>
      </c>
      <c r="D123" s="32">
        <v>45273</v>
      </c>
      <c r="E123" s="17">
        <f t="shared" si="9"/>
        <v>24</v>
      </c>
      <c r="F123" s="33" t="s">
        <v>649</v>
      </c>
      <c r="G123" s="33" t="s">
        <v>657</v>
      </c>
      <c r="H123" s="33" t="s">
        <v>679</v>
      </c>
      <c r="I123" s="33" t="s">
        <v>703</v>
      </c>
      <c r="J123" s="33" t="s">
        <v>711</v>
      </c>
      <c r="K123" s="33" t="s">
        <v>722</v>
      </c>
      <c r="L123" s="33" t="s">
        <v>732</v>
      </c>
      <c r="M123" s="34" t="s">
        <v>855</v>
      </c>
      <c r="N123" s="35">
        <v>1297.42</v>
      </c>
      <c r="O123" s="35">
        <v>2742.97</v>
      </c>
      <c r="P123" s="30" t="str">
        <f t="shared" si="11"/>
        <v>High</v>
      </c>
      <c r="Q123" s="43">
        <v>6.9000000000000006E-2</v>
      </c>
      <c r="R123" s="42" t="str">
        <f t="shared" si="12"/>
        <v>Low</v>
      </c>
      <c r="S123" s="17">
        <v>9</v>
      </c>
      <c r="T123" s="30">
        <v>22983.34563</v>
      </c>
      <c r="U123" s="30">
        <v>11676.78</v>
      </c>
      <c r="V123" s="30">
        <v>11306.565629999999</v>
      </c>
      <c r="W123" s="30">
        <v>0.49194602961727291</v>
      </c>
      <c r="X123" t="str">
        <f t="shared" si="13"/>
        <v>Delayed</v>
      </c>
      <c r="Y123" t="str">
        <f t="shared" si="14"/>
        <v>Compliant Discount</v>
      </c>
      <c r="Z123" s="9">
        <f>MIN(Q123,'Scenario Modelling'!$B$2)</f>
        <v>6.9000000000000006E-2</v>
      </c>
      <c r="AA123">
        <f t="shared" si="15"/>
        <v>2553.70507</v>
      </c>
      <c r="AB123">
        <f>N123*(1+'Scenario Modelling'!$B$3)</f>
        <v>1427.1620000000003</v>
      </c>
      <c r="AC123">
        <f>ROUNDUP(S123*(1+'Scenario Modelling'!$B$4),0)</f>
        <v>10</v>
      </c>
      <c r="AD123">
        <f t="shared" si="16"/>
        <v>25537.0507</v>
      </c>
      <c r="AE123">
        <f t="shared" si="17"/>
        <v>11265.430699999997</v>
      </c>
    </row>
    <row r="124" spans="1:31" x14ac:dyDescent="0.3">
      <c r="A124" s="36" t="s">
        <v>137</v>
      </c>
      <c r="B124" s="49">
        <v>45289</v>
      </c>
      <c r="C124" s="47" t="str">
        <f t="shared" si="10"/>
        <v>Q4-2023</v>
      </c>
      <c r="D124" s="37">
        <v>45311</v>
      </c>
      <c r="E124" s="16">
        <f t="shared" si="9"/>
        <v>22</v>
      </c>
      <c r="F124" s="38" t="s">
        <v>646</v>
      </c>
      <c r="G124" s="38" t="s">
        <v>650</v>
      </c>
      <c r="H124" s="38" t="s">
        <v>662</v>
      </c>
      <c r="I124" s="38" t="s">
        <v>701</v>
      </c>
      <c r="J124" s="38" t="s">
        <v>711</v>
      </c>
      <c r="K124" s="38" t="s">
        <v>716</v>
      </c>
      <c r="L124" s="38" t="s">
        <v>730</v>
      </c>
      <c r="M124" s="39" t="s">
        <v>856</v>
      </c>
      <c r="N124" s="40">
        <v>1395.49</v>
      </c>
      <c r="O124" s="40">
        <v>1679.42</v>
      </c>
      <c r="P124" s="30" t="str">
        <f t="shared" si="11"/>
        <v>High</v>
      </c>
      <c r="Q124" s="44">
        <v>0.20300000000000001</v>
      </c>
      <c r="R124" s="42" t="str">
        <f t="shared" si="12"/>
        <v>High</v>
      </c>
      <c r="S124" s="16">
        <v>12</v>
      </c>
      <c r="T124" s="30">
        <v>16061.972879999999</v>
      </c>
      <c r="U124" s="30">
        <v>16745.88</v>
      </c>
      <c r="V124" s="30">
        <v>-683.90712000000167</v>
      </c>
      <c r="W124" s="30">
        <v>-4.2579272490964493E-2</v>
      </c>
      <c r="X124" t="str">
        <f t="shared" si="13"/>
        <v>Delayed</v>
      </c>
      <c r="Y124" t="str">
        <f t="shared" si="14"/>
        <v>Non-compliant Discount</v>
      </c>
      <c r="Z124" s="9">
        <f>MIN(Q124,'Scenario Modelling'!$B$2)</f>
        <v>0.2</v>
      </c>
      <c r="AA124">
        <f t="shared" si="15"/>
        <v>1343.5360000000001</v>
      </c>
      <c r="AB124">
        <f>N124*(1+'Scenario Modelling'!$B$3)</f>
        <v>1535.0390000000002</v>
      </c>
      <c r="AC124">
        <f>ROUNDUP(S124*(1+'Scenario Modelling'!$B$4),0)</f>
        <v>13</v>
      </c>
      <c r="AD124">
        <f t="shared" si="16"/>
        <v>17465.968000000001</v>
      </c>
      <c r="AE124">
        <f t="shared" si="17"/>
        <v>-2489.539000000002</v>
      </c>
    </row>
    <row r="125" spans="1:31" x14ac:dyDescent="0.3">
      <c r="A125" s="31" t="s">
        <v>138</v>
      </c>
      <c r="B125" s="48">
        <v>45598</v>
      </c>
      <c r="C125" s="47" t="str">
        <f t="shared" si="10"/>
        <v>Q4-2024</v>
      </c>
      <c r="D125" s="32">
        <v>45625</v>
      </c>
      <c r="E125" s="17">
        <f t="shared" si="9"/>
        <v>27</v>
      </c>
      <c r="F125" s="33" t="s">
        <v>648</v>
      </c>
      <c r="G125" s="33" t="s">
        <v>655</v>
      </c>
      <c r="H125" s="33" t="s">
        <v>672</v>
      </c>
      <c r="I125" s="33" t="s">
        <v>705</v>
      </c>
      <c r="J125" s="33" t="s">
        <v>711</v>
      </c>
      <c r="K125" s="33" t="s">
        <v>714</v>
      </c>
      <c r="L125" s="33" t="s">
        <v>729</v>
      </c>
      <c r="M125" s="34" t="s">
        <v>857</v>
      </c>
      <c r="N125" s="35">
        <v>1363.51</v>
      </c>
      <c r="O125" s="35">
        <v>1433.9</v>
      </c>
      <c r="P125" s="30" t="str">
        <f t="shared" si="11"/>
        <v>Medium</v>
      </c>
      <c r="Q125" s="43">
        <v>5.7000000000000002E-2</v>
      </c>
      <c r="R125" s="42" t="str">
        <f t="shared" si="12"/>
        <v>Low</v>
      </c>
      <c r="S125" s="17">
        <v>8</v>
      </c>
      <c r="T125" s="30">
        <v>10817.3416</v>
      </c>
      <c r="U125" s="30">
        <v>10908.08</v>
      </c>
      <c r="V125" s="30">
        <v>-90.738400000000183</v>
      </c>
      <c r="W125" s="30">
        <v>-8.3882346842037592E-3</v>
      </c>
      <c r="X125" t="str">
        <f t="shared" si="13"/>
        <v>Delayed</v>
      </c>
      <c r="Y125" t="str">
        <f t="shared" si="14"/>
        <v>Compliant Discount</v>
      </c>
      <c r="Z125" s="9">
        <f>MIN(Q125,'Scenario Modelling'!$B$2)</f>
        <v>5.7000000000000002E-2</v>
      </c>
      <c r="AA125">
        <f t="shared" si="15"/>
        <v>1352.1677</v>
      </c>
      <c r="AB125">
        <f>N125*(1+'Scenario Modelling'!$B$3)</f>
        <v>1499.8610000000001</v>
      </c>
      <c r="AC125">
        <f>ROUNDUP(S125*(1+'Scenario Modelling'!$B$4),0)</f>
        <v>9</v>
      </c>
      <c r="AD125">
        <f t="shared" si="16"/>
        <v>12169.5093</v>
      </c>
      <c r="AE125">
        <f t="shared" si="17"/>
        <v>-1329.2397000000012</v>
      </c>
    </row>
    <row r="126" spans="1:31" x14ac:dyDescent="0.3">
      <c r="A126" s="36" t="s">
        <v>139</v>
      </c>
      <c r="B126" s="49">
        <v>45159</v>
      </c>
      <c r="C126" s="47" t="str">
        <f t="shared" si="10"/>
        <v>Q3-2023</v>
      </c>
      <c r="D126" s="37">
        <v>45173</v>
      </c>
      <c r="E126" s="16">
        <f t="shared" si="9"/>
        <v>14</v>
      </c>
      <c r="F126" s="38" t="s">
        <v>648</v>
      </c>
      <c r="G126" s="38" t="s">
        <v>653</v>
      </c>
      <c r="H126" s="38" t="s">
        <v>681</v>
      </c>
      <c r="I126" s="38" t="s">
        <v>702</v>
      </c>
      <c r="J126" s="38" t="s">
        <v>710</v>
      </c>
      <c r="K126" s="38" t="s">
        <v>721</v>
      </c>
      <c r="L126" s="38" t="s">
        <v>727</v>
      </c>
      <c r="M126" s="39" t="s">
        <v>858</v>
      </c>
      <c r="N126" s="40">
        <v>178.19</v>
      </c>
      <c r="O126" s="40">
        <v>284.43</v>
      </c>
      <c r="P126" s="30" t="str">
        <f t="shared" si="11"/>
        <v>Low</v>
      </c>
      <c r="Q126" s="44">
        <v>8.8999999999999996E-2</v>
      </c>
      <c r="R126" s="42" t="str">
        <f t="shared" si="12"/>
        <v>Low</v>
      </c>
      <c r="S126" s="16">
        <v>8</v>
      </c>
      <c r="T126" s="30">
        <v>2072.9258400000003</v>
      </c>
      <c r="U126" s="30">
        <v>1425.52</v>
      </c>
      <c r="V126" s="30">
        <v>647.40584000000035</v>
      </c>
      <c r="W126" s="30">
        <v>0.31231500302972742</v>
      </c>
      <c r="X126" t="str">
        <f t="shared" si="13"/>
        <v>Delayed</v>
      </c>
      <c r="Y126" t="str">
        <f t="shared" si="14"/>
        <v>Compliant Discount</v>
      </c>
      <c r="Z126" s="9">
        <f>MIN(Q126,'Scenario Modelling'!$B$2)</f>
        <v>8.8999999999999996E-2</v>
      </c>
      <c r="AA126">
        <f t="shared" si="15"/>
        <v>259.11573000000004</v>
      </c>
      <c r="AB126">
        <f>N126*(1+'Scenario Modelling'!$B$3)</f>
        <v>196.00900000000001</v>
      </c>
      <c r="AC126">
        <f>ROUNDUP(S126*(1+'Scenario Modelling'!$B$4),0)</f>
        <v>9</v>
      </c>
      <c r="AD126">
        <f t="shared" si="16"/>
        <v>2332.0415700000003</v>
      </c>
      <c r="AE126">
        <f t="shared" si="17"/>
        <v>567.96057000000019</v>
      </c>
    </row>
    <row r="127" spans="1:31" x14ac:dyDescent="0.3">
      <c r="A127" s="31" t="s">
        <v>140</v>
      </c>
      <c r="B127" s="48">
        <v>45150</v>
      </c>
      <c r="C127" s="47" t="str">
        <f t="shared" si="10"/>
        <v>Q3-2023</v>
      </c>
      <c r="D127" s="32">
        <v>45175</v>
      </c>
      <c r="E127" s="17">
        <f t="shared" si="9"/>
        <v>25</v>
      </c>
      <c r="F127" s="33" t="s">
        <v>647</v>
      </c>
      <c r="G127" s="33" t="s">
        <v>659</v>
      </c>
      <c r="H127" s="33" t="s">
        <v>685</v>
      </c>
      <c r="I127" s="33" t="s">
        <v>705</v>
      </c>
      <c r="J127" s="33" t="s">
        <v>707</v>
      </c>
      <c r="K127" s="33" t="s">
        <v>717</v>
      </c>
      <c r="L127" s="33" t="s">
        <v>727</v>
      </c>
      <c r="M127" s="34" t="s">
        <v>859</v>
      </c>
      <c r="N127" s="35">
        <v>950.77</v>
      </c>
      <c r="O127" s="35">
        <v>694.78</v>
      </c>
      <c r="P127" s="30" t="str">
        <f t="shared" si="11"/>
        <v>Low</v>
      </c>
      <c r="Q127" s="43">
        <v>8.4000000000000005E-2</v>
      </c>
      <c r="R127" s="42" t="str">
        <f t="shared" si="12"/>
        <v>Low</v>
      </c>
      <c r="S127" s="17">
        <v>14</v>
      </c>
      <c r="T127" s="30">
        <v>8909.8587200000002</v>
      </c>
      <c r="U127" s="30">
        <v>13310.779999999999</v>
      </c>
      <c r="V127" s="30">
        <v>-4400.9212799999987</v>
      </c>
      <c r="W127" s="30">
        <v>-0.49393839097821279</v>
      </c>
      <c r="X127" t="str">
        <f t="shared" si="13"/>
        <v>Delayed</v>
      </c>
      <c r="Y127" t="str">
        <f t="shared" si="14"/>
        <v>Compliant Discount</v>
      </c>
      <c r="Z127" s="9">
        <f>MIN(Q127,'Scenario Modelling'!$B$2)</f>
        <v>8.4000000000000005E-2</v>
      </c>
      <c r="AA127">
        <f t="shared" si="15"/>
        <v>636.41848000000005</v>
      </c>
      <c r="AB127">
        <f>N127*(1+'Scenario Modelling'!$B$3)</f>
        <v>1045.847</v>
      </c>
      <c r="AC127">
        <f>ROUNDUP(S127*(1+'Scenario Modelling'!$B$4),0)</f>
        <v>15</v>
      </c>
      <c r="AD127">
        <f t="shared" si="16"/>
        <v>9546.2772000000004</v>
      </c>
      <c r="AE127">
        <f t="shared" si="17"/>
        <v>-6141.4277999999995</v>
      </c>
    </row>
    <row r="128" spans="1:31" x14ac:dyDescent="0.3">
      <c r="A128" s="36" t="s">
        <v>141</v>
      </c>
      <c r="B128" s="49">
        <v>45450</v>
      </c>
      <c r="C128" s="47" t="str">
        <f t="shared" si="10"/>
        <v>Q2-2024</v>
      </c>
      <c r="D128" s="37">
        <v>45469</v>
      </c>
      <c r="E128" s="16">
        <f t="shared" si="9"/>
        <v>19</v>
      </c>
      <c r="F128" s="38" t="s">
        <v>649</v>
      </c>
      <c r="G128" s="38" t="s">
        <v>656</v>
      </c>
      <c r="H128" s="38" t="s">
        <v>671</v>
      </c>
      <c r="I128" s="38" t="s">
        <v>703</v>
      </c>
      <c r="J128" s="38" t="s">
        <v>709</v>
      </c>
      <c r="K128" s="38" t="s">
        <v>724</v>
      </c>
      <c r="L128" s="38" t="s">
        <v>727</v>
      </c>
      <c r="M128" s="39" t="s">
        <v>860</v>
      </c>
      <c r="N128" s="40">
        <v>1064.32</v>
      </c>
      <c r="O128" s="40">
        <v>1848.39</v>
      </c>
      <c r="P128" s="30" t="str">
        <f t="shared" si="11"/>
        <v>High</v>
      </c>
      <c r="Q128" s="44">
        <v>7.2999999999999995E-2</v>
      </c>
      <c r="R128" s="42" t="str">
        <f t="shared" si="12"/>
        <v>Low</v>
      </c>
      <c r="S128" s="16">
        <v>38</v>
      </c>
      <c r="T128" s="30">
        <v>65111.38614000001</v>
      </c>
      <c r="U128" s="30">
        <v>40444.159999999996</v>
      </c>
      <c r="V128" s="30">
        <v>24667.226140000013</v>
      </c>
      <c r="W128" s="30">
        <v>0.3788465827921631</v>
      </c>
      <c r="X128" t="str">
        <f t="shared" si="13"/>
        <v>Delayed</v>
      </c>
      <c r="Y128" t="str">
        <f t="shared" si="14"/>
        <v>Compliant Discount</v>
      </c>
      <c r="Z128" s="9">
        <f>MIN(Q128,'Scenario Modelling'!$B$2)</f>
        <v>7.2999999999999995E-2</v>
      </c>
      <c r="AA128">
        <f t="shared" si="15"/>
        <v>1713.4575300000001</v>
      </c>
      <c r="AB128">
        <f>N128*(1+'Scenario Modelling'!$B$3)</f>
        <v>1170.752</v>
      </c>
      <c r="AC128">
        <f>ROUNDUP(S128*(1+'Scenario Modelling'!$B$4),0)</f>
        <v>40</v>
      </c>
      <c r="AD128">
        <f t="shared" si="16"/>
        <v>68538.301200000002</v>
      </c>
      <c r="AE128">
        <f t="shared" si="17"/>
        <v>21708.221200000007</v>
      </c>
    </row>
    <row r="129" spans="1:31" x14ac:dyDescent="0.3">
      <c r="A129" s="31" t="s">
        <v>142</v>
      </c>
      <c r="B129" s="48">
        <v>45874</v>
      </c>
      <c r="C129" s="47" t="str">
        <f t="shared" si="10"/>
        <v>Q3-2025</v>
      </c>
      <c r="D129" s="32">
        <v>45883</v>
      </c>
      <c r="E129" s="17">
        <f t="shared" si="9"/>
        <v>9</v>
      </c>
      <c r="F129" s="33" t="s">
        <v>649</v>
      </c>
      <c r="G129" s="33" t="s">
        <v>658</v>
      </c>
      <c r="H129" s="33" t="s">
        <v>683</v>
      </c>
      <c r="I129" s="33" t="s">
        <v>703</v>
      </c>
      <c r="J129" s="33" t="s">
        <v>711</v>
      </c>
      <c r="K129" s="33" t="s">
        <v>718</v>
      </c>
      <c r="L129" s="33" t="s">
        <v>727</v>
      </c>
      <c r="M129" s="34" t="s">
        <v>861</v>
      </c>
      <c r="N129" s="35">
        <v>41.76</v>
      </c>
      <c r="O129" s="35">
        <v>45.19</v>
      </c>
      <c r="P129" s="30" t="str">
        <f t="shared" si="11"/>
        <v>Low</v>
      </c>
      <c r="Q129" s="43">
        <v>0.17899999999999999</v>
      </c>
      <c r="R129" s="42" t="str">
        <f t="shared" si="12"/>
        <v>Medium</v>
      </c>
      <c r="S129" s="17">
        <v>23</v>
      </c>
      <c r="T129" s="30">
        <v>853.32276999999988</v>
      </c>
      <c r="U129" s="30">
        <v>960.4799999999999</v>
      </c>
      <c r="V129" s="30">
        <v>-107.15723000000003</v>
      </c>
      <c r="W129" s="30">
        <v>-0.12557643340514638</v>
      </c>
      <c r="X129" t="str">
        <f t="shared" si="13"/>
        <v>Delayed</v>
      </c>
      <c r="Y129" t="str">
        <f t="shared" si="14"/>
        <v>Compliant Discount</v>
      </c>
      <c r="Z129" s="9">
        <f>MIN(Q129,'Scenario Modelling'!$B$2)</f>
        <v>0.17899999999999999</v>
      </c>
      <c r="AA129">
        <f t="shared" si="15"/>
        <v>37.100989999999996</v>
      </c>
      <c r="AB129">
        <f>N129*(1+'Scenario Modelling'!$B$3)</f>
        <v>45.936</v>
      </c>
      <c r="AC129">
        <f>ROUNDUP(S129*(1+'Scenario Modelling'!$B$4),0)</f>
        <v>25</v>
      </c>
      <c r="AD129">
        <f t="shared" si="16"/>
        <v>927.52474999999993</v>
      </c>
      <c r="AE129">
        <f t="shared" si="17"/>
        <v>-220.87525000000011</v>
      </c>
    </row>
    <row r="130" spans="1:31" x14ac:dyDescent="0.3">
      <c r="A130" s="36" t="s">
        <v>143</v>
      </c>
      <c r="B130" s="49">
        <v>45442</v>
      </c>
      <c r="C130" s="47" t="str">
        <f t="shared" si="10"/>
        <v>Q2-2024</v>
      </c>
      <c r="D130" s="37">
        <v>45456</v>
      </c>
      <c r="E130" s="16">
        <f t="shared" ref="E130:E193" si="18">D130-B130</f>
        <v>14</v>
      </c>
      <c r="F130" s="38" t="s">
        <v>648</v>
      </c>
      <c r="G130" s="38" t="s">
        <v>660</v>
      </c>
      <c r="H130" s="38" t="s">
        <v>686</v>
      </c>
      <c r="I130" s="38" t="s">
        <v>705</v>
      </c>
      <c r="J130" s="38" t="s">
        <v>707</v>
      </c>
      <c r="K130" s="38" t="s">
        <v>721</v>
      </c>
      <c r="L130" s="38" t="s">
        <v>730</v>
      </c>
      <c r="M130" s="39" t="s">
        <v>862</v>
      </c>
      <c r="N130" s="40">
        <v>157.78</v>
      </c>
      <c r="O130" s="40">
        <v>361.1</v>
      </c>
      <c r="P130" s="30" t="str">
        <f t="shared" si="11"/>
        <v>Low</v>
      </c>
      <c r="Q130" s="44">
        <v>0.187</v>
      </c>
      <c r="R130" s="42" t="str">
        <f t="shared" si="12"/>
        <v>Medium</v>
      </c>
      <c r="S130" s="16">
        <v>9</v>
      </c>
      <c r="T130" s="30">
        <v>2642.1686999999997</v>
      </c>
      <c r="U130" s="30">
        <v>1420.02</v>
      </c>
      <c r="V130" s="30">
        <v>1222.1486999999997</v>
      </c>
      <c r="W130" s="30">
        <v>0.46255513510549112</v>
      </c>
      <c r="X130" t="str">
        <f t="shared" si="13"/>
        <v>Delayed</v>
      </c>
      <c r="Y130" t="str">
        <f t="shared" si="14"/>
        <v>Compliant Discount</v>
      </c>
      <c r="Z130" s="9">
        <f>MIN(Q130,'Scenario Modelling'!$B$2)</f>
        <v>0.187</v>
      </c>
      <c r="AA130">
        <f t="shared" si="15"/>
        <v>293.57429999999999</v>
      </c>
      <c r="AB130">
        <f>N130*(1+'Scenario Modelling'!$B$3)</f>
        <v>173.55800000000002</v>
      </c>
      <c r="AC130">
        <f>ROUNDUP(S130*(1+'Scenario Modelling'!$B$4),0)</f>
        <v>10</v>
      </c>
      <c r="AD130">
        <f t="shared" si="16"/>
        <v>2935.7429999999999</v>
      </c>
      <c r="AE130">
        <f t="shared" si="17"/>
        <v>1200.1629999999998</v>
      </c>
    </row>
    <row r="131" spans="1:31" x14ac:dyDescent="0.3">
      <c r="A131" s="31" t="s">
        <v>144</v>
      </c>
      <c r="B131" s="48">
        <v>44948</v>
      </c>
      <c r="C131" s="47" t="str">
        <f t="shared" ref="C131:C194" si="19">"Q"&amp;ROUNDUP(MONTH(B131)/3,0)&amp;"-"&amp;YEAR(B131)</f>
        <v>Q1-2023</v>
      </c>
      <c r="D131" s="32">
        <v>44956</v>
      </c>
      <c r="E131" s="17">
        <f t="shared" si="18"/>
        <v>8</v>
      </c>
      <c r="F131" s="33" t="s">
        <v>648</v>
      </c>
      <c r="G131" s="33" t="s">
        <v>660</v>
      </c>
      <c r="H131" s="33" t="s">
        <v>686</v>
      </c>
      <c r="I131" s="33" t="s">
        <v>705</v>
      </c>
      <c r="J131" s="33" t="s">
        <v>708</v>
      </c>
      <c r="K131" s="33" t="s">
        <v>720</v>
      </c>
      <c r="L131" s="33" t="s">
        <v>729</v>
      </c>
      <c r="M131" s="34" t="s">
        <v>863</v>
      </c>
      <c r="N131" s="35">
        <v>413.52</v>
      </c>
      <c r="O131" s="35">
        <v>1004.34</v>
      </c>
      <c r="P131" s="30" t="str">
        <f t="shared" ref="P131:P194" si="20">IF(O131&lt;=_xlfn.PERCENTILE.INC(IF(L131:L761=L131, O131:O761), 0.33), "Low", IF(O131&lt;=_xlfn.PERCENTILE.INC(IF(L131:L761=L131, O131:O761), 0.66), "Medium", IF(O131 &gt; _xlfn.PERCENTILE.INC(IF(L131:L761=L131, O131:O761), 0.66), "High")))</f>
        <v>Medium</v>
      </c>
      <c r="Q131" s="43">
        <v>0.111</v>
      </c>
      <c r="R131" s="42" t="str">
        <f t="shared" ref="R131:R194" si="21">IF(Q131&lt;=0.1,"Low",IF(Q131&gt;0.2,"High","Medium"))</f>
        <v>Medium</v>
      </c>
      <c r="S131" s="17">
        <v>18</v>
      </c>
      <c r="T131" s="30">
        <v>16071.44868</v>
      </c>
      <c r="U131" s="30">
        <v>7443.36</v>
      </c>
      <c r="V131" s="30">
        <v>8628.0886800000007</v>
      </c>
      <c r="W131" s="30">
        <v>0.53685817948304593</v>
      </c>
      <c r="X131" t="str">
        <f t="shared" ref="X131:X194" si="22">IF(E131&lt;=7,"On-time","Delayed")</f>
        <v>Delayed</v>
      </c>
      <c r="Y131" t="str">
        <f t="shared" ref="Y131:Y194" si="23">IF(Q131&lt;=0.2, "Compliant Discount", "Non-compliant Discount")</f>
        <v>Compliant Discount</v>
      </c>
      <c r="Z131" s="9">
        <f>MIN(Q131,'Scenario Modelling'!$B$2)</f>
        <v>0.111</v>
      </c>
      <c r="AA131">
        <f t="shared" ref="AA131:AA194" si="24">O131*(1-Z131)</f>
        <v>892.85826000000009</v>
      </c>
      <c r="AB131">
        <f>N131*(1+'Scenario Modelling'!$B$3)</f>
        <v>454.87200000000001</v>
      </c>
      <c r="AC131">
        <f>ROUNDUP(S131*(1+'Scenario Modelling'!$B$4),0)</f>
        <v>19</v>
      </c>
      <c r="AD131">
        <f t="shared" ref="AD131:AD194" si="25">AA131*AC131</f>
        <v>16964.306940000002</v>
      </c>
      <c r="AE131">
        <f t="shared" ref="AE131:AE194" si="26">(AA131-AB131)*AC131</f>
        <v>8321.7389400000011</v>
      </c>
    </row>
    <row r="132" spans="1:31" x14ac:dyDescent="0.3">
      <c r="A132" s="36" t="s">
        <v>145</v>
      </c>
      <c r="B132" s="49">
        <v>45700</v>
      </c>
      <c r="C132" s="47" t="str">
        <f t="shared" si="19"/>
        <v>Q1-2025</v>
      </c>
      <c r="D132" s="37">
        <v>45716</v>
      </c>
      <c r="E132" s="16">
        <f t="shared" si="18"/>
        <v>16</v>
      </c>
      <c r="F132" s="38" t="s">
        <v>648</v>
      </c>
      <c r="G132" s="38" t="s">
        <v>655</v>
      </c>
      <c r="H132" s="38" t="s">
        <v>670</v>
      </c>
      <c r="I132" s="38" t="s">
        <v>703</v>
      </c>
      <c r="J132" s="38" t="s">
        <v>711</v>
      </c>
      <c r="K132" s="38" t="s">
        <v>717</v>
      </c>
      <c r="L132" s="38" t="s">
        <v>732</v>
      </c>
      <c r="M132" s="39" t="s">
        <v>864</v>
      </c>
      <c r="N132" s="40">
        <v>414.95</v>
      </c>
      <c r="O132" s="40">
        <v>1027.73</v>
      </c>
      <c r="P132" s="30" t="str">
        <f t="shared" si="20"/>
        <v>Medium</v>
      </c>
      <c r="Q132" s="44">
        <v>6.3E-2</v>
      </c>
      <c r="R132" s="42" t="str">
        <f t="shared" si="21"/>
        <v>Low</v>
      </c>
      <c r="S132" s="16">
        <v>8</v>
      </c>
      <c r="T132" s="30">
        <v>7703.8640800000003</v>
      </c>
      <c r="U132" s="30">
        <v>3319.6</v>
      </c>
      <c r="V132" s="30">
        <v>4384.2640800000008</v>
      </c>
      <c r="W132" s="30">
        <v>0.56909935513815568</v>
      </c>
      <c r="X132" t="str">
        <f t="shared" si="22"/>
        <v>Delayed</v>
      </c>
      <c r="Y132" t="str">
        <f t="shared" si="23"/>
        <v>Compliant Discount</v>
      </c>
      <c r="Z132" s="9">
        <f>MIN(Q132,'Scenario Modelling'!$B$2)</f>
        <v>6.3E-2</v>
      </c>
      <c r="AA132">
        <f t="shared" si="24"/>
        <v>962.98301000000004</v>
      </c>
      <c r="AB132">
        <f>N132*(1+'Scenario Modelling'!$B$3)</f>
        <v>456.44500000000005</v>
      </c>
      <c r="AC132">
        <f>ROUNDUP(S132*(1+'Scenario Modelling'!$B$4),0)</f>
        <v>9</v>
      </c>
      <c r="AD132">
        <f t="shared" si="25"/>
        <v>8666.8470900000011</v>
      </c>
      <c r="AE132">
        <f t="shared" si="26"/>
        <v>4558.8420900000001</v>
      </c>
    </row>
    <row r="133" spans="1:31" x14ac:dyDescent="0.3">
      <c r="A133" s="31" t="s">
        <v>146</v>
      </c>
      <c r="B133" s="48">
        <v>45719</v>
      </c>
      <c r="C133" s="47" t="str">
        <f t="shared" si="19"/>
        <v>Q1-2025</v>
      </c>
      <c r="D133" s="32">
        <v>45740</v>
      </c>
      <c r="E133" s="17">
        <f t="shared" si="18"/>
        <v>21</v>
      </c>
      <c r="F133" s="33" t="s">
        <v>646</v>
      </c>
      <c r="G133" s="33" t="s">
        <v>651</v>
      </c>
      <c r="H133" s="33" t="s">
        <v>669</v>
      </c>
      <c r="I133" s="33" t="s">
        <v>706</v>
      </c>
      <c r="J133" s="33" t="s">
        <v>711</v>
      </c>
      <c r="K133" s="33" t="s">
        <v>722</v>
      </c>
      <c r="L133" s="33" t="s">
        <v>733</v>
      </c>
      <c r="M133" s="34" t="s">
        <v>865</v>
      </c>
      <c r="N133" s="35">
        <v>555.95000000000005</v>
      </c>
      <c r="O133" s="35">
        <v>468.09</v>
      </c>
      <c r="P133" s="30" t="str">
        <f t="shared" si="20"/>
        <v>Low</v>
      </c>
      <c r="Q133" s="43">
        <v>0.14199999999999999</v>
      </c>
      <c r="R133" s="42" t="str">
        <f t="shared" si="21"/>
        <v>Medium</v>
      </c>
      <c r="S133" s="17">
        <v>11</v>
      </c>
      <c r="T133" s="30">
        <v>4417.8334199999999</v>
      </c>
      <c r="U133" s="30">
        <v>6115.4500000000007</v>
      </c>
      <c r="V133" s="30">
        <v>-1697.6165800000008</v>
      </c>
      <c r="W133" s="30">
        <v>-0.38426450674095375</v>
      </c>
      <c r="X133" t="str">
        <f t="shared" si="22"/>
        <v>Delayed</v>
      </c>
      <c r="Y133" t="str">
        <f t="shared" si="23"/>
        <v>Compliant Discount</v>
      </c>
      <c r="Z133" s="9">
        <f>MIN(Q133,'Scenario Modelling'!$B$2)</f>
        <v>0.14199999999999999</v>
      </c>
      <c r="AA133">
        <f t="shared" si="24"/>
        <v>401.62121999999999</v>
      </c>
      <c r="AB133">
        <f>N133*(1+'Scenario Modelling'!$B$3)</f>
        <v>611.54500000000007</v>
      </c>
      <c r="AC133">
        <f>ROUNDUP(S133*(1+'Scenario Modelling'!$B$4),0)</f>
        <v>12</v>
      </c>
      <c r="AD133">
        <f t="shared" si="25"/>
        <v>4819.4546399999999</v>
      </c>
      <c r="AE133">
        <f t="shared" si="26"/>
        <v>-2519.0853600000009</v>
      </c>
    </row>
    <row r="134" spans="1:31" x14ac:dyDescent="0.3">
      <c r="A134" s="36" t="s">
        <v>147</v>
      </c>
      <c r="B134" s="49">
        <v>44953</v>
      </c>
      <c r="C134" s="47" t="str">
        <f t="shared" si="19"/>
        <v>Q1-2023</v>
      </c>
      <c r="D134" s="37">
        <v>44957</v>
      </c>
      <c r="E134" s="16">
        <f t="shared" si="18"/>
        <v>4</v>
      </c>
      <c r="F134" s="38" t="s">
        <v>649</v>
      </c>
      <c r="G134" s="38" t="s">
        <v>658</v>
      </c>
      <c r="H134" s="38" t="s">
        <v>693</v>
      </c>
      <c r="I134" s="38" t="s">
        <v>706</v>
      </c>
      <c r="J134" s="38" t="s">
        <v>708</v>
      </c>
      <c r="K134" s="38" t="s">
        <v>725</v>
      </c>
      <c r="L134" s="38" t="s">
        <v>731</v>
      </c>
      <c r="M134" s="39" t="s">
        <v>866</v>
      </c>
      <c r="N134" s="40">
        <v>941.2</v>
      </c>
      <c r="O134" s="40">
        <v>668.02</v>
      </c>
      <c r="P134" s="30" t="str">
        <f t="shared" si="20"/>
        <v>Low</v>
      </c>
      <c r="Q134" s="44">
        <v>0.22</v>
      </c>
      <c r="R134" s="42" t="str">
        <f t="shared" si="21"/>
        <v>High</v>
      </c>
      <c r="S134" s="16">
        <v>16</v>
      </c>
      <c r="T134" s="30">
        <v>8336.8896000000004</v>
      </c>
      <c r="U134" s="30">
        <v>15059.2</v>
      </c>
      <c r="V134" s="30">
        <v>-6722.3104000000003</v>
      </c>
      <c r="W134" s="30">
        <v>-0.80633314371825193</v>
      </c>
      <c r="X134" t="str">
        <f t="shared" si="22"/>
        <v>On-time</v>
      </c>
      <c r="Y134" t="str">
        <f t="shared" si="23"/>
        <v>Non-compliant Discount</v>
      </c>
      <c r="Z134" s="9">
        <f>MIN(Q134,'Scenario Modelling'!$B$2)</f>
        <v>0.2</v>
      </c>
      <c r="AA134">
        <f t="shared" si="24"/>
        <v>534.41600000000005</v>
      </c>
      <c r="AB134">
        <f>N134*(1+'Scenario Modelling'!$B$3)</f>
        <v>1035.3200000000002</v>
      </c>
      <c r="AC134">
        <f>ROUNDUP(S134*(1+'Scenario Modelling'!$B$4),0)</f>
        <v>17</v>
      </c>
      <c r="AD134">
        <f t="shared" si="25"/>
        <v>9085.0720000000001</v>
      </c>
      <c r="AE134">
        <f t="shared" si="26"/>
        <v>-8515.3680000000022</v>
      </c>
    </row>
    <row r="135" spans="1:31" x14ac:dyDescent="0.3">
      <c r="A135" s="31" t="s">
        <v>148</v>
      </c>
      <c r="B135" s="48">
        <v>45666</v>
      </c>
      <c r="C135" s="47" t="str">
        <f t="shared" si="19"/>
        <v>Q1-2025</v>
      </c>
      <c r="D135" s="32">
        <v>45672</v>
      </c>
      <c r="E135" s="17">
        <f t="shared" si="18"/>
        <v>6</v>
      </c>
      <c r="F135" s="33" t="s">
        <v>647</v>
      </c>
      <c r="G135" s="33" t="s">
        <v>659</v>
      </c>
      <c r="H135" s="33" t="s">
        <v>699</v>
      </c>
      <c r="I135" s="33" t="s">
        <v>702</v>
      </c>
      <c r="J135" s="33" t="s">
        <v>708</v>
      </c>
      <c r="K135" s="33" t="s">
        <v>712</v>
      </c>
      <c r="L135" s="33" t="s">
        <v>730</v>
      </c>
      <c r="M135" s="34" t="s">
        <v>867</v>
      </c>
      <c r="N135" s="35">
        <v>304.77999999999997</v>
      </c>
      <c r="O135" s="35">
        <v>537.27</v>
      </c>
      <c r="P135" s="30" t="str">
        <f t="shared" si="20"/>
        <v>Low</v>
      </c>
      <c r="Q135" s="43">
        <v>0.187</v>
      </c>
      <c r="R135" s="42" t="str">
        <f t="shared" si="21"/>
        <v>Medium</v>
      </c>
      <c r="S135" s="17">
        <v>8</v>
      </c>
      <c r="T135" s="30">
        <v>3494.4040799999998</v>
      </c>
      <c r="U135" s="30">
        <v>2438.2399999999998</v>
      </c>
      <c r="V135" s="30">
        <v>1056.16408</v>
      </c>
      <c r="W135" s="30">
        <v>0.3022444044307549</v>
      </c>
      <c r="X135" t="str">
        <f t="shared" si="22"/>
        <v>On-time</v>
      </c>
      <c r="Y135" t="str">
        <f t="shared" si="23"/>
        <v>Compliant Discount</v>
      </c>
      <c r="Z135" s="9">
        <f>MIN(Q135,'Scenario Modelling'!$B$2)</f>
        <v>0.187</v>
      </c>
      <c r="AA135">
        <f t="shared" si="24"/>
        <v>436.80050999999997</v>
      </c>
      <c r="AB135">
        <f>N135*(1+'Scenario Modelling'!$B$3)</f>
        <v>335.25799999999998</v>
      </c>
      <c r="AC135">
        <f>ROUNDUP(S135*(1+'Scenario Modelling'!$B$4),0)</f>
        <v>9</v>
      </c>
      <c r="AD135">
        <f t="shared" si="25"/>
        <v>3931.2045899999998</v>
      </c>
      <c r="AE135">
        <f t="shared" si="26"/>
        <v>913.88258999999994</v>
      </c>
    </row>
    <row r="136" spans="1:31" x14ac:dyDescent="0.3">
      <c r="A136" s="36" t="s">
        <v>149</v>
      </c>
      <c r="B136" s="49">
        <v>45647</v>
      </c>
      <c r="C136" s="47" t="str">
        <f t="shared" si="19"/>
        <v>Q4-2024</v>
      </c>
      <c r="D136" s="37">
        <v>45652</v>
      </c>
      <c r="E136" s="16">
        <f t="shared" si="18"/>
        <v>5</v>
      </c>
      <c r="F136" s="38" t="s">
        <v>648</v>
      </c>
      <c r="G136" s="38" t="s">
        <v>660</v>
      </c>
      <c r="H136" s="38" t="s">
        <v>686</v>
      </c>
      <c r="I136" s="38" t="s">
        <v>704</v>
      </c>
      <c r="J136" s="38" t="s">
        <v>709</v>
      </c>
      <c r="K136" s="38" t="s">
        <v>724</v>
      </c>
      <c r="L136" s="38" t="s">
        <v>728</v>
      </c>
      <c r="M136" s="39" t="s">
        <v>868</v>
      </c>
      <c r="N136" s="40">
        <v>699.57</v>
      </c>
      <c r="O136" s="40">
        <v>572.71</v>
      </c>
      <c r="P136" s="30" t="str">
        <f t="shared" si="20"/>
        <v>Low</v>
      </c>
      <c r="Q136" s="44">
        <v>0.192</v>
      </c>
      <c r="R136" s="42" t="str">
        <f t="shared" si="21"/>
        <v>Medium</v>
      </c>
      <c r="S136" s="16">
        <v>26</v>
      </c>
      <c r="T136" s="30">
        <v>12031.491680000001</v>
      </c>
      <c r="U136" s="30">
        <v>18188.82</v>
      </c>
      <c r="V136" s="30">
        <v>-6157.3283199999987</v>
      </c>
      <c r="W136" s="30">
        <v>-0.51176765805651114</v>
      </c>
      <c r="X136" t="str">
        <f t="shared" si="22"/>
        <v>On-time</v>
      </c>
      <c r="Y136" t="str">
        <f t="shared" si="23"/>
        <v>Compliant Discount</v>
      </c>
      <c r="Z136" s="9">
        <f>MIN(Q136,'Scenario Modelling'!$B$2)</f>
        <v>0.192</v>
      </c>
      <c r="AA136">
        <f t="shared" si="24"/>
        <v>462.74968000000007</v>
      </c>
      <c r="AB136">
        <f>N136*(1+'Scenario Modelling'!$B$3)</f>
        <v>769.52700000000016</v>
      </c>
      <c r="AC136">
        <f>ROUNDUP(S136*(1+'Scenario Modelling'!$B$4),0)</f>
        <v>28</v>
      </c>
      <c r="AD136">
        <f t="shared" si="25"/>
        <v>12956.991040000003</v>
      </c>
      <c r="AE136">
        <f t="shared" si="26"/>
        <v>-8589.7649600000022</v>
      </c>
    </row>
    <row r="137" spans="1:31" x14ac:dyDescent="0.3">
      <c r="A137" s="31" t="s">
        <v>150</v>
      </c>
      <c r="B137" s="48">
        <v>45028</v>
      </c>
      <c r="C137" s="47" t="str">
        <f t="shared" si="19"/>
        <v>Q2-2023</v>
      </c>
      <c r="D137" s="32">
        <v>45033</v>
      </c>
      <c r="E137" s="17">
        <f t="shared" si="18"/>
        <v>5</v>
      </c>
      <c r="F137" s="33" t="s">
        <v>649</v>
      </c>
      <c r="G137" s="33" t="s">
        <v>657</v>
      </c>
      <c r="H137" s="33" t="s">
        <v>679</v>
      </c>
      <c r="I137" s="33" t="s">
        <v>706</v>
      </c>
      <c r="J137" s="33" t="s">
        <v>711</v>
      </c>
      <c r="K137" s="33" t="s">
        <v>718</v>
      </c>
      <c r="L137" s="33" t="s">
        <v>732</v>
      </c>
      <c r="M137" s="34" t="s">
        <v>869</v>
      </c>
      <c r="N137" s="35">
        <v>1087.81</v>
      </c>
      <c r="O137" s="35">
        <v>2323.87</v>
      </c>
      <c r="P137" s="30" t="str">
        <f t="shared" si="20"/>
        <v>High</v>
      </c>
      <c r="Q137" s="43">
        <v>9.4E-2</v>
      </c>
      <c r="R137" s="42" t="str">
        <f t="shared" si="21"/>
        <v>Low</v>
      </c>
      <c r="S137" s="17">
        <v>13</v>
      </c>
      <c r="T137" s="30">
        <v>27370.540859999997</v>
      </c>
      <c r="U137" s="30">
        <v>14141.529999999999</v>
      </c>
      <c r="V137" s="30">
        <v>13229.010859999999</v>
      </c>
      <c r="W137" s="30">
        <v>0.48333026839572651</v>
      </c>
      <c r="X137" t="str">
        <f t="shared" si="22"/>
        <v>On-time</v>
      </c>
      <c r="Y137" t="str">
        <f t="shared" si="23"/>
        <v>Compliant Discount</v>
      </c>
      <c r="Z137" s="9">
        <f>MIN(Q137,'Scenario Modelling'!$B$2)</f>
        <v>9.4E-2</v>
      </c>
      <c r="AA137">
        <f t="shared" si="24"/>
        <v>2105.4262199999998</v>
      </c>
      <c r="AB137">
        <f>N137*(1+'Scenario Modelling'!$B$3)</f>
        <v>1196.5910000000001</v>
      </c>
      <c r="AC137">
        <f>ROUNDUP(S137*(1+'Scenario Modelling'!$B$4),0)</f>
        <v>14</v>
      </c>
      <c r="AD137">
        <f t="shared" si="25"/>
        <v>29475.967079999999</v>
      </c>
      <c r="AE137">
        <f t="shared" si="26"/>
        <v>12723.693079999995</v>
      </c>
    </row>
    <row r="138" spans="1:31" x14ac:dyDescent="0.3">
      <c r="A138" s="36" t="s">
        <v>151</v>
      </c>
      <c r="B138" s="49">
        <v>45640</v>
      </c>
      <c r="C138" s="47" t="str">
        <f t="shared" si="19"/>
        <v>Q4-2024</v>
      </c>
      <c r="D138" s="37">
        <v>45669</v>
      </c>
      <c r="E138" s="16">
        <f t="shared" si="18"/>
        <v>29</v>
      </c>
      <c r="F138" s="38" t="s">
        <v>647</v>
      </c>
      <c r="G138" s="38" t="s">
        <v>659</v>
      </c>
      <c r="H138" s="38" t="s">
        <v>676</v>
      </c>
      <c r="I138" s="38" t="s">
        <v>702</v>
      </c>
      <c r="J138" s="38" t="s">
        <v>708</v>
      </c>
      <c r="K138" s="38" t="s">
        <v>713</v>
      </c>
      <c r="L138" s="38" t="s">
        <v>727</v>
      </c>
      <c r="M138" s="39" t="s">
        <v>870</v>
      </c>
      <c r="N138" s="40">
        <v>1412.15</v>
      </c>
      <c r="O138" s="40">
        <v>1631.04</v>
      </c>
      <c r="P138" s="30" t="str">
        <f t="shared" si="20"/>
        <v>High</v>
      </c>
      <c r="Q138" s="44">
        <v>8.9999999999999993E-3</v>
      </c>
      <c r="R138" s="42" t="str">
        <f t="shared" si="21"/>
        <v>Low</v>
      </c>
      <c r="S138" s="16">
        <v>6</v>
      </c>
      <c r="T138" s="30">
        <v>9698.1638399999993</v>
      </c>
      <c r="U138" s="30">
        <v>8472.9000000000015</v>
      </c>
      <c r="V138" s="30">
        <v>1225.2638399999978</v>
      </c>
      <c r="W138" s="30">
        <v>0.12633977526203535</v>
      </c>
      <c r="X138" t="str">
        <f t="shared" si="22"/>
        <v>Delayed</v>
      </c>
      <c r="Y138" t="str">
        <f t="shared" si="23"/>
        <v>Compliant Discount</v>
      </c>
      <c r="Z138" s="9">
        <f>MIN(Q138,'Scenario Modelling'!$B$2)</f>
        <v>8.9999999999999993E-3</v>
      </c>
      <c r="AA138">
        <f t="shared" si="24"/>
        <v>1616.3606399999999</v>
      </c>
      <c r="AB138">
        <f>N138*(1+'Scenario Modelling'!$B$3)</f>
        <v>1553.3650000000002</v>
      </c>
      <c r="AC138">
        <f>ROUNDUP(S138*(1+'Scenario Modelling'!$B$4),0)</f>
        <v>7</v>
      </c>
      <c r="AD138">
        <f t="shared" si="25"/>
        <v>11314.52448</v>
      </c>
      <c r="AE138">
        <f t="shared" si="26"/>
        <v>440.96947999999747</v>
      </c>
    </row>
    <row r="139" spans="1:31" x14ac:dyDescent="0.3">
      <c r="A139" s="31" t="s">
        <v>152</v>
      </c>
      <c r="B139" s="48">
        <v>45016</v>
      </c>
      <c r="C139" s="47" t="str">
        <f t="shared" si="19"/>
        <v>Q1-2023</v>
      </c>
      <c r="D139" s="32">
        <v>45028</v>
      </c>
      <c r="E139" s="17">
        <f t="shared" si="18"/>
        <v>12</v>
      </c>
      <c r="F139" s="33" t="s">
        <v>646</v>
      </c>
      <c r="G139" s="33" t="s">
        <v>650</v>
      </c>
      <c r="H139" s="33" t="s">
        <v>675</v>
      </c>
      <c r="I139" s="33" t="s">
        <v>705</v>
      </c>
      <c r="J139" s="33" t="s">
        <v>708</v>
      </c>
      <c r="K139" s="33" t="s">
        <v>712</v>
      </c>
      <c r="L139" s="33" t="s">
        <v>730</v>
      </c>
      <c r="M139" s="34" t="s">
        <v>871</v>
      </c>
      <c r="N139" s="35">
        <v>304.22000000000003</v>
      </c>
      <c r="O139" s="35">
        <v>393.31</v>
      </c>
      <c r="P139" s="30" t="str">
        <f t="shared" si="20"/>
        <v>Low</v>
      </c>
      <c r="Q139" s="43">
        <v>0.26500000000000001</v>
      </c>
      <c r="R139" s="42" t="str">
        <f t="shared" si="21"/>
        <v>High</v>
      </c>
      <c r="S139" s="17">
        <v>15</v>
      </c>
      <c r="T139" s="30">
        <v>4336.2427499999994</v>
      </c>
      <c r="U139" s="30">
        <v>4563.3</v>
      </c>
      <c r="V139" s="30">
        <v>-227.05725000000075</v>
      </c>
      <c r="W139" s="30">
        <v>-5.2362670424759034E-2</v>
      </c>
      <c r="X139" t="str">
        <f t="shared" si="22"/>
        <v>Delayed</v>
      </c>
      <c r="Y139" t="str">
        <f t="shared" si="23"/>
        <v>Non-compliant Discount</v>
      </c>
      <c r="Z139" s="9">
        <f>MIN(Q139,'Scenario Modelling'!$B$2)</f>
        <v>0.2</v>
      </c>
      <c r="AA139">
        <f t="shared" si="24"/>
        <v>314.64800000000002</v>
      </c>
      <c r="AB139">
        <f>N139*(1+'Scenario Modelling'!$B$3)</f>
        <v>334.64200000000005</v>
      </c>
      <c r="AC139">
        <f>ROUNDUP(S139*(1+'Scenario Modelling'!$B$4),0)</f>
        <v>16</v>
      </c>
      <c r="AD139">
        <f t="shared" si="25"/>
        <v>5034.3680000000004</v>
      </c>
      <c r="AE139">
        <f t="shared" si="26"/>
        <v>-319.90400000000045</v>
      </c>
    </row>
    <row r="140" spans="1:31" x14ac:dyDescent="0.3">
      <c r="A140" s="36" t="s">
        <v>153</v>
      </c>
      <c r="B140" s="49">
        <v>45616</v>
      </c>
      <c r="C140" s="47" t="str">
        <f t="shared" si="19"/>
        <v>Q4-2024</v>
      </c>
      <c r="D140" s="37">
        <v>45641</v>
      </c>
      <c r="E140" s="16">
        <f t="shared" si="18"/>
        <v>25</v>
      </c>
      <c r="F140" s="38" t="s">
        <v>649</v>
      </c>
      <c r="G140" s="38" t="s">
        <v>657</v>
      </c>
      <c r="H140" s="38" t="s">
        <v>690</v>
      </c>
      <c r="I140" s="38" t="s">
        <v>701</v>
      </c>
      <c r="J140" s="38" t="s">
        <v>708</v>
      </c>
      <c r="K140" s="38" t="s">
        <v>715</v>
      </c>
      <c r="L140" s="38" t="s">
        <v>728</v>
      </c>
      <c r="M140" s="39" t="s">
        <v>872</v>
      </c>
      <c r="N140" s="40">
        <v>1203.58</v>
      </c>
      <c r="O140" s="40">
        <v>1856.16</v>
      </c>
      <c r="P140" s="30" t="str">
        <f t="shared" si="20"/>
        <v>High</v>
      </c>
      <c r="Q140" s="44">
        <v>0.129</v>
      </c>
      <c r="R140" s="42" t="str">
        <f t="shared" si="21"/>
        <v>Medium</v>
      </c>
      <c r="S140" s="16">
        <v>22</v>
      </c>
      <c r="T140" s="30">
        <v>35567.737920000007</v>
      </c>
      <c r="U140" s="30">
        <v>26478.76</v>
      </c>
      <c r="V140" s="30">
        <v>9088.9779200000085</v>
      </c>
      <c r="W140" s="30">
        <v>0.25553994860295032</v>
      </c>
      <c r="X140" t="str">
        <f t="shared" si="22"/>
        <v>Delayed</v>
      </c>
      <c r="Y140" t="str">
        <f t="shared" si="23"/>
        <v>Compliant Discount</v>
      </c>
      <c r="Z140" s="9">
        <f>MIN(Q140,'Scenario Modelling'!$B$2)</f>
        <v>0.129</v>
      </c>
      <c r="AA140">
        <f t="shared" si="24"/>
        <v>1616.7153600000001</v>
      </c>
      <c r="AB140">
        <f>N140*(1+'Scenario Modelling'!$B$3)</f>
        <v>1323.9380000000001</v>
      </c>
      <c r="AC140">
        <f>ROUNDUP(S140*(1+'Scenario Modelling'!$B$4),0)</f>
        <v>24</v>
      </c>
      <c r="AD140">
        <f t="shared" si="25"/>
        <v>38801.168640000004</v>
      </c>
      <c r="AE140">
        <f t="shared" si="26"/>
        <v>7026.6566400000011</v>
      </c>
    </row>
    <row r="141" spans="1:31" x14ac:dyDescent="0.3">
      <c r="A141" s="31" t="s">
        <v>154</v>
      </c>
      <c r="B141" s="48">
        <v>45336</v>
      </c>
      <c r="C141" s="47" t="str">
        <f t="shared" si="19"/>
        <v>Q1-2024</v>
      </c>
      <c r="D141" s="32">
        <v>45336</v>
      </c>
      <c r="E141" s="17">
        <f t="shared" si="18"/>
        <v>0</v>
      </c>
      <c r="F141" s="33" t="s">
        <v>647</v>
      </c>
      <c r="G141" s="33" t="s">
        <v>659</v>
      </c>
      <c r="H141" s="33" t="s">
        <v>699</v>
      </c>
      <c r="I141" s="33" t="s">
        <v>701</v>
      </c>
      <c r="J141" s="33" t="s">
        <v>710</v>
      </c>
      <c r="K141" s="33" t="s">
        <v>716</v>
      </c>
      <c r="L141" s="33" t="s">
        <v>733</v>
      </c>
      <c r="M141" s="34" t="s">
        <v>873</v>
      </c>
      <c r="N141" s="35">
        <v>65.930000000000007</v>
      </c>
      <c r="O141" s="35">
        <v>84.9</v>
      </c>
      <c r="P141" s="30" t="str">
        <f t="shared" si="20"/>
        <v>Low</v>
      </c>
      <c r="Q141" s="43">
        <v>0.25900000000000001</v>
      </c>
      <c r="R141" s="42" t="str">
        <f t="shared" si="21"/>
        <v>High</v>
      </c>
      <c r="S141" s="17">
        <v>23</v>
      </c>
      <c r="T141" s="30">
        <v>1446.9507000000001</v>
      </c>
      <c r="U141" s="30">
        <v>1516.39</v>
      </c>
      <c r="V141" s="30">
        <v>-69.439300000000003</v>
      </c>
      <c r="W141" s="30">
        <v>-4.7990093926489688E-2</v>
      </c>
      <c r="X141" t="str">
        <f t="shared" si="22"/>
        <v>On-time</v>
      </c>
      <c r="Y141" t="str">
        <f t="shared" si="23"/>
        <v>Non-compliant Discount</v>
      </c>
      <c r="Z141" s="9">
        <f>MIN(Q141,'Scenario Modelling'!$B$2)</f>
        <v>0.2</v>
      </c>
      <c r="AA141">
        <f t="shared" si="24"/>
        <v>67.92</v>
      </c>
      <c r="AB141">
        <f>N141*(1+'Scenario Modelling'!$B$3)</f>
        <v>72.52300000000001</v>
      </c>
      <c r="AC141">
        <f>ROUNDUP(S141*(1+'Scenario Modelling'!$B$4),0)</f>
        <v>25</v>
      </c>
      <c r="AD141">
        <f t="shared" si="25"/>
        <v>1698</v>
      </c>
      <c r="AE141">
        <f t="shared" si="26"/>
        <v>-115.07500000000022</v>
      </c>
    </row>
    <row r="142" spans="1:31" x14ac:dyDescent="0.3">
      <c r="A142" s="36" t="s">
        <v>155</v>
      </c>
      <c r="B142" s="49">
        <v>45048</v>
      </c>
      <c r="C142" s="47" t="str">
        <f t="shared" si="19"/>
        <v>Q2-2023</v>
      </c>
      <c r="D142" s="37">
        <v>45064</v>
      </c>
      <c r="E142" s="16">
        <f t="shared" si="18"/>
        <v>16</v>
      </c>
      <c r="F142" s="38" t="s">
        <v>647</v>
      </c>
      <c r="G142" s="38" t="s">
        <v>654</v>
      </c>
      <c r="H142" s="38" t="s">
        <v>680</v>
      </c>
      <c r="I142" s="38" t="s">
        <v>705</v>
      </c>
      <c r="J142" s="38" t="s">
        <v>709</v>
      </c>
      <c r="K142" s="38" t="s">
        <v>723</v>
      </c>
      <c r="L142" s="38" t="s">
        <v>732</v>
      </c>
      <c r="M142" s="39" t="s">
        <v>874</v>
      </c>
      <c r="N142" s="40">
        <v>1463.92</v>
      </c>
      <c r="O142" s="40">
        <v>2252.2399999999998</v>
      </c>
      <c r="P142" s="30" t="str">
        <f t="shared" si="20"/>
        <v>High</v>
      </c>
      <c r="Q142" s="44">
        <v>0.11799999999999999</v>
      </c>
      <c r="R142" s="42" t="str">
        <f t="shared" si="21"/>
        <v>Medium</v>
      </c>
      <c r="S142" s="16">
        <v>44</v>
      </c>
      <c r="T142" s="30">
        <v>87404.929919999995</v>
      </c>
      <c r="U142" s="30">
        <v>64412.480000000003</v>
      </c>
      <c r="V142" s="30">
        <v>22992.449919999992</v>
      </c>
      <c r="W142" s="30">
        <v>0.26305667130040061</v>
      </c>
      <c r="X142" t="str">
        <f t="shared" si="22"/>
        <v>Delayed</v>
      </c>
      <c r="Y142" t="str">
        <f t="shared" si="23"/>
        <v>Compliant Discount</v>
      </c>
      <c r="Z142" s="9">
        <f>MIN(Q142,'Scenario Modelling'!$B$2)</f>
        <v>0.11799999999999999</v>
      </c>
      <c r="AA142">
        <f t="shared" si="24"/>
        <v>1986.4756799999998</v>
      </c>
      <c r="AB142">
        <f>N142*(1+'Scenario Modelling'!$B$3)</f>
        <v>1610.3120000000001</v>
      </c>
      <c r="AC142">
        <f>ROUNDUP(S142*(1+'Scenario Modelling'!$B$4),0)</f>
        <v>47</v>
      </c>
      <c r="AD142">
        <f t="shared" si="25"/>
        <v>93364.35695999999</v>
      </c>
      <c r="AE142">
        <f t="shared" si="26"/>
        <v>17679.692959999986</v>
      </c>
    </row>
    <row r="143" spans="1:31" x14ac:dyDescent="0.3">
      <c r="A143" s="31" t="s">
        <v>156</v>
      </c>
      <c r="B143" s="48">
        <v>45649</v>
      </c>
      <c r="C143" s="47" t="str">
        <f t="shared" si="19"/>
        <v>Q4-2024</v>
      </c>
      <c r="D143" s="32">
        <v>45668</v>
      </c>
      <c r="E143" s="17">
        <f t="shared" si="18"/>
        <v>19</v>
      </c>
      <c r="F143" s="33" t="s">
        <v>649</v>
      </c>
      <c r="G143" s="33" t="s">
        <v>656</v>
      </c>
      <c r="H143" s="33" t="s">
        <v>671</v>
      </c>
      <c r="I143" s="33" t="s">
        <v>702</v>
      </c>
      <c r="J143" s="33" t="s">
        <v>707</v>
      </c>
      <c r="K143" s="33" t="s">
        <v>723</v>
      </c>
      <c r="L143" s="33" t="s">
        <v>730</v>
      </c>
      <c r="M143" s="34" t="s">
        <v>875</v>
      </c>
      <c r="N143" s="35">
        <v>501.81</v>
      </c>
      <c r="O143" s="35">
        <v>921.62</v>
      </c>
      <c r="P143" s="30" t="str">
        <f t="shared" si="20"/>
        <v>Medium</v>
      </c>
      <c r="Q143" s="43">
        <v>0.01</v>
      </c>
      <c r="R143" s="42" t="str">
        <f t="shared" si="21"/>
        <v>Low</v>
      </c>
      <c r="S143" s="17">
        <v>9</v>
      </c>
      <c r="T143" s="30">
        <v>8211.6342000000004</v>
      </c>
      <c r="U143" s="30">
        <v>4516.29</v>
      </c>
      <c r="V143" s="30">
        <v>3695.3442000000005</v>
      </c>
      <c r="W143" s="30">
        <v>0.45001325071202031</v>
      </c>
      <c r="X143" t="str">
        <f t="shared" si="22"/>
        <v>Delayed</v>
      </c>
      <c r="Y143" t="str">
        <f t="shared" si="23"/>
        <v>Compliant Discount</v>
      </c>
      <c r="Z143" s="9">
        <f>MIN(Q143,'Scenario Modelling'!$B$2)</f>
        <v>0.01</v>
      </c>
      <c r="AA143">
        <f t="shared" si="24"/>
        <v>912.40380000000005</v>
      </c>
      <c r="AB143">
        <f>N143*(1+'Scenario Modelling'!$B$3)</f>
        <v>551.9910000000001</v>
      </c>
      <c r="AC143">
        <f>ROUNDUP(S143*(1+'Scenario Modelling'!$B$4),0)</f>
        <v>10</v>
      </c>
      <c r="AD143">
        <f t="shared" si="25"/>
        <v>9124.0380000000005</v>
      </c>
      <c r="AE143">
        <f t="shared" si="26"/>
        <v>3604.1279999999997</v>
      </c>
    </row>
    <row r="144" spans="1:31" x14ac:dyDescent="0.3">
      <c r="A144" s="36" t="s">
        <v>157</v>
      </c>
      <c r="B144" s="49">
        <v>45133</v>
      </c>
      <c r="C144" s="47" t="str">
        <f t="shared" si="19"/>
        <v>Q3-2023</v>
      </c>
      <c r="D144" s="37">
        <v>45163</v>
      </c>
      <c r="E144" s="16">
        <f t="shared" si="18"/>
        <v>30</v>
      </c>
      <c r="F144" s="38" t="s">
        <v>648</v>
      </c>
      <c r="G144" s="38" t="s">
        <v>660</v>
      </c>
      <c r="H144" s="38" t="s">
        <v>700</v>
      </c>
      <c r="I144" s="38" t="s">
        <v>704</v>
      </c>
      <c r="J144" s="38" t="s">
        <v>707</v>
      </c>
      <c r="K144" s="38" t="s">
        <v>724</v>
      </c>
      <c r="L144" s="38" t="s">
        <v>733</v>
      </c>
      <c r="M144" s="39" t="s">
        <v>876</v>
      </c>
      <c r="N144" s="40">
        <v>1261.48</v>
      </c>
      <c r="O144" s="40">
        <v>1643.18</v>
      </c>
      <c r="P144" s="30" t="str">
        <f t="shared" si="20"/>
        <v>High</v>
      </c>
      <c r="Q144" s="44">
        <v>0.151</v>
      </c>
      <c r="R144" s="42" t="str">
        <f t="shared" si="21"/>
        <v>Medium</v>
      </c>
      <c r="S144" s="16">
        <v>23</v>
      </c>
      <c r="T144" s="30">
        <v>32086.37586</v>
      </c>
      <c r="U144" s="30">
        <v>29014.04</v>
      </c>
      <c r="V144" s="30">
        <v>3072.3358599999992</v>
      </c>
      <c r="W144" s="30">
        <v>9.5752037357079045E-2</v>
      </c>
      <c r="X144" t="str">
        <f t="shared" si="22"/>
        <v>Delayed</v>
      </c>
      <c r="Y144" t="str">
        <f t="shared" si="23"/>
        <v>Compliant Discount</v>
      </c>
      <c r="Z144" s="9">
        <f>MIN(Q144,'Scenario Modelling'!$B$2)</f>
        <v>0.151</v>
      </c>
      <c r="AA144">
        <f t="shared" si="24"/>
        <v>1395.0598199999999</v>
      </c>
      <c r="AB144">
        <f>N144*(1+'Scenario Modelling'!$B$3)</f>
        <v>1387.6280000000002</v>
      </c>
      <c r="AC144">
        <f>ROUNDUP(S144*(1+'Scenario Modelling'!$B$4),0)</f>
        <v>25</v>
      </c>
      <c r="AD144">
        <f t="shared" si="25"/>
        <v>34876.495499999997</v>
      </c>
      <c r="AE144">
        <f t="shared" si="26"/>
        <v>185.79549999999472</v>
      </c>
    </row>
    <row r="145" spans="1:31" x14ac:dyDescent="0.3">
      <c r="A145" s="31" t="s">
        <v>158</v>
      </c>
      <c r="B145" s="48">
        <v>45458</v>
      </c>
      <c r="C145" s="47" t="str">
        <f t="shared" si="19"/>
        <v>Q2-2024</v>
      </c>
      <c r="D145" s="32">
        <v>45479</v>
      </c>
      <c r="E145" s="17">
        <f t="shared" si="18"/>
        <v>21</v>
      </c>
      <c r="F145" s="33" t="s">
        <v>648</v>
      </c>
      <c r="G145" s="33" t="s">
        <v>653</v>
      </c>
      <c r="H145" s="33" t="s">
        <v>667</v>
      </c>
      <c r="I145" s="33" t="s">
        <v>706</v>
      </c>
      <c r="J145" s="33" t="s">
        <v>710</v>
      </c>
      <c r="K145" s="33" t="s">
        <v>716</v>
      </c>
      <c r="L145" s="33" t="s">
        <v>728</v>
      </c>
      <c r="M145" s="34" t="s">
        <v>877</v>
      </c>
      <c r="N145" s="35">
        <v>817.23</v>
      </c>
      <c r="O145" s="35">
        <v>1467.17</v>
      </c>
      <c r="P145" s="30" t="str">
        <f t="shared" si="20"/>
        <v>Medium</v>
      </c>
      <c r="Q145" s="43">
        <v>0.245</v>
      </c>
      <c r="R145" s="42" t="str">
        <f t="shared" si="21"/>
        <v>High</v>
      </c>
      <c r="S145" s="17">
        <v>9</v>
      </c>
      <c r="T145" s="30">
        <v>9969.4201499999999</v>
      </c>
      <c r="U145" s="30">
        <v>7355.07</v>
      </c>
      <c r="V145" s="30">
        <v>2614.3501500000002</v>
      </c>
      <c r="W145" s="30">
        <v>0.26223693160328893</v>
      </c>
      <c r="X145" t="str">
        <f t="shared" si="22"/>
        <v>Delayed</v>
      </c>
      <c r="Y145" t="str">
        <f t="shared" si="23"/>
        <v>Non-compliant Discount</v>
      </c>
      <c r="Z145" s="9">
        <f>MIN(Q145,'Scenario Modelling'!$B$2)</f>
        <v>0.2</v>
      </c>
      <c r="AA145">
        <f t="shared" si="24"/>
        <v>1173.7360000000001</v>
      </c>
      <c r="AB145">
        <f>N145*(1+'Scenario Modelling'!$B$3)</f>
        <v>898.95300000000009</v>
      </c>
      <c r="AC145">
        <f>ROUNDUP(S145*(1+'Scenario Modelling'!$B$4),0)</f>
        <v>10</v>
      </c>
      <c r="AD145">
        <f t="shared" si="25"/>
        <v>11737.36</v>
      </c>
      <c r="AE145">
        <f t="shared" si="26"/>
        <v>2747.83</v>
      </c>
    </row>
    <row r="146" spans="1:31" x14ac:dyDescent="0.3">
      <c r="A146" s="36" t="s">
        <v>159</v>
      </c>
      <c r="B146" s="49">
        <v>45112</v>
      </c>
      <c r="C146" s="47" t="str">
        <f t="shared" si="19"/>
        <v>Q3-2023</v>
      </c>
      <c r="D146" s="37">
        <v>45121</v>
      </c>
      <c r="E146" s="16">
        <f t="shared" si="18"/>
        <v>9</v>
      </c>
      <c r="F146" s="38" t="s">
        <v>648</v>
      </c>
      <c r="G146" s="38" t="s">
        <v>655</v>
      </c>
      <c r="H146" s="38" t="s">
        <v>672</v>
      </c>
      <c r="I146" s="38" t="s">
        <v>706</v>
      </c>
      <c r="J146" s="38" t="s">
        <v>711</v>
      </c>
      <c r="K146" s="38" t="s">
        <v>717</v>
      </c>
      <c r="L146" s="38" t="s">
        <v>729</v>
      </c>
      <c r="M146" s="39" t="s">
        <v>878</v>
      </c>
      <c r="N146" s="40">
        <v>578.85</v>
      </c>
      <c r="O146" s="40">
        <v>998.76</v>
      </c>
      <c r="P146" s="30" t="str">
        <f t="shared" si="20"/>
        <v>Medium</v>
      </c>
      <c r="Q146" s="44">
        <v>8.2000000000000003E-2</v>
      </c>
      <c r="R146" s="42" t="str">
        <f t="shared" si="21"/>
        <v>Low</v>
      </c>
      <c r="S146" s="16">
        <v>28</v>
      </c>
      <c r="T146" s="30">
        <v>25672.127039999999</v>
      </c>
      <c r="U146" s="30">
        <v>16207.800000000001</v>
      </c>
      <c r="V146" s="30">
        <v>9464.3270399999983</v>
      </c>
      <c r="W146" s="30">
        <v>0.36866158480960831</v>
      </c>
      <c r="X146" t="str">
        <f t="shared" si="22"/>
        <v>Delayed</v>
      </c>
      <c r="Y146" t="str">
        <f t="shared" si="23"/>
        <v>Compliant Discount</v>
      </c>
      <c r="Z146" s="9">
        <f>MIN(Q146,'Scenario Modelling'!$B$2)</f>
        <v>8.2000000000000003E-2</v>
      </c>
      <c r="AA146">
        <f t="shared" si="24"/>
        <v>916.86167999999998</v>
      </c>
      <c r="AB146">
        <f>N146*(1+'Scenario Modelling'!$B$3)</f>
        <v>636.73500000000013</v>
      </c>
      <c r="AC146">
        <f>ROUNDUP(S146*(1+'Scenario Modelling'!$B$4),0)</f>
        <v>30</v>
      </c>
      <c r="AD146">
        <f t="shared" si="25"/>
        <v>27505.850399999999</v>
      </c>
      <c r="AE146">
        <f t="shared" si="26"/>
        <v>8403.8003999999964</v>
      </c>
    </row>
    <row r="147" spans="1:31" x14ac:dyDescent="0.3">
      <c r="A147" s="31" t="s">
        <v>160</v>
      </c>
      <c r="B147" s="48">
        <v>45260</v>
      </c>
      <c r="C147" s="47" t="str">
        <f t="shared" si="19"/>
        <v>Q4-2023</v>
      </c>
      <c r="D147" s="32">
        <v>45267</v>
      </c>
      <c r="E147" s="17">
        <f t="shared" si="18"/>
        <v>7</v>
      </c>
      <c r="F147" s="33" t="s">
        <v>646</v>
      </c>
      <c r="G147" s="33" t="s">
        <v>661</v>
      </c>
      <c r="H147" s="33" t="s">
        <v>687</v>
      </c>
      <c r="I147" s="33" t="s">
        <v>705</v>
      </c>
      <c r="J147" s="33" t="s">
        <v>709</v>
      </c>
      <c r="K147" s="33" t="s">
        <v>718</v>
      </c>
      <c r="L147" s="33" t="s">
        <v>731</v>
      </c>
      <c r="M147" s="34" t="s">
        <v>879</v>
      </c>
      <c r="N147" s="35">
        <v>275.56</v>
      </c>
      <c r="O147" s="35">
        <v>630.72</v>
      </c>
      <c r="P147" s="30" t="str">
        <f t="shared" si="20"/>
        <v>Low</v>
      </c>
      <c r="Q147" s="43">
        <v>0.107</v>
      </c>
      <c r="R147" s="42" t="str">
        <f t="shared" si="21"/>
        <v>Medium</v>
      </c>
      <c r="S147" s="17">
        <v>23</v>
      </c>
      <c r="T147" s="30">
        <v>12954.358080000002</v>
      </c>
      <c r="U147" s="30">
        <v>6337.88</v>
      </c>
      <c r="V147" s="30">
        <v>6616.4780800000017</v>
      </c>
      <c r="W147" s="30">
        <v>0.5107530638831933</v>
      </c>
      <c r="X147" t="str">
        <f t="shared" si="22"/>
        <v>On-time</v>
      </c>
      <c r="Y147" t="str">
        <f t="shared" si="23"/>
        <v>Compliant Discount</v>
      </c>
      <c r="Z147" s="9">
        <f>MIN(Q147,'Scenario Modelling'!$B$2)</f>
        <v>0.107</v>
      </c>
      <c r="AA147">
        <f t="shared" si="24"/>
        <v>563.23296000000005</v>
      </c>
      <c r="AB147">
        <f>N147*(1+'Scenario Modelling'!$B$3)</f>
        <v>303.11600000000004</v>
      </c>
      <c r="AC147">
        <f>ROUNDUP(S147*(1+'Scenario Modelling'!$B$4),0)</f>
        <v>25</v>
      </c>
      <c r="AD147">
        <f t="shared" si="25"/>
        <v>14080.824000000001</v>
      </c>
      <c r="AE147">
        <f t="shared" si="26"/>
        <v>6502.924</v>
      </c>
    </row>
    <row r="148" spans="1:31" x14ac:dyDescent="0.3">
      <c r="A148" s="36" t="s">
        <v>161</v>
      </c>
      <c r="B148" s="49">
        <v>45911</v>
      </c>
      <c r="C148" s="47" t="str">
        <f t="shared" si="19"/>
        <v>Q3-2025</v>
      </c>
      <c r="D148" s="37">
        <v>45928</v>
      </c>
      <c r="E148" s="16">
        <f t="shared" si="18"/>
        <v>17</v>
      </c>
      <c r="F148" s="38" t="s">
        <v>646</v>
      </c>
      <c r="G148" s="38" t="s">
        <v>650</v>
      </c>
      <c r="H148" s="38" t="s">
        <v>664</v>
      </c>
      <c r="I148" s="38" t="s">
        <v>703</v>
      </c>
      <c r="J148" s="38" t="s">
        <v>710</v>
      </c>
      <c r="K148" s="38" t="s">
        <v>713</v>
      </c>
      <c r="L148" s="38" t="s">
        <v>731</v>
      </c>
      <c r="M148" s="39" t="s">
        <v>880</v>
      </c>
      <c r="N148" s="40">
        <v>891.46</v>
      </c>
      <c r="O148" s="40">
        <v>728.61</v>
      </c>
      <c r="P148" s="30" t="str">
        <f t="shared" si="20"/>
        <v>Low</v>
      </c>
      <c r="Q148" s="44">
        <v>0.185</v>
      </c>
      <c r="R148" s="42" t="str">
        <f t="shared" si="21"/>
        <v>Medium</v>
      </c>
      <c r="S148" s="16">
        <v>6</v>
      </c>
      <c r="T148" s="30">
        <v>3562.9028999999996</v>
      </c>
      <c r="U148" s="30">
        <v>5348.76</v>
      </c>
      <c r="V148" s="30">
        <v>-1785.8571000000006</v>
      </c>
      <c r="W148" s="30">
        <v>-0.50123653383874167</v>
      </c>
      <c r="X148" t="str">
        <f t="shared" si="22"/>
        <v>Delayed</v>
      </c>
      <c r="Y148" t="str">
        <f t="shared" si="23"/>
        <v>Compliant Discount</v>
      </c>
      <c r="Z148" s="9">
        <f>MIN(Q148,'Scenario Modelling'!$B$2)</f>
        <v>0.185</v>
      </c>
      <c r="AA148">
        <f t="shared" si="24"/>
        <v>593.81714999999997</v>
      </c>
      <c r="AB148">
        <f>N148*(1+'Scenario Modelling'!$B$3)</f>
        <v>980.60600000000011</v>
      </c>
      <c r="AC148">
        <f>ROUNDUP(S148*(1+'Scenario Modelling'!$B$4),0)</f>
        <v>7</v>
      </c>
      <c r="AD148">
        <f t="shared" si="25"/>
        <v>4156.7200499999999</v>
      </c>
      <c r="AE148">
        <f t="shared" si="26"/>
        <v>-2707.5219500000012</v>
      </c>
    </row>
    <row r="149" spans="1:31" x14ac:dyDescent="0.3">
      <c r="A149" s="31" t="s">
        <v>162</v>
      </c>
      <c r="B149" s="48">
        <v>45386</v>
      </c>
      <c r="C149" s="47" t="str">
        <f t="shared" si="19"/>
        <v>Q2-2024</v>
      </c>
      <c r="D149" s="32">
        <v>45406</v>
      </c>
      <c r="E149" s="17">
        <f t="shared" si="18"/>
        <v>20</v>
      </c>
      <c r="F149" s="33" t="s">
        <v>649</v>
      </c>
      <c r="G149" s="33" t="s">
        <v>656</v>
      </c>
      <c r="H149" s="33" t="s">
        <v>698</v>
      </c>
      <c r="I149" s="33" t="s">
        <v>703</v>
      </c>
      <c r="J149" s="33" t="s">
        <v>711</v>
      </c>
      <c r="K149" s="33" t="s">
        <v>719</v>
      </c>
      <c r="L149" s="33" t="s">
        <v>733</v>
      </c>
      <c r="M149" s="34" t="s">
        <v>881</v>
      </c>
      <c r="N149" s="35">
        <v>683.42</v>
      </c>
      <c r="O149" s="35">
        <v>951.51</v>
      </c>
      <c r="P149" s="30" t="str">
        <f t="shared" si="20"/>
        <v>Medium</v>
      </c>
      <c r="Q149" s="43">
        <v>0</v>
      </c>
      <c r="R149" s="42" t="str">
        <f t="shared" si="21"/>
        <v>Low</v>
      </c>
      <c r="S149" s="17">
        <v>14</v>
      </c>
      <c r="T149" s="30">
        <v>13321.14</v>
      </c>
      <c r="U149" s="30">
        <v>9567.8799999999992</v>
      </c>
      <c r="V149" s="30">
        <v>3753.26</v>
      </c>
      <c r="W149" s="30">
        <v>0.28175216235247136</v>
      </c>
      <c r="X149" t="str">
        <f t="shared" si="22"/>
        <v>Delayed</v>
      </c>
      <c r="Y149" t="str">
        <f t="shared" si="23"/>
        <v>Compliant Discount</v>
      </c>
      <c r="Z149" s="9">
        <f>MIN(Q149,'Scenario Modelling'!$B$2)</f>
        <v>0</v>
      </c>
      <c r="AA149">
        <f t="shared" si="24"/>
        <v>951.51</v>
      </c>
      <c r="AB149">
        <f>N149*(1+'Scenario Modelling'!$B$3)</f>
        <v>751.76200000000006</v>
      </c>
      <c r="AC149">
        <f>ROUNDUP(S149*(1+'Scenario Modelling'!$B$4),0)</f>
        <v>15</v>
      </c>
      <c r="AD149">
        <f t="shared" si="25"/>
        <v>14272.65</v>
      </c>
      <c r="AE149">
        <f t="shared" si="26"/>
        <v>2996.2199999999989</v>
      </c>
    </row>
    <row r="150" spans="1:31" x14ac:dyDescent="0.3">
      <c r="A150" s="36" t="s">
        <v>163</v>
      </c>
      <c r="B150" s="49">
        <v>45183</v>
      </c>
      <c r="C150" s="47" t="str">
        <f t="shared" si="19"/>
        <v>Q3-2023</v>
      </c>
      <c r="D150" s="37">
        <v>45185</v>
      </c>
      <c r="E150" s="16">
        <f t="shared" si="18"/>
        <v>2</v>
      </c>
      <c r="F150" s="38" t="s">
        <v>649</v>
      </c>
      <c r="G150" s="38" t="s">
        <v>657</v>
      </c>
      <c r="H150" s="38" t="s">
        <v>679</v>
      </c>
      <c r="I150" s="38" t="s">
        <v>703</v>
      </c>
      <c r="J150" s="38" t="s">
        <v>711</v>
      </c>
      <c r="K150" s="38" t="s">
        <v>717</v>
      </c>
      <c r="L150" s="38" t="s">
        <v>728</v>
      </c>
      <c r="M150" s="39" t="s">
        <v>882</v>
      </c>
      <c r="N150" s="40">
        <v>376.83</v>
      </c>
      <c r="O150" s="40">
        <v>732.88</v>
      </c>
      <c r="P150" s="30" t="str">
        <f t="shared" si="20"/>
        <v>Low</v>
      </c>
      <c r="Q150" s="44">
        <v>0.188</v>
      </c>
      <c r="R150" s="42" t="str">
        <f t="shared" si="21"/>
        <v>Medium</v>
      </c>
      <c r="S150" s="16">
        <v>25</v>
      </c>
      <c r="T150" s="30">
        <v>14877.464000000002</v>
      </c>
      <c r="U150" s="30">
        <v>9420.75</v>
      </c>
      <c r="V150" s="30">
        <v>5456.7140000000018</v>
      </c>
      <c r="W150" s="30">
        <v>0.36677716040852132</v>
      </c>
      <c r="X150" t="str">
        <f t="shared" si="22"/>
        <v>On-time</v>
      </c>
      <c r="Y150" t="str">
        <f t="shared" si="23"/>
        <v>Compliant Discount</v>
      </c>
      <c r="Z150" s="9">
        <f>MIN(Q150,'Scenario Modelling'!$B$2)</f>
        <v>0.188</v>
      </c>
      <c r="AA150">
        <f t="shared" si="24"/>
        <v>595.09856000000002</v>
      </c>
      <c r="AB150">
        <f>N150*(1+'Scenario Modelling'!$B$3)</f>
        <v>414.51300000000003</v>
      </c>
      <c r="AC150">
        <f>ROUNDUP(S150*(1+'Scenario Modelling'!$B$4),0)</f>
        <v>27</v>
      </c>
      <c r="AD150">
        <f t="shared" si="25"/>
        <v>16067.661120000001</v>
      </c>
      <c r="AE150">
        <f t="shared" si="26"/>
        <v>4875.8101200000001</v>
      </c>
    </row>
    <row r="151" spans="1:31" x14ac:dyDescent="0.3">
      <c r="A151" s="31" t="s">
        <v>164</v>
      </c>
      <c r="B151" s="48">
        <v>45558</v>
      </c>
      <c r="C151" s="47" t="str">
        <f t="shared" si="19"/>
        <v>Q3-2024</v>
      </c>
      <c r="D151" s="32">
        <v>45583</v>
      </c>
      <c r="E151" s="17">
        <f t="shared" si="18"/>
        <v>25</v>
      </c>
      <c r="F151" s="33" t="s">
        <v>648</v>
      </c>
      <c r="G151" s="33" t="s">
        <v>653</v>
      </c>
      <c r="H151" s="33" t="s">
        <v>688</v>
      </c>
      <c r="I151" s="33" t="s">
        <v>705</v>
      </c>
      <c r="J151" s="33" t="s">
        <v>708</v>
      </c>
      <c r="K151" s="33" t="s">
        <v>725</v>
      </c>
      <c r="L151" s="33" t="s">
        <v>730</v>
      </c>
      <c r="M151" s="34" t="s">
        <v>883</v>
      </c>
      <c r="N151" s="35">
        <v>1297</v>
      </c>
      <c r="O151" s="35">
        <v>2411.52</v>
      </c>
      <c r="P151" s="30" t="str">
        <f t="shared" si="20"/>
        <v>High</v>
      </c>
      <c r="Q151" s="43">
        <v>2.1000000000000001E-2</v>
      </c>
      <c r="R151" s="42" t="str">
        <f t="shared" si="21"/>
        <v>Low</v>
      </c>
      <c r="S151" s="17">
        <v>18</v>
      </c>
      <c r="T151" s="30">
        <v>42495.805439999996</v>
      </c>
      <c r="U151" s="30">
        <v>23346</v>
      </c>
      <c r="V151" s="30">
        <v>19149.805439999996</v>
      </c>
      <c r="W151" s="30">
        <v>0.45062813239385913</v>
      </c>
      <c r="X151" t="str">
        <f t="shared" si="22"/>
        <v>Delayed</v>
      </c>
      <c r="Y151" t="str">
        <f t="shared" si="23"/>
        <v>Compliant Discount</v>
      </c>
      <c r="Z151" s="9">
        <f>MIN(Q151,'Scenario Modelling'!$B$2)</f>
        <v>2.1000000000000001E-2</v>
      </c>
      <c r="AA151">
        <f t="shared" si="24"/>
        <v>2360.87808</v>
      </c>
      <c r="AB151">
        <f>N151*(1+'Scenario Modelling'!$B$3)</f>
        <v>1426.7</v>
      </c>
      <c r="AC151">
        <f>ROUNDUP(S151*(1+'Scenario Modelling'!$B$4),0)</f>
        <v>19</v>
      </c>
      <c r="AD151">
        <f t="shared" si="25"/>
        <v>44856.683519999999</v>
      </c>
      <c r="AE151">
        <f t="shared" si="26"/>
        <v>17749.383519999999</v>
      </c>
    </row>
    <row r="152" spans="1:31" x14ac:dyDescent="0.3">
      <c r="A152" s="36" t="s">
        <v>165</v>
      </c>
      <c r="B152" s="49">
        <v>45763</v>
      </c>
      <c r="C152" s="47" t="str">
        <f t="shared" si="19"/>
        <v>Q2-2025</v>
      </c>
      <c r="D152" s="37">
        <v>45793</v>
      </c>
      <c r="E152" s="16">
        <f t="shared" si="18"/>
        <v>30</v>
      </c>
      <c r="F152" s="38" t="s">
        <v>648</v>
      </c>
      <c r="G152" s="38" t="s">
        <v>653</v>
      </c>
      <c r="H152" s="38" t="s">
        <v>681</v>
      </c>
      <c r="I152" s="38" t="s">
        <v>706</v>
      </c>
      <c r="J152" s="38" t="s">
        <v>710</v>
      </c>
      <c r="K152" s="38" t="s">
        <v>723</v>
      </c>
      <c r="L152" s="38" t="s">
        <v>728</v>
      </c>
      <c r="M152" s="39" t="s">
        <v>884</v>
      </c>
      <c r="N152" s="40">
        <v>763.32</v>
      </c>
      <c r="O152" s="40">
        <v>568.29</v>
      </c>
      <c r="P152" s="30" t="str">
        <f t="shared" si="20"/>
        <v>Low</v>
      </c>
      <c r="Q152" s="44">
        <v>0.13100000000000001</v>
      </c>
      <c r="R152" s="42" t="str">
        <f t="shared" si="21"/>
        <v>Medium</v>
      </c>
      <c r="S152" s="16">
        <v>16</v>
      </c>
      <c r="T152" s="30">
        <v>7901.5041599999995</v>
      </c>
      <c r="U152" s="30">
        <v>12213.12</v>
      </c>
      <c r="V152" s="30">
        <v>-4311.6158400000013</v>
      </c>
      <c r="W152" s="30">
        <v>-0.54567026134426555</v>
      </c>
      <c r="X152" t="str">
        <f t="shared" si="22"/>
        <v>Delayed</v>
      </c>
      <c r="Y152" t="str">
        <f t="shared" si="23"/>
        <v>Compliant Discount</v>
      </c>
      <c r="Z152" s="9">
        <f>MIN(Q152,'Scenario Modelling'!$B$2)</f>
        <v>0.13100000000000001</v>
      </c>
      <c r="AA152">
        <f t="shared" si="24"/>
        <v>493.84400999999997</v>
      </c>
      <c r="AB152">
        <f>N152*(1+'Scenario Modelling'!$B$3)</f>
        <v>839.65200000000016</v>
      </c>
      <c r="AC152">
        <f>ROUNDUP(S152*(1+'Scenario Modelling'!$B$4),0)</f>
        <v>17</v>
      </c>
      <c r="AD152">
        <f t="shared" si="25"/>
        <v>8395.3481699999993</v>
      </c>
      <c r="AE152">
        <f t="shared" si="26"/>
        <v>-5878.7358300000033</v>
      </c>
    </row>
    <row r="153" spans="1:31" x14ac:dyDescent="0.3">
      <c r="A153" s="31" t="s">
        <v>166</v>
      </c>
      <c r="B153" s="48">
        <v>45110</v>
      </c>
      <c r="C153" s="47" t="str">
        <f t="shared" si="19"/>
        <v>Q3-2023</v>
      </c>
      <c r="D153" s="32">
        <v>45130</v>
      </c>
      <c r="E153" s="17">
        <f t="shared" si="18"/>
        <v>20</v>
      </c>
      <c r="F153" s="33" t="s">
        <v>646</v>
      </c>
      <c r="G153" s="33" t="s">
        <v>661</v>
      </c>
      <c r="H153" s="33" t="s">
        <v>682</v>
      </c>
      <c r="I153" s="33" t="s">
        <v>705</v>
      </c>
      <c r="J153" s="33" t="s">
        <v>710</v>
      </c>
      <c r="K153" s="33" t="s">
        <v>721</v>
      </c>
      <c r="L153" s="33" t="s">
        <v>731</v>
      </c>
      <c r="M153" s="34" t="s">
        <v>885</v>
      </c>
      <c r="N153" s="35">
        <v>1001.96</v>
      </c>
      <c r="O153" s="35">
        <v>1254.95</v>
      </c>
      <c r="P153" s="30" t="str">
        <f t="shared" si="20"/>
        <v>Medium</v>
      </c>
      <c r="Q153" s="43">
        <v>4.4999999999999998E-2</v>
      </c>
      <c r="R153" s="42" t="str">
        <f t="shared" si="21"/>
        <v>Low</v>
      </c>
      <c r="S153" s="17">
        <v>18</v>
      </c>
      <c r="T153" s="30">
        <v>21572.590500000002</v>
      </c>
      <c r="U153" s="30">
        <v>18035.28</v>
      </c>
      <c r="V153" s="30">
        <v>3537.3105000000032</v>
      </c>
      <c r="W153" s="30">
        <v>0.16397244920585699</v>
      </c>
      <c r="X153" t="str">
        <f t="shared" si="22"/>
        <v>Delayed</v>
      </c>
      <c r="Y153" t="str">
        <f t="shared" si="23"/>
        <v>Compliant Discount</v>
      </c>
      <c r="Z153" s="9">
        <f>MIN(Q153,'Scenario Modelling'!$B$2)</f>
        <v>4.4999999999999998E-2</v>
      </c>
      <c r="AA153">
        <f t="shared" si="24"/>
        <v>1198.4772499999999</v>
      </c>
      <c r="AB153">
        <f>N153*(1+'Scenario Modelling'!$B$3)</f>
        <v>1102.1560000000002</v>
      </c>
      <c r="AC153">
        <f>ROUNDUP(S153*(1+'Scenario Modelling'!$B$4),0)</f>
        <v>19</v>
      </c>
      <c r="AD153">
        <f t="shared" si="25"/>
        <v>22771.067749999998</v>
      </c>
      <c r="AE153">
        <f t="shared" si="26"/>
        <v>1830.103749999995</v>
      </c>
    </row>
    <row r="154" spans="1:31" x14ac:dyDescent="0.3">
      <c r="A154" s="36" t="s">
        <v>167</v>
      </c>
      <c r="B154" s="49">
        <v>45267</v>
      </c>
      <c r="C154" s="47" t="str">
        <f t="shared" si="19"/>
        <v>Q4-2023</v>
      </c>
      <c r="D154" s="37">
        <v>45274</v>
      </c>
      <c r="E154" s="16">
        <f t="shared" si="18"/>
        <v>7</v>
      </c>
      <c r="F154" s="38" t="s">
        <v>647</v>
      </c>
      <c r="G154" s="38" t="s">
        <v>652</v>
      </c>
      <c r="H154" s="38" t="s">
        <v>689</v>
      </c>
      <c r="I154" s="38" t="s">
        <v>703</v>
      </c>
      <c r="J154" s="38" t="s">
        <v>709</v>
      </c>
      <c r="K154" s="38" t="s">
        <v>722</v>
      </c>
      <c r="L154" s="38" t="s">
        <v>728</v>
      </c>
      <c r="M154" s="39" t="s">
        <v>886</v>
      </c>
      <c r="N154" s="40">
        <v>1097.5899999999999</v>
      </c>
      <c r="O154" s="40">
        <v>845.55</v>
      </c>
      <c r="P154" s="30" t="str">
        <f t="shared" si="20"/>
        <v>Low</v>
      </c>
      <c r="Q154" s="44">
        <v>0.184</v>
      </c>
      <c r="R154" s="42" t="str">
        <f t="shared" si="21"/>
        <v>Medium</v>
      </c>
      <c r="S154" s="16">
        <v>6</v>
      </c>
      <c r="T154" s="30">
        <v>4139.8127999999997</v>
      </c>
      <c r="U154" s="30">
        <v>6585.5399999999991</v>
      </c>
      <c r="V154" s="30">
        <v>-2445.7271999999994</v>
      </c>
      <c r="W154" s="30">
        <v>-0.59078207594314402</v>
      </c>
      <c r="X154" t="str">
        <f t="shared" si="22"/>
        <v>On-time</v>
      </c>
      <c r="Y154" t="str">
        <f t="shared" si="23"/>
        <v>Compliant Discount</v>
      </c>
      <c r="Z154" s="9">
        <f>MIN(Q154,'Scenario Modelling'!$B$2)</f>
        <v>0.184</v>
      </c>
      <c r="AA154">
        <f t="shared" si="24"/>
        <v>689.96879999999999</v>
      </c>
      <c r="AB154">
        <f>N154*(1+'Scenario Modelling'!$B$3)</f>
        <v>1207.3489999999999</v>
      </c>
      <c r="AC154">
        <f>ROUNDUP(S154*(1+'Scenario Modelling'!$B$4),0)</f>
        <v>7</v>
      </c>
      <c r="AD154">
        <f t="shared" si="25"/>
        <v>4829.7816000000003</v>
      </c>
      <c r="AE154">
        <f t="shared" si="26"/>
        <v>-3621.6613999999995</v>
      </c>
    </row>
    <row r="155" spans="1:31" x14ac:dyDescent="0.3">
      <c r="A155" s="31" t="s">
        <v>168</v>
      </c>
      <c r="B155" s="48">
        <v>45340</v>
      </c>
      <c r="C155" s="47" t="str">
        <f t="shared" si="19"/>
        <v>Q1-2024</v>
      </c>
      <c r="D155" s="32">
        <v>45355</v>
      </c>
      <c r="E155" s="17">
        <f t="shared" si="18"/>
        <v>15</v>
      </c>
      <c r="F155" s="33" t="s">
        <v>646</v>
      </c>
      <c r="G155" s="33" t="s">
        <v>650</v>
      </c>
      <c r="H155" s="33" t="s">
        <v>662</v>
      </c>
      <c r="I155" s="33" t="s">
        <v>702</v>
      </c>
      <c r="J155" s="33" t="s">
        <v>711</v>
      </c>
      <c r="K155" s="33" t="s">
        <v>723</v>
      </c>
      <c r="L155" s="33" t="s">
        <v>728</v>
      </c>
      <c r="M155" s="34" t="s">
        <v>887</v>
      </c>
      <c r="N155" s="35">
        <v>928.68</v>
      </c>
      <c r="O155" s="35">
        <v>2145.17</v>
      </c>
      <c r="P155" s="30" t="str">
        <f t="shared" si="20"/>
        <v>High</v>
      </c>
      <c r="Q155" s="43">
        <v>0.13600000000000001</v>
      </c>
      <c r="R155" s="42" t="str">
        <f t="shared" si="21"/>
        <v>Medium</v>
      </c>
      <c r="S155" s="17">
        <v>16</v>
      </c>
      <c r="T155" s="30">
        <v>29654.83008</v>
      </c>
      <c r="U155" s="30">
        <v>14858.88</v>
      </c>
      <c r="V155" s="30">
        <v>14795.950080000001</v>
      </c>
      <c r="W155" s="30">
        <v>0.49893896003062177</v>
      </c>
      <c r="X155" t="str">
        <f t="shared" si="22"/>
        <v>Delayed</v>
      </c>
      <c r="Y155" t="str">
        <f t="shared" si="23"/>
        <v>Compliant Discount</v>
      </c>
      <c r="Z155" s="9">
        <f>MIN(Q155,'Scenario Modelling'!$B$2)</f>
        <v>0.13600000000000001</v>
      </c>
      <c r="AA155">
        <f t="shared" si="24"/>
        <v>1853.42688</v>
      </c>
      <c r="AB155">
        <f>N155*(1+'Scenario Modelling'!$B$3)</f>
        <v>1021.548</v>
      </c>
      <c r="AC155">
        <f>ROUNDUP(S155*(1+'Scenario Modelling'!$B$4),0)</f>
        <v>17</v>
      </c>
      <c r="AD155">
        <f t="shared" si="25"/>
        <v>31508.256959999999</v>
      </c>
      <c r="AE155">
        <f t="shared" si="26"/>
        <v>14141.94096</v>
      </c>
    </row>
    <row r="156" spans="1:31" x14ac:dyDescent="0.3">
      <c r="A156" s="36" t="s">
        <v>169</v>
      </c>
      <c r="B156" s="49">
        <v>45230</v>
      </c>
      <c r="C156" s="47" t="str">
        <f t="shared" si="19"/>
        <v>Q4-2023</v>
      </c>
      <c r="D156" s="37">
        <v>45232</v>
      </c>
      <c r="E156" s="16">
        <f t="shared" si="18"/>
        <v>2</v>
      </c>
      <c r="F156" s="38" t="s">
        <v>646</v>
      </c>
      <c r="G156" s="38" t="s">
        <v>650</v>
      </c>
      <c r="H156" s="38" t="s">
        <v>662</v>
      </c>
      <c r="I156" s="38" t="s">
        <v>702</v>
      </c>
      <c r="J156" s="38" t="s">
        <v>707</v>
      </c>
      <c r="K156" s="38" t="s">
        <v>719</v>
      </c>
      <c r="L156" s="38" t="s">
        <v>733</v>
      </c>
      <c r="M156" s="39" t="s">
        <v>888</v>
      </c>
      <c r="N156" s="40">
        <v>867.89</v>
      </c>
      <c r="O156" s="40">
        <v>1349.94</v>
      </c>
      <c r="P156" s="30" t="str">
        <f t="shared" si="20"/>
        <v>Medium</v>
      </c>
      <c r="Q156" s="44">
        <v>0.184</v>
      </c>
      <c r="R156" s="42" t="str">
        <f t="shared" si="21"/>
        <v>Medium</v>
      </c>
      <c r="S156" s="16">
        <v>10</v>
      </c>
      <c r="T156" s="30">
        <v>11015.510400000003</v>
      </c>
      <c r="U156" s="30">
        <v>8678.9</v>
      </c>
      <c r="V156" s="30">
        <v>2336.6104000000032</v>
      </c>
      <c r="W156" s="30">
        <v>0.21212003031652557</v>
      </c>
      <c r="X156" t="str">
        <f t="shared" si="22"/>
        <v>On-time</v>
      </c>
      <c r="Y156" t="str">
        <f t="shared" si="23"/>
        <v>Compliant Discount</v>
      </c>
      <c r="Z156" s="9">
        <f>MIN(Q156,'Scenario Modelling'!$B$2)</f>
        <v>0.184</v>
      </c>
      <c r="AA156">
        <f t="shared" si="24"/>
        <v>1101.5510400000001</v>
      </c>
      <c r="AB156">
        <f>N156*(1+'Scenario Modelling'!$B$3)</f>
        <v>954.67900000000009</v>
      </c>
      <c r="AC156">
        <f>ROUNDUP(S156*(1+'Scenario Modelling'!$B$4),0)</f>
        <v>11</v>
      </c>
      <c r="AD156">
        <f t="shared" si="25"/>
        <v>12117.061440000001</v>
      </c>
      <c r="AE156">
        <f t="shared" si="26"/>
        <v>1615.5924399999997</v>
      </c>
    </row>
    <row r="157" spans="1:31" x14ac:dyDescent="0.3">
      <c r="A157" s="31" t="s">
        <v>170</v>
      </c>
      <c r="B157" s="48">
        <v>45511</v>
      </c>
      <c r="C157" s="47" t="str">
        <f t="shared" si="19"/>
        <v>Q3-2024</v>
      </c>
      <c r="D157" s="32">
        <v>45521</v>
      </c>
      <c r="E157" s="17">
        <f t="shared" si="18"/>
        <v>10</v>
      </c>
      <c r="F157" s="33" t="s">
        <v>647</v>
      </c>
      <c r="G157" s="33" t="s">
        <v>652</v>
      </c>
      <c r="H157" s="33" t="s">
        <v>666</v>
      </c>
      <c r="I157" s="33" t="s">
        <v>704</v>
      </c>
      <c r="J157" s="33" t="s">
        <v>708</v>
      </c>
      <c r="K157" s="33" t="s">
        <v>723</v>
      </c>
      <c r="L157" s="33" t="s">
        <v>729</v>
      </c>
      <c r="M157" s="34" t="s">
        <v>889</v>
      </c>
      <c r="N157" s="35">
        <v>436.58</v>
      </c>
      <c r="O157" s="35">
        <v>527.48</v>
      </c>
      <c r="P157" s="30" t="str">
        <f t="shared" si="20"/>
        <v>Low</v>
      </c>
      <c r="Q157" s="43">
        <v>0.111</v>
      </c>
      <c r="R157" s="42" t="str">
        <f t="shared" si="21"/>
        <v>Medium</v>
      </c>
      <c r="S157" s="17">
        <v>19</v>
      </c>
      <c r="T157" s="30">
        <v>8909.6646800000017</v>
      </c>
      <c r="U157" s="30">
        <v>8295.02</v>
      </c>
      <c r="V157" s="30">
        <v>614.64468000000124</v>
      </c>
      <c r="W157" s="30">
        <v>6.8986286473802644E-2</v>
      </c>
      <c r="X157" t="str">
        <f t="shared" si="22"/>
        <v>Delayed</v>
      </c>
      <c r="Y157" t="str">
        <f t="shared" si="23"/>
        <v>Compliant Discount</v>
      </c>
      <c r="Z157" s="9">
        <f>MIN(Q157,'Scenario Modelling'!$B$2)</f>
        <v>0.111</v>
      </c>
      <c r="AA157">
        <f t="shared" si="24"/>
        <v>468.92972000000003</v>
      </c>
      <c r="AB157">
        <f>N157*(1+'Scenario Modelling'!$B$3)</f>
        <v>480.238</v>
      </c>
      <c r="AC157">
        <f>ROUNDUP(S157*(1+'Scenario Modelling'!$B$4),0)</f>
        <v>20</v>
      </c>
      <c r="AD157">
        <f t="shared" si="25"/>
        <v>9378.5944</v>
      </c>
      <c r="AE157">
        <f t="shared" si="26"/>
        <v>-226.16559999999936</v>
      </c>
    </row>
    <row r="158" spans="1:31" x14ac:dyDescent="0.3">
      <c r="A158" s="36" t="s">
        <v>171</v>
      </c>
      <c r="B158" s="49">
        <v>45323</v>
      </c>
      <c r="C158" s="47" t="str">
        <f t="shared" si="19"/>
        <v>Q1-2024</v>
      </c>
      <c r="D158" s="37">
        <v>45343</v>
      </c>
      <c r="E158" s="16">
        <f t="shared" si="18"/>
        <v>20</v>
      </c>
      <c r="F158" s="38" t="s">
        <v>649</v>
      </c>
      <c r="G158" s="38" t="s">
        <v>657</v>
      </c>
      <c r="H158" s="38" t="s">
        <v>690</v>
      </c>
      <c r="I158" s="38" t="s">
        <v>705</v>
      </c>
      <c r="J158" s="38" t="s">
        <v>709</v>
      </c>
      <c r="K158" s="38" t="s">
        <v>720</v>
      </c>
      <c r="L158" s="38" t="s">
        <v>729</v>
      </c>
      <c r="M158" s="39" t="s">
        <v>890</v>
      </c>
      <c r="N158" s="40">
        <v>656.2</v>
      </c>
      <c r="O158" s="40">
        <v>1467.17</v>
      </c>
      <c r="P158" s="30" t="str">
        <f t="shared" si="20"/>
        <v>Medium</v>
      </c>
      <c r="Q158" s="44">
        <v>1.7999999999999999E-2</v>
      </c>
      <c r="R158" s="42" t="str">
        <f t="shared" si="21"/>
        <v>Low</v>
      </c>
      <c r="S158" s="16">
        <v>5</v>
      </c>
      <c r="T158" s="30">
        <v>7203.8047000000006</v>
      </c>
      <c r="U158" s="30">
        <v>3281</v>
      </c>
      <c r="V158" s="30">
        <v>3922.8047000000006</v>
      </c>
      <c r="W158" s="30">
        <v>0.54454623124360946</v>
      </c>
      <c r="X158" t="str">
        <f t="shared" si="22"/>
        <v>Delayed</v>
      </c>
      <c r="Y158" t="str">
        <f t="shared" si="23"/>
        <v>Compliant Discount</v>
      </c>
      <c r="Z158" s="9">
        <f>MIN(Q158,'Scenario Modelling'!$B$2)</f>
        <v>1.7999999999999999E-2</v>
      </c>
      <c r="AA158">
        <f t="shared" si="24"/>
        <v>1440.7609400000001</v>
      </c>
      <c r="AB158">
        <f>N158*(1+'Scenario Modelling'!$B$3)</f>
        <v>721.82000000000016</v>
      </c>
      <c r="AC158">
        <f>ROUNDUP(S158*(1+'Scenario Modelling'!$B$4),0)</f>
        <v>6</v>
      </c>
      <c r="AD158">
        <f t="shared" si="25"/>
        <v>8644.5656400000007</v>
      </c>
      <c r="AE158">
        <f t="shared" si="26"/>
        <v>4313.6456399999997</v>
      </c>
    </row>
    <row r="159" spans="1:31" x14ac:dyDescent="0.3">
      <c r="A159" s="31" t="s">
        <v>172</v>
      </c>
      <c r="B159" s="48">
        <v>45531</v>
      </c>
      <c r="C159" s="47" t="str">
        <f t="shared" si="19"/>
        <v>Q3-2024</v>
      </c>
      <c r="D159" s="32">
        <v>45553</v>
      </c>
      <c r="E159" s="17">
        <f t="shared" si="18"/>
        <v>22</v>
      </c>
      <c r="F159" s="33" t="s">
        <v>647</v>
      </c>
      <c r="G159" s="33" t="s">
        <v>654</v>
      </c>
      <c r="H159" s="33" t="s">
        <v>680</v>
      </c>
      <c r="I159" s="33" t="s">
        <v>704</v>
      </c>
      <c r="J159" s="33" t="s">
        <v>711</v>
      </c>
      <c r="K159" s="33" t="s">
        <v>717</v>
      </c>
      <c r="L159" s="33" t="s">
        <v>727</v>
      </c>
      <c r="M159" s="34" t="s">
        <v>891</v>
      </c>
      <c r="N159" s="35">
        <v>896.75</v>
      </c>
      <c r="O159" s="35">
        <v>1651.14</v>
      </c>
      <c r="P159" s="30" t="str">
        <f t="shared" si="20"/>
        <v>High</v>
      </c>
      <c r="Q159" s="43">
        <v>2.5000000000000001E-2</v>
      </c>
      <c r="R159" s="42" t="str">
        <f t="shared" si="21"/>
        <v>Low</v>
      </c>
      <c r="S159" s="17">
        <v>15</v>
      </c>
      <c r="T159" s="30">
        <v>24147.922500000001</v>
      </c>
      <c r="U159" s="30">
        <v>13451.25</v>
      </c>
      <c r="V159" s="30">
        <v>10696.672500000001</v>
      </c>
      <c r="W159" s="30">
        <v>0.44296450346815552</v>
      </c>
      <c r="X159" t="str">
        <f t="shared" si="22"/>
        <v>Delayed</v>
      </c>
      <c r="Y159" t="str">
        <f t="shared" si="23"/>
        <v>Compliant Discount</v>
      </c>
      <c r="Z159" s="9">
        <f>MIN(Q159,'Scenario Modelling'!$B$2)</f>
        <v>2.5000000000000001E-2</v>
      </c>
      <c r="AA159">
        <f t="shared" si="24"/>
        <v>1609.8615</v>
      </c>
      <c r="AB159">
        <f>N159*(1+'Scenario Modelling'!$B$3)</f>
        <v>986.42500000000007</v>
      </c>
      <c r="AC159">
        <f>ROUNDUP(S159*(1+'Scenario Modelling'!$B$4),0)</f>
        <v>16</v>
      </c>
      <c r="AD159">
        <f t="shared" si="25"/>
        <v>25757.784</v>
      </c>
      <c r="AE159">
        <f t="shared" si="26"/>
        <v>9974.9839999999986</v>
      </c>
    </row>
    <row r="160" spans="1:31" x14ac:dyDescent="0.3">
      <c r="A160" s="36" t="s">
        <v>173</v>
      </c>
      <c r="B160" s="49">
        <v>45703</v>
      </c>
      <c r="C160" s="47" t="str">
        <f t="shared" si="19"/>
        <v>Q1-2025</v>
      </c>
      <c r="D160" s="37">
        <v>45703</v>
      </c>
      <c r="E160" s="16">
        <f t="shared" si="18"/>
        <v>0</v>
      </c>
      <c r="F160" s="38" t="s">
        <v>649</v>
      </c>
      <c r="G160" s="38" t="s">
        <v>656</v>
      </c>
      <c r="H160" s="38" t="s">
        <v>698</v>
      </c>
      <c r="I160" s="38" t="s">
        <v>705</v>
      </c>
      <c r="J160" s="38" t="s">
        <v>709</v>
      </c>
      <c r="K160" s="38" t="s">
        <v>716</v>
      </c>
      <c r="L160" s="38" t="s">
        <v>733</v>
      </c>
      <c r="M160" s="39" t="s">
        <v>892</v>
      </c>
      <c r="N160" s="40">
        <v>815.83</v>
      </c>
      <c r="O160" s="40">
        <v>1982.18</v>
      </c>
      <c r="P160" s="30" t="str">
        <f t="shared" si="20"/>
        <v>High</v>
      </c>
      <c r="Q160" s="44">
        <v>0.127</v>
      </c>
      <c r="R160" s="42" t="str">
        <f t="shared" si="21"/>
        <v>Medium</v>
      </c>
      <c r="S160" s="16">
        <v>6</v>
      </c>
      <c r="T160" s="30">
        <v>10382.65884</v>
      </c>
      <c r="U160" s="30">
        <v>4894.9800000000005</v>
      </c>
      <c r="V160" s="30">
        <v>5487.6788399999996</v>
      </c>
      <c r="W160" s="30">
        <v>0.52854272923408507</v>
      </c>
      <c r="X160" t="str">
        <f t="shared" si="22"/>
        <v>On-time</v>
      </c>
      <c r="Y160" t="str">
        <f t="shared" si="23"/>
        <v>Compliant Discount</v>
      </c>
      <c r="Z160" s="9">
        <f>MIN(Q160,'Scenario Modelling'!$B$2)</f>
        <v>0.127</v>
      </c>
      <c r="AA160">
        <f t="shared" si="24"/>
        <v>1730.4431400000001</v>
      </c>
      <c r="AB160">
        <f>N160*(1+'Scenario Modelling'!$B$3)</f>
        <v>897.41300000000012</v>
      </c>
      <c r="AC160">
        <f>ROUNDUP(S160*(1+'Scenario Modelling'!$B$4),0)</f>
        <v>7</v>
      </c>
      <c r="AD160">
        <f t="shared" si="25"/>
        <v>12113.101980000001</v>
      </c>
      <c r="AE160">
        <f t="shared" si="26"/>
        <v>5831.2109799999998</v>
      </c>
    </row>
    <row r="161" spans="1:31" x14ac:dyDescent="0.3">
      <c r="A161" s="31" t="s">
        <v>174</v>
      </c>
      <c r="B161" s="48">
        <v>45870</v>
      </c>
      <c r="C161" s="47" t="str">
        <f t="shared" si="19"/>
        <v>Q3-2025</v>
      </c>
      <c r="D161" s="32">
        <v>45890</v>
      </c>
      <c r="E161" s="17">
        <f t="shared" si="18"/>
        <v>20</v>
      </c>
      <c r="F161" s="33" t="s">
        <v>647</v>
      </c>
      <c r="G161" s="33" t="s">
        <v>659</v>
      </c>
      <c r="H161" s="33" t="s">
        <v>685</v>
      </c>
      <c r="I161" s="33" t="s">
        <v>701</v>
      </c>
      <c r="J161" s="33" t="s">
        <v>711</v>
      </c>
      <c r="K161" s="33" t="s">
        <v>714</v>
      </c>
      <c r="L161" s="33" t="s">
        <v>730</v>
      </c>
      <c r="M161" s="34" t="s">
        <v>893</v>
      </c>
      <c r="N161" s="35">
        <v>1220.4100000000001</v>
      </c>
      <c r="O161" s="35">
        <v>2552.2199999999998</v>
      </c>
      <c r="P161" s="30" t="str">
        <f t="shared" si="20"/>
        <v>High</v>
      </c>
      <c r="Q161" s="43">
        <v>0.18099999999999999</v>
      </c>
      <c r="R161" s="42" t="str">
        <f t="shared" si="21"/>
        <v>Medium</v>
      </c>
      <c r="S161" s="17">
        <v>14</v>
      </c>
      <c r="T161" s="30">
        <v>29263.754519999995</v>
      </c>
      <c r="U161" s="30">
        <v>17085.740000000002</v>
      </c>
      <c r="V161" s="30">
        <v>12178.014519999993</v>
      </c>
      <c r="W161" s="30">
        <v>0.41614668793360271</v>
      </c>
      <c r="X161" t="str">
        <f t="shared" si="22"/>
        <v>Delayed</v>
      </c>
      <c r="Y161" t="str">
        <f t="shared" si="23"/>
        <v>Compliant Discount</v>
      </c>
      <c r="Z161" s="9">
        <f>MIN(Q161,'Scenario Modelling'!$B$2)</f>
        <v>0.18099999999999999</v>
      </c>
      <c r="AA161">
        <f t="shared" si="24"/>
        <v>2090.2681799999996</v>
      </c>
      <c r="AB161">
        <f>N161*(1+'Scenario Modelling'!$B$3)</f>
        <v>1342.4510000000002</v>
      </c>
      <c r="AC161">
        <f>ROUNDUP(S161*(1+'Scenario Modelling'!$B$4),0)</f>
        <v>15</v>
      </c>
      <c r="AD161">
        <f t="shared" si="25"/>
        <v>31354.022699999994</v>
      </c>
      <c r="AE161">
        <f t="shared" si="26"/>
        <v>11217.257699999989</v>
      </c>
    </row>
    <row r="162" spans="1:31" x14ac:dyDescent="0.3">
      <c r="A162" s="36" t="s">
        <v>175</v>
      </c>
      <c r="B162" s="49">
        <v>44977</v>
      </c>
      <c r="C162" s="47" t="str">
        <f t="shared" si="19"/>
        <v>Q1-2023</v>
      </c>
      <c r="D162" s="37">
        <v>44989</v>
      </c>
      <c r="E162" s="16">
        <f t="shared" si="18"/>
        <v>12</v>
      </c>
      <c r="F162" s="38" t="s">
        <v>647</v>
      </c>
      <c r="G162" s="38" t="s">
        <v>654</v>
      </c>
      <c r="H162" s="38" t="s">
        <v>680</v>
      </c>
      <c r="I162" s="38" t="s">
        <v>704</v>
      </c>
      <c r="J162" s="38" t="s">
        <v>710</v>
      </c>
      <c r="K162" s="38" t="s">
        <v>724</v>
      </c>
      <c r="L162" s="38" t="s">
        <v>732</v>
      </c>
      <c r="M162" s="39" t="s">
        <v>894</v>
      </c>
      <c r="N162" s="40">
        <v>299.75</v>
      </c>
      <c r="O162" s="40">
        <v>523.01</v>
      </c>
      <c r="P162" s="30" t="str">
        <f t="shared" si="20"/>
        <v>Low</v>
      </c>
      <c r="Q162" s="44">
        <v>0.157</v>
      </c>
      <c r="R162" s="42" t="str">
        <f t="shared" si="21"/>
        <v>Medium</v>
      </c>
      <c r="S162" s="16">
        <v>50</v>
      </c>
      <c r="T162" s="30">
        <v>22044.871499999997</v>
      </c>
      <c r="U162" s="30">
        <v>14987.5</v>
      </c>
      <c r="V162" s="30">
        <v>7057.3714999999975</v>
      </c>
      <c r="W162" s="30">
        <v>0.32013665854210122</v>
      </c>
      <c r="X162" t="str">
        <f t="shared" si="22"/>
        <v>Delayed</v>
      </c>
      <c r="Y162" t="str">
        <f t="shared" si="23"/>
        <v>Compliant Discount</v>
      </c>
      <c r="Z162" s="9">
        <f>MIN(Q162,'Scenario Modelling'!$B$2)</f>
        <v>0.157</v>
      </c>
      <c r="AA162">
        <f t="shared" si="24"/>
        <v>440.89742999999999</v>
      </c>
      <c r="AB162">
        <f>N162*(1+'Scenario Modelling'!$B$3)</f>
        <v>329.72500000000002</v>
      </c>
      <c r="AC162">
        <f>ROUNDUP(S162*(1+'Scenario Modelling'!$B$4),0)</f>
        <v>53</v>
      </c>
      <c r="AD162">
        <f t="shared" si="25"/>
        <v>23367.56379</v>
      </c>
      <c r="AE162">
        <f t="shared" si="26"/>
        <v>5892.1387899999982</v>
      </c>
    </row>
    <row r="163" spans="1:31" x14ac:dyDescent="0.3">
      <c r="A163" s="31" t="s">
        <v>176</v>
      </c>
      <c r="B163" s="48">
        <v>45595</v>
      </c>
      <c r="C163" s="47" t="str">
        <f t="shared" si="19"/>
        <v>Q4-2024</v>
      </c>
      <c r="D163" s="32">
        <v>45620</v>
      </c>
      <c r="E163" s="17">
        <f t="shared" si="18"/>
        <v>25</v>
      </c>
      <c r="F163" s="33" t="s">
        <v>647</v>
      </c>
      <c r="G163" s="33" t="s">
        <v>659</v>
      </c>
      <c r="H163" s="33" t="s">
        <v>676</v>
      </c>
      <c r="I163" s="33" t="s">
        <v>705</v>
      </c>
      <c r="J163" s="33" t="s">
        <v>708</v>
      </c>
      <c r="K163" s="33" t="s">
        <v>718</v>
      </c>
      <c r="L163" s="33" t="s">
        <v>727</v>
      </c>
      <c r="M163" s="34" t="s">
        <v>895</v>
      </c>
      <c r="N163" s="35">
        <v>811.05</v>
      </c>
      <c r="O163" s="35">
        <v>1217.71</v>
      </c>
      <c r="P163" s="30" t="str">
        <f t="shared" si="20"/>
        <v>Medium</v>
      </c>
      <c r="Q163" s="43">
        <v>7.1999999999999995E-2</v>
      </c>
      <c r="R163" s="42" t="str">
        <f t="shared" si="21"/>
        <v>Low</v>
      </c>
      <c r="S163" s="17">
        <v>5</v>
      </c>
      <c r="T163" s="30">
        <v>5650.1744000000008</v>
      </c>
      <c r="U163" s="30">
        <v>4055.25</v>
      </c>
      <c r="V163" s="30">
        <v>1594.9244000000008</v>
      </c>
      <c r="W163" s="30">
        <v>0.28227879125288602</v>
      </c>
      <c r="X163" t="str">
        <f t="shared" si="22"/>
        <v>Delayed</v>
      </c>
      <c r="Y163" t="str">
        <f t="shared" si="23"/>
        <v>Compliant Discount</v>
      </c>
      <c r="Z163" s="9">
        <f>MIN(Q163,'Scenario Modelling'!$B$2)</f>
        <v>7.1999999999999995E-2</v>
      </c>
      <c r="AA163">
        <f t="shared" si="24"/>
        <v>1130.0348800000002</v>
      </c>
      <c r="AB163">
        <f>N163*(1+'Scenario Modelling'!$B$3)</f>
        <v>892.15499999999997</v>
      </c>
      <c r="AC163">
        <f>ROUNDUP(S163*(1+'Scenario Modelling'!$B$4),0)</f>
        <v>6</v>
      </c>
      <c r="AD163">
        <f t="shared" si="25"/>
        <v>6780.2092800000009</v>
      </c>
      <c r="AE163">
        <f t="shared" si="26"/>
        <v>1427.2792800000011</v>
      </c>
    </row>
    <row r="164" spans="1:31" x14ac:dyDescent="0.3">
      <c r="A164" s="36" t="s">
        <v>177</v>
      </c>
      <c r="B164" s="49">
        <v>45385</v>
      </c>
      <c r="C164" s="47" t="str">
        <f t="shared" si="19"/>
        <v>Q2-2024</v>
      </c>
      <c r="D164" s="37">
        <v>45389</v>
      </c>
      <c r="E164" s="16">
        <f t="shared" si="18"/>
        <v>4</v>
      </c>
      <c r="F164" s="38" t="s">
        <v>648</v>
      </c>
      <c r="G164" s="38" t="s">
        <v>655</v>
      </c>
      <c r="H164" s="38" t="s">
        <v>672</v>
      </c>
      <c r="I164" s="38" t="s">
        <v>703</v>
      </c>
      <c r="J164" s="38" t="s">
        <v>711</v>
      </c>
      <c r="K164" s="38" t="s">
        <v>725</v>
      </c>
      <c r="L164" s="38" t="s">
        <v>730</v>
      </c>
      <c r="M164" s="39" t="s">
        <v>896</v>
      </c>
      <c r="N164" s="40">
        <v>1023.27</v>
      </c>
      <c r="O164" s="40">
        <v>1343.64</v>
      </c>
      <c r="P164" s="30" t="str">
        <f t="shared" si="20"/>
        <v>Medium</v>
      </c>
      <c r="Q164" s="44">
        <v>0.13300000000000001</v>
      </c>
      <c r="R164" s="42" t="str">
        <f t="shared" si="21"/>
        <v>Medium</v>
      </c>
      <c r="S164" s="16">
        <v>7</v>
      </c>
      <c r="T164" s="30">
        <v>8154.5511600000009</v>
      </c>
      <c r="U164" s="30">
        <v>7162.8899999999994</v>
      </c>
      <c r="V164" s="30">
        <v>991.66116000000147</v>
      </c>
      <c r="W164" s="30">
        <v>0.12160830688810116</v>
      </c>
      <c r="X164" t="str">
        <f t="shared" si="22"/>
        <v>On-time</v>
      </c>
      <c r="Y164" t="str">
        <f t="shared" si="23"/>
        <v>Compliant Discount</v>
      </c>
      <c r="Z164" s="9">
        <f>MIN(Q164,'Scenario Modelling'!$B$2)</f>
        <v>0.13300000000000001</v>
      </c>
      <c r="AA164">
        <f t="shared" si="24"/>
        <v>1164.93588</v>
      </c>
      <c r="AB164">
        <f>N164*(1+'Scenario Modelling'!$B$3)</f>
        <v>1125.597</v>
      </c>
      <c r="AC164">
        <f>ROUNDUP(S164*(1+'Scenario Modelling'!$B$4),0)</f>
        <v>8</v>
      </c>
      <c r="AD164">
        <f t="shared" si="25"/>
        <v>9319.48704</v>
      </c>
      <c r="AE164">
        <f t="shared" si="26"/>
        <v>314.71104000000014</v>
      </c>
    </row>
    <row r="165" spans="1:31" x14ac:dyDescent="0.3">
      <c r="A165" s="31" t="s">
        <v>178</v>
      </c>
      <c r="B165" s="48">
        <v>45010</v>
      </c>
      <c r="C165" s="47" t="str">
        <f t="shared" si="19"/>
        <v>Q1-2023</v>
      </c>
      <c r="D165" s="32">
        <v>45011</v>
      </c>
      <c r="E165" s="17">
        <f t="shared" si="18"/>
        <v>1</v>
      </c>
      <c r="F165" s="33" t="s">
        <v>647</v>
      </c>
      <c r="G165" s="33" t="s">
        <v>652</v>
      </c>
      <c r="H165" s="33" t="s">
        <v>666</v>
      </c>
      <c r="I165" s="33" t="s">
        <v>705</v>
      </c>
      <c r="J165" s="33" t="s">
        <v>710</v>
      </c>
      <c r="K165" s="33" t="s">
        <v>714</v>
      </c>
      <c r="L165" s="33" t="s">
        <v>732</v>
      </c>
      <c r="M165" s="34" t="s">
        <v>897</v>
      </c>
      <c r="N165" s="35">
        <v>135.12</v>
      </c>
      <c r="O165" s="35">
        <v>301.7</v>
      </c>
      <c r="P165" s="30" t="str">
        <f t="shared" si="20"/>
        <v>Low</v>
      </c>
      <c r="Q165" s="43">
        <v>0.14000000000000001</v>
      </c>
      <c r="R165" s="42" t="str">
        <f t="shared" si="21"/>
        <v>Medium</v>
      </c>
      <c r="S165" s="17">
        <v>47</v>
      </c>
      <c r="T165" s="30">
        <v>12194.714</v>
      </c>
      <c r="U165" s="30">
        <v>6350.64</v>
      </c>
      <c r="V165" s="30">
        <v>5844.0739999999996</v>
      </c>
      <c r="W165" s="30">
        <v>0.47923009920527859</v>
      </c>
      <c r="X165" t="str">
        <f t="shared" si="22"/>
        <v>On-time</v>
      </c>
      <c r="Y165" t="str">
        <f t="shared" si="23"/>
        <v>Compliant Discount</v>
      </c>
      <c r="Z165" s="9">
        <f>MIN(Q165,'Scenario Modelling'!$B$2)</f>
        <v>0.14000000000000001</v>
      </c>
      <c r="AA165">
        <f t="shared" si="24"/>
        <v>259.46199999999999</v>
      </c>
      <c r="AB165">
        <f>N165*(1+'Scenario Modelling'!$B$3)</f>
        <v>148.63200000000001</v>
      </c>
      <c r="AC165">
        <f>ROUNDUP(S165*(1+'Scenario Modelling'!$B$4),0)</f>
        <v>50</v>
      </c>
      <c r="AD165">
        <f t="shared" si="25"/>
        <v>12973.099999999999</v>
      </c>
      <c r="AE165">
        <f t="shared" si="26"/>
        <v>5541.4999999999991</v>
      </c>
    </row>
    <row r="166" spans="1:31" x14ac:dyDescent="0.3">
      <c r="A166" s="36" t="s">
        <v>179</v>
      </c>
      <c r="B166" s="49">
        <v>45447</v>
      </c>
      <c r="C166" s="47" t="str">
        <f t="shared" si="19"/>
        <v>Q2-2024</v>
      </c>
      <c r="D166" s="37">
        <v>45459</v>
      </c>
      <c r="E166" s="16">
        <f t="shared" si="18"/>
        <v>12</v>
      </c>
      <c r="F166" s="38" t="s">
        <v>647</v>
      </c>
      <c r="G166" s="38" t="s">
        <v>659</v>
      </c>
      <c r="H166" s="38" t="s">
        <v>685</v>
      </c>
      <c r="I166" s="38" t="s">
        <v>701</v>
      </c>
      <c r="J166" s="38" t="s">
        <v>707</v>
      </c>
      <c r="K166" s="38" t="s">
        <v>713</v>
      </c>
      <c r="L166" s="38" t="s">
        <v>728</v>
      </c>
      <c r="M166" s="39" t="s">
        <v>898</v>
      </c>
      <c r="N166" s="40">
        <v>918.42</v>
      </c>
      <c r="O166" s="40">
        <v>1511.71</v>
      </c>
      <c r="P166" s="30" t="str">
        <f t="shared" si="20"/>
        <v>Medium</v>
      </c>
      <c r="Q166" s="44">
        <v>0.02</v>
      </c>
      <c r="R166" s="42" t="str">
        <f t="shared" si="21"/>
        <v>Low</v>
      </c>
      <c r="S166" s="16">
        <v>8</v>
      </c>
      <c r="T166" s="30">
        <v>11851.806399999999</v>
      </c>
      <c r="U166" s="30">
        <v>7347.36</v>
      </c>
      <c r="V166" s="30">
        <v>4504.4463999999998</v>
      </c>
      <c r="W166" s="30">
        <v>0.38006412254590999</v>
      </c>
      <c r="X166" t="str">
        <f t="shared" si="22"/>
        <v>Delayed</v>
      </c>
      <c r="Y166" t="str">
        <f t="shared" si="23"/>
        <v>Compliant Discount</v>
      </c>
      <c r="Z166" s="9">
        <f>MIN(Q166,'Scenario Modelling'!$B$2)</f>
        <v>0.02</v>
      </c>
      <c r="AA166">
        <f t="shared" si="24"/>
        <v>1481.4757999999999</v>
      </c>
      <c r="AB166">
        <f>N166*(1+'Scenario Modelling'!$B$3)</f>
        <v>1010.2620000000001</v>
      </c>
      <c r="AC166">
        <f>ROUNDUP(S166*(1+'Scenario Modelling'!$B$4),0)</f>
        <v>9</v>
      </c>
      <c r="AD166">
        <f t="shared" si="25"/>
        <v>13333.2822</v>
      </c>
      <c r="AE166">
        <f t="shared" si="26"/>
        <v>4240.9241999999986</v>
      </c>
    </row>
    <row r="167" spans="1:31" x14ac:dyDescent="0.3">
      <c r="A167" s="31" t="s">
        <v>180</v>
      </c>
      <c r="B167" s="48">
        <v>44976</v>
      </c>
      <c r="C167" s="47" t="str">
        <f t="shared" si="19"/>
        <v>Q1-2023</v>
      </c>
      <c r="D167" s="32">
        <v>44997</v>
      </c>
      <c r="E167" s="17">
        <f t="shared" si="18"/>
        <v>21</v>
      </c>
      <c r="F167" s="33" t="s">
        <v>649</v>
      </c>
      <c r="G167" s="33" t="s">
        <v>656</v>
      </c>
      <c r="H167" s="33" t="s">
        <v>671</v>
      </c>
      <c r="I167" s="33" t="s">
        <v>705</v>
      </c>
      <c r="J167" s="33" t="s">
        <v>711</v>
      </c>
      <c r="K167" s="33" t="s">
        <v>716</v>
      </c>
      <c r="L167" s="33" t="s">
        <v>732</v>
      </c>
      <c r="M167" s="34" t="s">
        <v>899</v>
      </c>
      <c r="N167" s="35">
        <v>1234.81</v>
      </c>
      <c r="O167" s="35">
        <v>2055.2399999999998</v>
      </c>
      <c r="P167" s="30" t="str">
        <f t="shared" si="20"/>
        <v>High</v>
      </c>
      <c r="Q167" s="43">
        <v>5.2999999999999999E-2</v>
      </c>
      <c r="R167" s="42" t="str">
        <f t="shared" si="21"/>
        <v>Low</v>
      </c>
      <c r="S167" s="17">
        <v>44</v>
      </c>
      <c r="T167" s="30">
        <v>85637.740319999997</v>
      </c>
      <c r="U167" s="30">
        <v>54331.64</v>
      </c>
      <c r="V167" s="30">
        <v>31306.100319999998</v>
      </c>
      <c r="W167" s="30">
        <v>0.36556429680441616</v>
      </c>
      <c r="X167" t="str">
        <f t="shared" si="22"/>
        <v>Delayed</v>
      </c>
      <c r="Y167" t="str">
        <f t="shared" si="23"/>
        <v>Compliant Discount</v>
      </c>
      <c r="Z167" s="9">
        <f>MIN(Q167,'Scenario Modelling'!$B$2)</f>
        <v>5.2999999999999999E-2</v>
      </c>
      <c r="AA167">
        <f t="shared" si="24"/>
        <v>1946.3122799999996</v>
      </c>
      <c r="AB167">
        <f>N167*(1+'Scenario Modelling'!$B$3)</f>
        <v>1358.2909999999999</v>
      </c>
      <c r="AC167">
        <f>ROUNDUP(S167*(1+'Scenario Modelling'!$B$4),0)</f>
        <v>47</v>
      </c>
      <c r="AD167">
        <f t="shared" si="25"/>
        <v>91476.677159999977</v>
      </c>
      <c r="AE167">
        <f t="shared" si="26"/>
        <v>27637.000159999985</v>
      </c>
    </row>
    <row r="168" spans="1:31" x14ac:dyDescent="0.3">
      <c r="A168" s="36" t="s">
        <v>181</v>
      </c>
      <c r="B168" s="49">
        <v>45034</v>
      </c>
      <c r="C168" s="47" t="str">
        <f t="shared" si="19"/>
        <v>Q2-2023</v>
      </c>
      <c r="D168" s="37">
        <v>45064</v>
      </c>
      <c r="E168" s="16">
        <f t="shared" si="18"/>
        <v>30</v>
      </c>
      <c r="F168" s="38" t="s">
        <v>647</v>
      </c>
      <c r="G168" s="38" t="s">
        <v>659</v>
      </c>
      <c r="H168" s="38" t="s">
        <v>676</v>
      </c>
      <c r="I168" s="38" t="s">
        <v>703</v>
      </c>
      <c r="J168" s="38" t="s">
        <v>707</v>
      </c>
      <c r="K168" s="38" t="s">
        <v>722</v>
      </c>
      <c r="L168" s="38" t="s">
        <v>731</v>
      </c>
      <c r="M168" s="39" t="s">
        <v>900</v>
      </c>
      <c r="N168" s="40">
        <v>329.03</v>
      </c>
      <c r="O168" s="40">
        <v>391.15</v>
      </c>
      <c r="P168" s="30" t="str">
        <f t="shared" si="20"/>
        <v>Low</v>
      </c>
      <c r="Q168" s="44">
        <v>0.19700000000000001</v>
      </c>
      <c r="R168" s="42" t="str">
        <f t="shared" si="21"/>
        <v>Medium</v>
      </c>
      <c r="S168" s="16">
        <v>46</v>
      </c>
      <c r="T168" s="30">
        <v>14448.298699999998</v>
      </c>
      <c r="U168" s="30">
        <v>15135.38</v>
      </c>
      <c r="V168" s="30">
        <v>-687.08130000000165</v>
      </c>
      <c r="W168" s="30">
        <v>-4.7554477815440081E-2</v>
      </c>
      <c r="X168" t="str">
        <f t="shared" si="22"/>
        <v>Delayed</v>
      </c>
      <c r="Y168" t="str">
        <f t="shared" si="23"/>
        <v>Compliant Discount</v>
      </c>
      <c r="Z168" s="9">
        <f>MIN(Q168,'Scenario Modelling'!$B$2)</f>
        <v>0.19700000000000001</v>
      </c>
      <c r="AA168">
        <f t="shared" si="24"/>
        <v>314.09344999999996</v>
      </c>
      <c r="AB168">
        <f>N168*(1+'Scenario Modelling'!$B$3)</f>
        <v>361.93299999999999</v>
      </c>
      <c r="AC168">
        <f>ROUNDUP(S168*(1+'Scenario Modelling'!$B$4),0)</f>
        <v>49</v>
      </c>
      <c r="AD168">
        <f t="shared" si="25"/>
        <v>15390.579049999998</v>
      </c>
      <c r="AE168">
        <f t="shared" si="26"/>
        <v>-2344.1379500000016</v>
      </c>
    </row>
    <row r="169" spans="1:31" x14ac:dyDescent="0.3">
      <c r="A169" s="31" t="s">
        <v>182</v>
      </c>
      <c r="B169" s="48">
        <v>45435</v>
      </c>
      <c r="C169" s="47" t="str">
        <f t="shared" si="19"/>
        <v>Q2-2024</v>
      </c>
      <c r="D169" s="32">
        <v>45457</v>
      </c>
      <c r="E169" s="17">
        <f t="shared" si="18"/>
        <v>22</v>
      </c>
      <c r="F169" s="33" t="s">
        <v>649</v>
      </c>
      <c r="G169" s="33" t="s">
        <v>657</v>
      </c>
      <c r="H169" s="33" t="s">
        <v>673</v>
      </c>
      <c r="I169" s="33" t="s">
        <v>705</v>
      </c>
      <c r="J169" s="33" t="s">
        <v>708</v>
      </c>
      <c r="K169" s="33" t="s">
        <v>725</v>
      </c>
      <c r="L169" s="33" t="s">
        <v>732</v>
      </c>
      <c r="M169" s="34" t="s">
        <v>901</v>
      </c>
      <c r="N169" s="35">
        <v>1481.74</v>
      </c>
      <c r="O169" s="35">
        <v>1848.97</v>
      </c>
      <c r="P169" s="30" t="str">
        <f t="shared" si="20"/>
        <v>High</v>
      </c>
      <c r="Q169" s="43">
        <v>0.254</v>
      </c>
      <c r="R169" s="42" t="str">
        <f t="shared" si="21"/>
        <v>High</v>
      </c>
      <c r="S169" s="17">
        <v>9</v>
      </c>
      <c r="T169" s="30">
        <v>12413.98458</v>
      </c>
      <c r="U169" s="30">
        <v>13335.66</v>
      </c>
      <c r="V169" s="30">
        <v>-921.67541999999958</v>
      </c>
      <c r="W169" s="30">
        <v>-7.4244930309072407E-2</v>
      </c>
      <c r="X169" t="str">
        <f t="shared" si="22"/>
        <v>Delayed</v>
      </c>
      <c r="Y169" t="str">
        <f t="shared" si="23"/>
        <v>Non-compliant Discount</v>
      </c>
      <c r="Z169" s="9">
        <f>MIN(Q169,'Scenario Modelling'!$B$2)</f>
        <v>0.2</v>
      </c>
      <c r="AA169">
        <f t="shared" si="24"/>
        <v>1479.1760000000002</v>
      </c>
      <c r="AB169">
        <f>N169*(1+'Scenario Modelling'!$B$3)</f>
        <v>1629.9140000000002</v>
      </c>
      <c r="AC169">
        <f>ROUNDUP(S169*(1+'Scenario Modelling'!$B$4),0)</f>
        <v>10</v>
      </c>
      <c r="AD169">
        <f t="shared" si="25"/>
        <v>14791.760000000002</v>
      </c>
      <c r="AE169">
        <f t="shared" si="26"/>
        <v>-1507.3800000000006</v>
      </c>
    </row>
    <row r="170" spans="1:31" x14ac:dyDescent="0.3">
      <c r="A170" s="36" t="s">
        <v>183</v>
      </c>
      <c r="B170" s="49">
        <v>45206</v>
      </c>
      <c r="C170" s="47" t="str">
        <f t="shared" si="19"/>
        <v>Q4-2023</v>
      </c>
      <c r="D170" s="37">
        <v>45222</v>
      </c>
      <c r="E170" s="16">
        <f t="shared" si="18"/>
        <v>16</v>
      </c>
      <c r="F170" s="38" t="s">
        <v>647</v>
      </c>
      <c r="G170" s="38" t="s">
        <v>654</v>
      </c>
      <c r="H170" s="38" t="s">
        <v>696</v>
      </c>
      <c r="I170" s="38" t="s">
        <v>704</v>
      </c>
      <c r="J170" s="38" t="s">
        <v>707</v>
      </c>
      <c r="K170" s="38" t="s">
        <v>715</v>
      </c>
      <c r="L170" s="38" t="s">
        <v>732</v>
      </c>
      <c r="M170" s="39" t="s">
        <v>902</v>
      </c>
      <c r="N170" s="40">
        <v>906.81</v>
      </c>
      <c r="O170" s="40">
        <v>1395.56</v>
      </c>
      <c r="P170" s="30" t="str">
        <f t="shared" si="20"/>
        <v>Medium</v>
      </c>
      <c r="Q170" s="44">
        <v>0.185</v>
      </c>
      <c r="R170" s="42" t="str">
        <f t="shared" si="21"/>
        <v>Medium</v>
      </c>
      <c r="S170" s="16">
        <v>6</v>
      </c>
      <c r="T170" s="30">
        <v>6824.2884000000004</v>
      </c>
      <c r="U170" s="30">
        <v>5440.86</v>
      </c>
      <c r="V170" s="30">
        <v>1383.4284000000007</v>
      </c>
      <c r="W170" s="30">
        <v>0.20272126834498974</v>
      </c>
      <c r="X170" t="str">
        <f t="shared" si="22"/>
        <v>Delayed</v>
      </c>
      <c r="Y170" t="str">
        <f t="shared" si="23"/>
        <v>Compliant Discount</v>
      </c>
      <c r="Z170" s="9">
        <f>MIN(Q170,'Scenario Modelling'!$B$2)</f>
        <v>0.185</v>
      </c>
      <c r="AA170">
        <f t="shared" si="24"/>
        <v>1137.3814</v>
      </c>
      <c r="AB170">
        <f>N170*(1+'Scenario Modelling'!$B$3)</f>
        <v>997.49099999999999</v>
      </c>
      <c r="AC170">
        <f>ROUNDUP(S170*(1+'Scenario Modelling'!$B$4),0)</f>
        <v>7</v>
      </c>
      <c r="AD170">
        <f t="shared" si="25"/>
        <v>7961.6697999999997</v>
      </c>
      <c r="AE170">
        <f t="shared" si="26"/>
        <v>979.2328</v>
      </c>
    </row>
    <row r="171" spans="1:31" x14ac:dyDescent="0.3">
      <c r="A171" s="31" t="s">
        <v>184</v>
      </c>
      <c r="B171" s="48">
        <v>45574</v>
      </c>
      <c r="C171" s="47" t="str">
        <f t="shared" si="19"/>
        <v>Q4-2024</v>
      </c>
      <c r="D171" s="32">
        <v>45604</v>
      </c>
      <c r="E171" s="17">
        <f t="shared" si="18"/>
        <v>30</v>
      </c>
      <c r="F171" s="33" t="s">
        <v>649</v>
      </c>
      <c r="G171" s="33" t="s">
        <v>658</v>
      </c>
      <c r="H171" s="33" t="s">
        <v>693</v>
      </c>
      <c r="I171" s="33" t="s">
        <v>705</v>
      </c>
      <c r="J171" s="33" t="s">
        <v>710</v>
      </c>
      <c r="K171" s="33" t="s">
        <v>713</v>
      </c>
      <c r="L171" s="33" t="s">
        <v>727</v>
      </c>
      <c r="M171" s="34" t="s">
        <v>903</v>
      </c>
      <c r="N171" s="35">
        <v>343.85</v>
      </c>
      <c r="O171" s="35">
        <v>538.04</v>
      </c>
      <c r="P171" s="30" t="str">
        <f t="shared" si="20"/>
        <v>Low</v>
      </c>
      <c r="Q171" s="43">
        <v>0.13900000000000001</v>
      </c>
      <c r="R171" s="42" t="str">
        <f t="shared" si="21"/>
        <v>Medium</v>
      </c>
      <c r="S171" s="17">
        <v>5</v>
      </c>
      <c r="T171" s="30">
        <v>2316.2621999999997</v>
      </c>
      <c r="U171" s="30">
        <v>1719.25</v>
      </c>
      <c r="V171" s="30">
        <v>597.01219999999967</v>
      </c>
      <c r="W171" s="30">
        <v>0.25774810813732563</v>
      </c>
      <c r="X171" t="str">
        <f t="shared" si="22"/>
        <v>Delayed</v>
      </c>
      <c r="Y171" t="str">
        <f t="shared" si="23"/>
        <v>Compliant Discount</v>
      </c>
      <c r="Z171" s="9">
        <f>MIN(Q171,'Scenario Modelling'!$B$2)</f>
        <v>0.13900000000000001</v>
      </c>
      <c r="AA171">
        <f t="shared" si="24"/>
        <v>463.25243999999998</v>
      </c>
      <c r="AB171">
        <f>N171*(1+'Scenario Modelling'!$B$3)</f>
        <v>378.23500000000007</v>
      </c>
      <c r="AC171">
        <f>ROUNDUP(S171*(1+'Scenario Modelling'!$B$4),0)</f>
        <v>6</v>
      </c>
      <c r="AD171">
        <f t="shared" si="25"/>
        <v>2779.5146399999999</v>
      </c>
      <c r="AE171">
        <f t="shared" si="26"/>
        <v>510.10463999999945</v>
      </c>
    </row>
    <row r="172" spans="1:31" x14ac:dyDescent="0.3">
      <c r="A172" s="36" t="s">
        <v>185</v>
      </c>
      <c r="B172" s="49">
        <v>45488</v>
      </c>
      <c r="C172" s="47" t="str">
        <f t="shared" si="19"/>
        <v>Q3-2024</v>
      </c>
      <c r="D172" s="37">
        <v>45488</v>
      </c>
      <c r="E172" s="16">
        <f t="shared" si="18"/>
        <v>0</v>
      </c>
      <c r="F172" s="38" t="s">
        <v>647</v>
      </c>
      <c r="G172" s="38" t="s">
        <v>652</v>
      </c>
      <c r="H172" s="38" t="s">
        <v>689</v>
      </c>
      <c r="I172" s="38" t="s">
        <v>705</v>
      </c>
      <c r="J172" s="38" t="s">
        <v>709</v>
      </c>
      <c r="K172" s="38" t="s">
        <v>715</v>
      </c>
      <c r="L172" s="38" t="s">
        <v>733</v>
      </c>
      <c r="M172" s="39" t="s">
        <v>904</v>
      </c>
      <c r="N172" s="40">
        <v>801.77</v>
      </c>
      <c r="O172" s="40">
        <v>1218.92</v>
      </c>
      <c r="P172" s="30" t="str">
        <f t="shared" si="20"/>
        <v>Medium</v>
      </c>
      <c r="Q172" s="44">
        <v>0.254</v>
      </c>
      <c r="R172" s="42" t="str">
        <f t="shared" si="21"/>
        <v>High</v>
      </c>
      <c r="S172" s="16">
        <v>16</v>
      </c>
      <c r="T172" s="30">
        <v>14549.029120000001</v>
      </c>
      <c r="U172" s="30">
        <v>12828.32</v>
      </c>
      <c r="V172" s="30">
        <v>1720.7091200000013</v>
      </c>
      <c r="W172" s="30">
        <v>0.11826968698788344</v>
      </c>
      <c r="X172" t="str">
        <f t="shared" si="22"/>
        <v>On-time</v>
      </c>
      <c r="Y172" t="str">
        <f t="shared" si="23"/>
        <v>Non-compliant Discount</v>
      </c>
      <c r="Z172" s="9">
        <f>MIN(Q172,'Scenario Modelling'!$B$2)</f>
        <v>0.2</v>
      </c>
      <c r="AA172">
        <f t="shared" si="24"/>
        <v>975.13600000000008</v>
      </c>
      <c r="AB172">
        <f>N172*(1+'Scenario Modelling'!$B$3)</f>
        <v>881.947</v>
      </c>
      <c r="AC172">
        <f>ROUNDUP(S172*(1+'Scenario Modelling'!$B$4),0)</f>
        <v>17</v>
      </c>
      <c r="AD172">
        <f t="shared" si="25"/>
        <v>16577.312000000002</v>
      </c>
      <c r="AE172">
        <f t="shared" si="26"/>
        <v>1584.2130000000013</v>
      </c>
    </row>
    <row r="173" spans="1:31" x14ac:dyDescent="0.3">
      <c r="A173" s="31" t="s">
        <v>186</v>
      </c>
      <c r="B173" s="48">
        <v>45190</v>
      </c>
      <c r="C173" s="47" t="str">
        <f t="shared" si="19"/>
        <v>Q3-2023</v>
      </c>
      <c r="D173" s="32">
        <v>45209</v>
      </c>
      <c r="E173" s="17">
        <f t="shared" si="18"/>
        <v>19</v>
      </c>
      <c r="F173" s="33" t="s">
        <v>647</v>
      </c>
      <c r="G173" s="33" t="s">
        <v>652</v>
      </c>
      <c r="H173" s="33" t="s">
        <v>689</v>
      </c>
      <c r="I173" s="33" t="s">
        <v>702</v>
      </c>
      <c r="J173" s="33" t="s">
        <v>708</v>
      </c>
      <c r="K173" s="33" t="s">
        <v>726</v>
      </c>
      <c r="L173" s="33" t="s">
        <v>727</v>
      </c>
      <c r="M173" s="34" t="s">
        <v>905</v>
      </c>
      <c r="N173" s="35">
        <v>845.63</v>
      </c>
      <c r="O173" s="35">
        <v>2062.12</v>
      </c>
      <c r="P173" s="30" t="str">
        <f t="shared" si="20"/>
        <v>High</v>
      </c>
      <c r="Q173" s="43">
        <v>0.13400000000000001</v>
      </c>
      <c r="R173" s="42" t="str">
        <f t="shared" si="21"/>
        <v>Medium</v>
      </c>
      <c r="S173" s="17">
        <v>5</v>
      </c>
      <c r="T173" s="30">
        <v>8928.9795999999988</v>
      </c>
      <c r="U173" s="30">
        <v>4228.1499999999996</v>
      </c>
      <c r="V173" s="30">
        <v>4700.8295999999991</v>
      </c>
      <c r="W173" s="30">
        <v>0.52646884757133949</v>
      </c>
      <c r="X173" t="str">
        <f t="shared" si="22"/>
        <v>Delayed</v>
      </c>
      <c r="Y173" t="str">
        <f t="shared" si="23"/>
        <v>Compliant Discount</v>
      </c>
      <c r="Z173" s="9">
        <f>MIN(Q173,'Scenario Modelling'!$B$2)</f>
        <v>0.13400000000000001</v>
      </c>
      <c r="AA173">
        <f t="shared" si="24"/>
        <v>1785.7959199999998</v>
      </c>
      <c r="AB173">
        <f>N173*(1+'Scenario Modelling'!$B$3)</f>
        <v>930.1930000000001</v>
      </c>
      <c r="AC173">
        <f>ROUNDUP(S173*(1+'Scenario Modelling'!$B$4),0)</f>
        <v>6</v>
      </c>
      <c r="AD173">
        <f t="shared" si="25"/>
        <v>10714.775519999999</v>
      </c>
      <c r="AE173">
        <f t="shared" si="26"/>
        <v>5133.617519999998</v>
      </c>
    </row>
    <row r="174" spans="1:31" x14ac:dyDescent="0.3">
      <c r="A174" s="36" t="s">
        <v>187</v>
      </c>
      <c r="B174" s="49">
        <v>44981</v>
      </c>
      <c r="C174" s="47" t="str">
        <f t="shared" si="19"/>
        <v>Q1-2023</v>
      </c>
      <c r="D174" s="37">
        <v>44994</v>
      </c>
      <c r="E174" s="16">
        <f t="shared" si="18"/>
        <v>13</v>
      </c>
      <c r="F174" s="38" t="s">
        <v>648</v>
      </c>
      <c r="G174" s="38" t="s">
        <v>660</v>
      </c>
      <c r="H174" s="38" t="s">
        <v>700</v>
      </c>
      <c r="I174" s="38" t="s">
        <v>706</v>
      </c>
      <c r="J174" s="38" t="s">
        <v>708</v>
      </c>
      <c r="K174" s="38" t="s">
        <v>724</v>
      </c>
      <c r="L174" s="38" t="s">
        <v>727</v>
      </c>
      <c r="M174" s="39" t="s">
        <v>906</v>
      </c>
      <c r="N174" s="40">
        <v>6.85</v>
      </c>
      <c r="O174" s="40">
        <v>10.18</v>
      </c>
      <c r="P174" s="30" t="str">
        <f t="shared" si="20"/>
        <v>Low</v>
      </c>
      <c r="Q174" s="44">
        <v>4.7E-2</v>
      </c>
      <c r="R174" s="42" t="str">
        <f t="shared" si="21"/>
        <v>Low</v>
      </c>
      <c r="S174" s="16">
        <v>10</v>
      </c>
      <c r="T174" s="30">
        <v>97.0154</v>
      </c>
      <c r="U174" s="30">
        <v>68.5</v>
      </c>
      <c r="V174" s="30">
        <v>28.5154</v>
      </c>
      <c r="W174" s="30">
        <v>0.2939265312517394</v>
      </c>
      <c r="X174" t="str">
        <f t="shared" si="22"/>
        <v>Delayed</v>
      </c>
      <c r="Y174" t="str">
        <f t="shared" si="23"/>
        <v>Compliant Discount</v>
      </c>
      <c r="Z174" s="9">
        <f>MIN(Q174,'Scenario Modelling'!$B$2)</f>
        <v>4.7E-2</v>
      </c>
      <c r="AA174">
        <f t="shared" si="24"/>
        <v>9.7015399999999996</v>
      </c>
      <c r="AB174">
        <f>N174*(1+'Scenario Modelling'!$B$3)</f>
        <v>7.5350000000000001</v>
      </c>
      <c r="AC174">
        <f>ROUNDUP(S174*(1+'Scenario Modelling'!$B$4),0)</f>
        <v>11</v>
      </c>
      <c r="AD174">
        <f t="shared" si="25"/>
        <v>106.71693999999999</v>
      </c>
      <c r="AE174">
        <f t="shared" si="26"/>
        <v>23.831939999999996</v>
      </c>
    </row>
    <row r="175" spans="1:31" x14ac:dyDescent="0.3">
      <c r="A175" s="31" t="s">
        <v>188</v>
      </c>
      <c r="B175" s="48">
        <v>45798</v>
      </c>
      <c r="C175" s="47" t="str">
        <f t="shared" si="19"/>
        <v>Q2-2025</v>
      </c>
      <c r="D175" s="32">
        <v>45805</v>
      </c>
      <c r="E175" s="17">
        <f t="shared" si="18"/>
        <v>7</v>
      </c>
      <c r="F175" s="33" t="s">
        <v>646</v>
      </c>
      <c r="G175" s="33" t="s">
        <v>661</v>
      </c>
      <c r="H175" s="33" t="s">
        <v>682</v>
      </c>
      <c r="I175" s="33" t="s">
        <v>703</v>
      </c>
      <c r="J175" s="33" t="s">
        <v>710</v>
      </c>
      <c r="K175" s="33" t="s">
        <v>719</v>
      </c>
      <c r="L175" s="33" t="s">
        <v>731</v>
      </c>
      <c r="M175" s="34" t="s">
        <v>907</v>
      </c>
      <c r="N175" s="35">
        <v>1263.8399999999999</v>
      </c>
      <c r="O175" s="35">
        <v>2281.7199999999998</v>
      </c>
      <c r="P175" s="30" t="str">
        <f t="shared" si="20"/>
        <v>High</v>
      </c>
      <c r="Q175" s="43">
        <v>7.8E-2</v>
      </c>
      <c r="R175" s="42" t="str">
        <f t="shared" si="21"/>
        <v>Low</v>
      </c>
      <c r="S175" s="17">
        <v>15</v>
      </c>
      <c r="T175" s="30">
        <v>31556.187599999997</v>
      </c>
      <c r="U175" s="30">
        <v>18957.599999999999</v>
      </c>
      <c r="V175" s="30">
        <v>12598.587599999999</v>
      </c>
      <c r="W175" s="30">
        <v>0.39924301882398494</v>
      </c>
      <c r="X175" t="str">
        <f t="shared" si="22"/>
        <v>On-time</v>
      </c>
      <c r="Y175" t="str">
        <f t="shared" si="23"/>
        <v>Compliant Discount</v>
      </c>
      <c r="Z175" s="9">
        <f>MIN(Q175,'Scenario Modelling'!$B$2)</f>
        <v>7.8E-2</v>
      </c>
      <c r="AA175">
        <f t="shared" si="24"/>
        <v>2103.74584</v>
      </c>
      <c r="AB175">
        <f>N175*(1+'Scenario Modelling'!$B$3)</f>
        <v>1390.2239999999999</v>
      </c>
      <c r="AC175">
        <f>ROUNDUP(S175*(1+'Scenario Modelling'!$B$4),0)</f>
        <v>16</v>
      </c>
      <c r="AD175">
        <f t="shared" si="25"/>
        <v>33659.933440000001</v>
      </c>
      <c r="AE175">
        <f t="shared" si="26"/>
        <v>11416.349440000002</v>
      </c>
    </row>
    <row r="176" spans="1:31" x14ac:dyDescent="0.3">
      <c r="A176" s="36" t="s">
        <v>189</v>
      </c>
      <c r="B176" s="49">
        <v>45435</v>
      </c>
      <c r="C176" s="47" t="str">
        <f t="shared" si="19"/>
        <v>Q2-2024</v>
      </c>
      <c r="D176" s="37">
        <v>45446</v>
      </c>
      <c r="E176" s="16">
        <f t="shared" si="18"/>
        <v>11</v>
      </c>
      <c r="F176" s="38" t="s">
        <v>646</v>
      </c>
      <c r="G176" s="38" t="s">
        <v>661</v>
      </c>
      <c r="H176" s="38" t="s">
        <v>682</v>
      </c>
      <c r="I176" s="38" t="s">
        <v>705</v>
      </c>
      <c r="J176" s="38" t="s">
        <v>710</v>
      </c>
      <c r="K176" s="38" t="s">
        <v>721</v>
      </c>
      <c r="L176" s="38" t="s">
        <v>728</v>
      </c>
      <c r="M176" s="39" t="s">
        <v>908</v>
      </c>
      <c r="N176" s="40">
        <v>180.89</v>
      </c>
      <c r="O176" s="40">
        <v>249.57</v>
      </c>
      <c r="P176" s="30" t="str">
        <f t="shared" si="20"/>
        <v>Low</v>
      </c>
      <c r="Q176" s="44">
        <v>2.1999999999999999E-2</v>
      </c>
      <c r="R176" s="42" t="str">
        <f t="shared" si="21"/>
        <v>Low</v>
      </c>
      <c r="S176" s="16">
        <v>8</v>
      </c>
      <c r="T176" s="30">
        <v>1952.6356799999999</v>
      </c>
      <c r="U176" s="30">
        <v>1447.12</v>
      </c>
      <c r="V176" s="30">
        <v>505.51567999999997</v>
      </c>
      <c r="W176" s="30">
        <v>0.25888888806948362</v>
      </c>
      <c r="X176" t="str">
        <f t="shared" si="22"/>
        <v>Delayed</v>
      </c>
      <c r="Y176" t="str">
        <f t="shared" si="23"/>
        <v>Compliant Discount</v>
      </c>
      <c r="Z176" s="9">
        <f>MIN(Q176,'Scenario Modelling'!$B$2)</f>
        <v>2.1999999999999999E-2</v>
      </c>
      <c r="AA176">
        <f t="shared" si="24"/>
        <v>244.07945999999998</v>
      </c>
      <c r="AB176">
        <f>N176*(1+'Scenario Modelling'!$B$3)</f>
        <v>198.97900000000001</v>
      </c>
      <c r="AC176">
        <f>ROUNDUP(S176*(1+'Scenario Modelling'!$B$4),0)</f>
        <v>9</v>
      </c>
      <c r="AD176">
        <f t="shared" si="25"/>
        <v>2196.7151399999998</v>
      </c>
      <c r="AE176">
        <f t="shared" si="26"/>
        <v>405.90413999999976</v>
      </c>
    </row>
    <row r="177" spans="1:31" x14ac:dyDescent="0.3">
      <c r="A177" s="31" t="s">
        <v>190</v>
      </c>
      <c r="B177" s="48">
        <v>45761</v>
      </c>
      <c r="C177" s="47" t="str">
        <f t="shared" si="19"/>
        <v>Q2-2025</v>
      </c>
      <c r="D177" s="32">
        <v>45781</v>
      </c>
      <c r="E177" s="17">
        <f t="shared" si="18"/>
        <v>20</v>
      </c>
      <c r="F177" s="33" t="s">
        <v>649</v>
      </c>
      <c r="G177" s="33" t="s">
        <v>658</v>
      </c>
      <c r="H177" s="33" t="s">
        <v>674</v>
      </c>
      <c r="I177" s="33" t="s">
        <v>706</v>
      </c>
      <c r="J177" s="33" t="s">
        <v>709</v>
      </c>
      <c r="K177" s="33" t="s">
        <v>723</v>
      </c>
      <c r="L177" s="33" t="s">
        <v>732</v>
      </c>
      <c r="M177" s="34" t="s">
        <v>909</v>
      </c>
      <c r="N177" s="35">
        <v>1413.87</v>
      </c>
      <c r="O177" s="35">
        <v>3275</v>
      </c>
      <c r="P177" s="30" t="str">
        <f t="shared" si="20"/>
        <v>High</v>
      </c>
      <c r="Q177" s="43">
        <v>0.255</v>
      </c>
      <c r="R177" s="42" t="str">
        <f t="shared" si="21"/>
        <v>High</v>
      </c>
      <c r="S177" s="17">
        <v>38</v>
      </c>
      <c r="T177" s="30">
        <v>92715.25</v>
      </c>
      <c r="U177" s="30">
        <v>53727.06</v>
      </c>
      <c r="V177" s="30">
        <v>38988.19</v>
      </c>
      <c r="W177" s="30">
        <v>0.42051539525590453</v>
      </c>
      <c r="X177" t="str">
        <f t="shared" si="22"/>
        <v>Delayed</v>
      </c>
      <c r="Y177" t="str">
        <f t="shared" si="23"/>
        <v>Non-compliant Discount</v>
      </c>
      <c r="Z177" s="9">
        <f>MIN(Q177,'Scenario Modelling'!$B$2)</f>
        <v>0.2</v>
      </c>
      <c r="AA177">
        <f t="shared" si="24"/>
        <v>2620</v>
      </c>
      <c r="AB177">
        <f>N177*(1+'Scenario Modelling'!$B$3)</f>
        <v>1555.2570000000001</v>
      </c>
      <c r="AC177">
        <f>ROUNDUP(S177*(1+'Scenario Modelling'!$B$4),0)</f>
        <v>40</v>
      </c>
      <c r="AD177">
        <f t="shared" si="25"/>
        <v>104800</v>
      </c>
      <c r="AE177">
        <f t="shared" si="26"/>
        <v>42589.72</v>
      </c>
    </row>
    <row r="178" spans="1:31" x14ac:dyDescent="0.3">
      <c r="A178" s="36" t="s">
        <v>191</v>
      </c>
      <c r="B178" s="49">
        <v>45165</v>
      </c>
      <c r="C178" s="47" t="str">
        <f t="shared" si="19"/>
        <v>Q3-2023</v>
      </c>
      <c r="D178" s="37">
        <v>45180</v>
      </c>
      <c r="E178" s="16">
        <f t="shared" si="18"/>
        <v>15</v>
      </c>
      <c r="F178" s="38" t="s">
        <v>649</v>
      </c>
      <c r="G178" s="38" t="s">
        <v>658</v>
      </c>
      <c r="H178" s="38" t="s">
        <v>683</v>
      </c>
      <c r="I178" s="38" t="s">
        <v>704</v>
      </c>
      <c r="J178" s="38" t="s">
        <v>709</v>
      </c>
      <c r="K178" s="38" t="s">
        <v>725</v>
      </c>
      <c r="L178" s="38" t="s">
        <v>728</v>
      </c>
      <c r="M178" s="39" t="s">
        <v>910</v>
      </c>
      <c r="N178" s="40">
        <v>943.79</v>
      </c>
      <c r="O178" s="40">
        <v>1913.76</v>
      </c>
      <c r="P178" s="30" t="str">
        <f t="shared" si="20"/>
        <v>High</v>
      </c>
      <c r="Q178" s="44">
        <v>9.0999999999999998E-2</v>
      </c>
      <c r="R178" s="42" t="str">
        <f t="shared" si="21"/>
        <v>Low</v>
      </c>
      <c r="S178" s="16">
        <v>9</v>
      </c>
      <c r="T178" s="30">
        <v>15656.47056</v>
      </c>
      <c r="U178" s="30">
        <v>8494.11</v>
      </c>
      <c r="V178" s="30">
        <v>7162.3605599999992</v>
      </c>
      <c r="W178" s="30">
        <v>0.45746967891338081</v>
      </c>
      <c r="X178" t="str">
        <f t="shared" si="22"/>
        <v>Delayed</v>
      </c>
      <c r="Y178" t="str">
        <f t="shared" si="23"/>
        <v>Compliant Discount</v>
      </c>
      <c r="Z178" s="9">
        <f>MIN(Q178,'Scenario Modelling'!$B$2)</f>
        <v>9.0999999999999998E-2</v>
      </c>
      <c r="AA178">
        <f t="shared" si="24"/>
        <v>1739.6078400000001</v>
      </c>
      <c r="AB178">
        <f>N178*(1+'Scenario Modelling'!$B$3)</f>
        <v>1038.1690000000001</v>
      </c>
      <c r="AC178">
        <f>ROUNDUP(S178*(1+'Scenario Modelling'!$B$4),0)</f>
        <v>10</v>
      </c>
      <c r="AD178">
        <f t="shared" si="25"/>
        <v>17396.078400000002</v>
      </c>
      <c r="AE178">
        <f t="shared" si="26"/>
        <v>7014.3883999999998</v>
      </c>
    </row>
    <row r="179" spans="1:31" x14ac:dyDescent="0.3">
      <c r="A179" s="31" t="s">
        <v>192</v>
      </c>
      <c r="B179" s="48">
        <v>45325</v>
      </c>
      <c r="C179" s="47" t="str">
        <f t="shared" si="19"/>
        <v>Q1-2024</v>
      </c>
      <c r="D179" s="32">
        <v>45343</v>
      </c>
      <c r="E179" s="17">
        <f t="shared" si="18"/>
        <v>18</v>
      </c>
      <c r="F179" s="33" t="s">
        <v>649</v>
      </c>
      <c r="G179" s="33" t="s">
        <v>656</v>
      </c>
      <c r="H179" s="33" t="s">
        <v>698</v>
      </c>
      <c r="I179" s="33" t="s">
        <v>701</v>
      </c>
      <c r="J179" s="33" t="s">
        <v>707</v>
      </c>
      <c r="K179" s="33" t="s">
        <v>722</v>
      </c>
      <c r="L179" s="33" t="s">
        <v>727</v>
      </c>
      <c r="M179" s="34" t="s">
        <v>911</v>
      </c>
      <c r="N179" s="35">
        <v>39.229999999999997</v>
      </c>
      <c r="O179" s="35">
        <v>30.09</v>
      </c>
      <c r="P179" s="30" t="str">
        <f t="shared" si="20"/>
        <v>Low</v>
      </c>
      <c r="Q179" s="43">
        <v>0.17699999999999999</v>
      </c>
      <c r="R179" s="42" t="str">
        <f t="shared" si="21"/>
        <v>Medium</v>
      </c>
      <c r="S179" s="17">
        <v>13</v>
      </c>
      <c r="T179" s="30">
        <v>321.93290999999999</v>
      </c>
      <c r="U179" s="30">
        <v>509.98999999999995</v>
      </c>
      <c r="V179" s="30">
        <v>-188.05708999999996</v>
      </c>
      <c r="W179" s="30">
        <v>-0.58414993981199359</v>
      </c>
      <c r="X179" t="str">
        <f t="shared" si="22"/>
        <v>Delayed</v>
      </c>
      <c r="Y179" t="str">
        <f t="shared" si="23"/>
        <v>Compliant Discount</v>
      </c>
      <c r="Z179" s="9">
        <f>MIN(Q179,'Scenario Modelling'!$B$2)</f>
        <v>0.17699999999999999</v>
      </c>
      <c r="AA179">
        <f t="shared" si="24"/>
        <v>24.76407</v>
      </c>
      <c r="AB179">
        <f>N179*(1+'Scenario Modelling'!$B$3)</f>
        <v>43.152999999999999</v>
      </c>
      <c r="AC179">
        <f>ROUNDUP(S179*(1+'Scenario Modelling'!$B$4),0)</f>
        <v>14</v>
      </c>
      <c r="AD179">
        <f t="shared" si="25"/>
        <v>346.69698</v>
      </c>
      <c r="AE179">
        <f t="shared" si="26"/>
        <v>-257.44502</v>
      </c>
    </row>
    <row r="180" spans="1:31" x14ac:dyDescent="0.3">
      <c r="A180" s="36" t="s">
        <v>193</v>
      </c>
      <c r="B180" s="49">
        <v>45021</v>
      </c>
      <c r="C180" s="47" t="str">
        <f t="shared" si="19"/>
        <v>Q2-2023</v>
      </c>
      <c r="D180" s="37">
        <v>45032</v>
      </c>
      <c r="E180" s="16">
        <f t="shared" si="18"/>
        <v>11</v>
      </c>
      <c r="F180" s="38" t="s">
        <v>648</v>
      </c>
      <c r="G180" s="38" t="s">
        <v>653</v>
      </c>
      <c r="H180" s="38" t="s">
        <v>688</v>
      </c>
      <c r="I180" s="38" t="s">
        <v>703</v>
      </c>
      <c r="J180" s="38" t="s">
        <v>708</v>
      </c>
      <c r="K180" s="38" t="s">
        <v>719</v>
      </c>
      <c r="L180" s="38" t="s">
        <v>732</v>
      </c>
      <c r="M180" s="39" t="s">
        <v>912</v>
      </c>
      <c r="N180" s="40">
        <v>213.1</v>
      </c>
      <c r="O180" s="40">
        <v>501.31</v>
      </c>
      <c r="P180" s="30" t="str">
        <f t="shared" si="20"/>
        <v>Low</v>
      </c>
      <c r="Q180" s="44">
        <v>5.6000000000000001E-2</v>
      </c>
      <c r="R180" s="42" t="str">
        <f t="shared" si="21"/>
        <v>Low</v>
      </c>
      <c r="S180" s="16">
        <v>15</v>
      </c>
      <c r="T180" s="30">
        <v>7098.5495999999994</v>
      </c>
      <c r="U180" s="30">
        <v>3196.5</v>
      </c>
      <c r="V180" s="30">
        <v>3902.0495999999994</v>
      </c>
      <c r="W180" s="30">
        <v>0.54969674368409005</v>
      </c>
      <c r="X180" t="str">
        <f t="shared" si="22"/>
        <v>Delayed</v>
      </c>
      <c r="Y180" t="str">
        <f t="shared" si="23"/>
        <v>Compliant Discount</v>
      </c>
      <c r="Z180" s="9">
        <f>MIN(Q180,'Scenario Modelling'!$B$2)</f>
        <v>5.6000000000000001E-2</v>
      </c>
      <c r="AA180">
        <f t="shared" si="24"/>
        <v>473.23663999999997</v>
      </c>
      <c r="AB180">
        <f>N180*(1+'Scenario Modelling'!$B$3)</f>
        <v>234.41000000000003</v>
      </c>
      <c r="AC180">
        <f>ROUNDUP(S180*(1+'Scenario Modelling'!$B$4),0)</f>
        <v>16</v>
      </c>
      <c r="AD180">
        <f t="shared" si="25"/>
        <v>7571.7862399999995</v>
      </c>
      <c r="AE180">
        <f t="shared" si="26"/>
        <v>3821.2262399999991</v>
      </c>
    </row>
    <row r="181" spans="1:31" x14ac:dyDescent="0.3">
      <c r="A181" s="31" t="s">
        <v>194</v>
      </c>
      <c r="B181" s="48">
        <v>45890</v>
      </c>
      <c r="C181" s="47" t="str">
        <f t="shared" si="19"/>
        <v>Q3-2025</v>
      </c>
      <c r="D181" s="32">
        <v>45912</v>
      </c>
      <c r="E181" s="17">
        <f t="shared" si="18"/>
        <v>22</v>
      </c>
      <c r="F181" s="33" t="s">
        <v>647</v>
      </c>
      <c r="G181" s="33" t="s">
        <v>659</v>
      </c>
      <c r="H181" s="33" t="s">
        <v>676</v>
      </c>
      <c r="I181" s="33" t="s">
        <v>702</v>
      </c>
      <c r="J181" s="33" t="s">
        <v>707</v>
      </c>
      <c r="K181" s="33" t="s">
        <v>717</v>
      </c>
      <c r="L181" s="33" t="s">
        <v>728</v>
      </c>
      <c r="M181" s="34" t="s">
        <v>913</v>
      </c>
      <c r="N181" s="35">
        <v>352.66</v>
      </c>
      <c r="O181" s="35">
        <v>411.18</v>
      </c>
      <c r="P181" s="30" t="str">
        <f t="shared" si="20"/>
        <v>Low</v>
      </c>
      <c r="Q181" s="43">
        <v>0.17299999999999999</v>
      </c>
      <c r="R181" s="42" t="str">
        <f t="shared" si="21"/>
        <v>Medium</v>
      </c>
      <c r="S181" s="17">
        <v>13</v>
      </c>
      <c r="T181" s="30">
        <v>4420.5961799999995</v>
      </c>
      <c r="U181" s="30">
        <v>4584.58</v>
      </c>
      <c r="V181" s="30">
        <v>-163.98382000000038</v>
      </c>
      <c r="W181" s="30">
        <v>-3.7095408248758066E-2</v>
      </c>
      <c r="X181" t="str">
        <f t="shared" si="22"/>
        <v>Delayed</v>
      </c>
      <c r="Y181" t="str">
        <f t="shared" si="23"/>
        <v>Compliant Discount</v>
      </c>
      <c r="Z181" s="9">
        <f>MIN(Q181,'Scenario Modelling'!$B$2)</f>
        <v>0.17299999999999999</v>
      </c>
      <c r="AA181">
        <f t="shared" si="24"/>
        <v>340.04586</v>
      </c>
      <c r="AB181">
        <f>N181*(1+'Scenario Modelling'!$B$3)</f>
        <v>387.92600000000004</v>
      </c>
      <c r="AC181">
        <f>ROUNDUP(S181*(1+'Scenario Modelling'!$B$4),0)</f>
        <v>14</v>
      </c>
      <c r="AD181">
        <f t="shared" si="25"/>
        <v>4760.6420399999997</v>
      </c>
      <c r="AE181">
        <f t="shared" si="26"/>
        <v>-670.32196000000056</v>
      </c>
    </row>
    <row r="182" spans="1:31" x14ac:dyDescent="0.3">
      <c r="A182" s="36" t="s">
        <v>195</v>
      </c>
      <c r="B182" s="49">
        <v>45915</v>
      </c>
      <c r="C182" s="47" t="str">
        <f t="shared" si="19"/>
        <v>Q3-2025</v>
      </c>
      <c r="D182" s="37">
        <v>45918</v>
      </c>
      <c r="E182" s="16">
        <f t="shared" si="18"/>
        <v>3</v>
      </c>
      <c r="F182" s="38" t="s">
        <v>648</v>
      </c>
      <c r="G182" s="38" t="s">
        <v>655</v>
      </c>
      <c r="H182" s="38" t="s">
        <v>692</v>
      </c>
      <c r="I182" s="38" t="s">
        <v>703</v>
      </c>
      <c r="J182" s="38" t="s">
        <v>711</v>
      </c>
      <c r="K182" s="38" t="s">
        <v>716</v>
      </c>
      <c r="L182" s="38" t="s">
        <v>733</v>
      </c>
      <c r="M182" s="39" t="s">
        <v>914</v>
      </c>
      <c r="N182" s="40">
        <v>5.5</v>
      </c>
      <c r="O182" s="40">
        <v>5.92</v>
      </c>
      <c r="P182" s="30" t="str">
        <f t="shared" si="20"/>
        <v>Low</v>
      </c>
      <c r="Q182" s="44">
        <v>0.21199999999999999</v>
      </c>
      <c r="R182" s="42" t="str">
        <f t="shared" si="21"/>
        <v>High</v>
      </c>
      <c r="S182" s="16">
        <v>4</v>
      </c>
      <c r="T182" s="30">
        <v>18.659839999999999</v>
      </c>
      <c r="U182" s="30">
        <v>22</v>
      </c>
      <c r="V182" s="30">
        <v>-3.3401600000000009</v>
      </c>
      <c r="W182" s="30">
        <v>-0.17900260666758133</v>
      </c>
      <c r="X182" t="str">
        <f t="shared" si="22"/>
        <v>On-time</v>
      </c>
      <c r="Y182" t="str">
        <f t="shared" si="23"/>
        <v>Non-compliant Discount</v>
      </c>
      <c r="Z182" s="9">
        <f>MIN(Q182,'Scenario Modelling'!$B$2)</f>
        <v>0.2</v>
      </c>
      <c r="AA182">
        <f t="shared" si="24"/>
        <v>4.7359999999999998</v>
      </c>
      <c r="AB182">
        <f>N182*(1+'Scenario Modelling'!$B$3)</f>
        <v>6.0500000000000007</v>
      </c>
      <c r="AC182">
        <f>ROUNDUP(S182*(1+'Scenario Modelling'!$B$4),0)</f>
        <v>5</v>
      </c>
      <c r="AD182">
        <f t="shared" si="25"/>
        <v>23.68</v>
      </c>
      <c r="AE182">
        <f t="shared" si="26"/>
        <v>-6.5700000000000047</v>
      </c>
    </row>
    <row r="183" spans="1:31" x14ac:dyDescent="0.3">
      <c r="A183" s="31" t="s">
        <v>196</v>
      </c>
      <c r="B183" s="48">
        <v>45568</v>
      </c>
      <c r="C183" s="47" t="str">
        <f t="shared" si="19"/>
        <v>Q4-2024</v>
      </c>
      <c r="D183" s="32">
        <v>45576</v>
      </c>
      <c r="E183" s="17">
        <f t="shared" si="18"/>
        <v>8</v>
      </c>
      <c r="F183" s="33" t="s">
        <v>647</v>
      </c>
      <c r="G183" s="33" t="s">
        <v>659</v>
      </c>
      <c r="H183" s="33" t="s">
        <v>699</v>
      </c>
      <c r="I183" s="33" t="s">
        <v>706</v>
      </c>
      <c r="J183" s="33" t="s">
        <v>711</v>
      </c>
      <c r="K183" s="33" t="s">
        <v>717</v>
      </c>
      <c r="L183" s="33" t="s">
        <v>730</v>
      </c>
      <c r="M183" s="34" t="s">
        <v>915</v>
      </c>
      <c r="N183" s="35">
        <v>1132.6099999999999</v>
      </c>
      <c r="O183" s="35">
        <v>2206.63</v>
      </c>
      <c r="P183" s="30" t="str">
        <f t="shared" si="20"/>
        <v>High</v>
      </c>
      <c r="Q183" s="43">
        <v>6.3E-2</v>
      </c>
      <c r="R183" s="42" t="str">
        <f t="shared" si="21"/>
        <v>Low</v>
      </c>
      <c r="S183" s="17">
        <v>20</v>
      </c>
      <c r="T183" s="30">
        <v>41352.246200000009</v>
      </c>
      <c r="U183" s="30">
        <v>22652.199999999997</v>
      </c>
      <c r="V183" s="30">
        <v>18700.046200000012</v>
      </c>
      <c r="W183" s="30">
        <v>0.45221355351671338</v>
      </c>
      <c r="X183" t="str">
        <f t="shared" si="22"/>
        <v>Delayed</v>
      </c>
      <c r="Y183" t="str">
        <f t="shared" si="23"/>
        <v>Compliant Discount</v>
      </c>
      <c r="Z183" s="9">
        <f>MIN(Q183,'Scenario Modelling'!$B$2)</f>
        <v>6.3E-2</v>
      </c>
      <c r="AA183">
        <f t="shared" si="24"/>
        <v>2067.6123100000004</v>
      </c>
      <c r="AB183">
        <f>N183*(1+'Scenario Modelling'!$B$3)</f>
        <v>1245.8710000000001</v>
      </c>
      <c r="AC183">
        <f>ROUNDUP(S183*(1+'Scenario Modelling'!$B$4),0)</f>
        <v>21</v>
      </c>
      <c r="AD183">
        <f t="shared" si="25"/>
        <v>43419.858510000005</v>
      </c>
      <c r="AE183">
        <f t="shared" si="26"/>
        <v>17256.567510000008</v>
      </c>
    </row>
    <row r="184" spans="1:31" x14ac:dyDescent="0.3">
      <c r="A184" s="36" t="s">
        <v>197</v>
      </c>
      <c r="B184" s="49">
        <v>45690</v>
      </c>
      <c r="C184" s="47" t="str">
        <f t="shared" si="19"/>
        <v>Q1-2025</v>
      </c>
      <c r="D184" s="37">
        <v>45720</v>
      </c>
      <c r="E184" s="16">
        <f t="shared" si="18"/>
        <v>30</v>
      </c>
      <c r="F184" s="38" t="s">
        <v>647</v>
      </c>
      <c r="G184" s="38" t="s">
        <v>652</v>
      </c>
      <c r="H184" s="38" t="s">
        <v>666</v>
      </c>
      <c r="I184" s="38" t="s">
        <v>702</v>
      </c>
      <c r="J184" s="38" t="s">
        <v>710</v>
      </c>
      <c r="K184" s="38" t="s">
        <v>716</v>
      </c>
      <c r="L184" s="38" t="s">
        <v>733</v>
      </c>
      <c r="M184" s="39" t="s">
        <v>916</v>
      </c>
      <c r="N184" s="40">
        <v>766.59</v>
      </c>
      <c r="O184" s="40">
        <v>1912.8</v>
      </c>
      <c r="P184" s="30" t="str">
        <f t="shared" si="20"/>
        <v>High</v>
      </c>
      <c r="Q184" s="44">
        <v>0.19600000000000001</v>
      </c>
      <c r="R184" s="42" t="str">
        <f t="shared" si="21"/>
        <v>Medium</v>
      </c>
      <c r="S184" s="16">
        <v>5</v>
      </c>
      <c r="T184" s="30">
        <v>7689.4560000000001</v>
      </c>
      <c r="U184" s="30">
        <v>3832.9500000000003</v>
      </c>
      <c r="V184" s="30">
        <v>3856.5059999999999</v>
      </c>
      <c r="W184" s="30">
        <v>0.50153170783472845</v>
      </c>
      <c r="X184" t="str">
        <f t="shared" si="22"/>
        <v>Delayed</v>
      </c>
      <c r="Y184" t="str">
        <f t="shared" si="23"/>
        <v>Compliant Discount</v>
      </c>
      <c r="Z184" s="9">
        <f>MIN(Q184,'Scenario Modelling'!$B$2)</f>
        <v>0.19600000000000001</v>
      </c>
      <c r="AA184">
        <f t="shared" si="24"/>
        <v>1537.8912</v>
      </c>
      <c r="AB184">
        <f>N184*(1+'Scenario Modelling'!$B$3)</f>
        <v>843.24900000000014</v>
      </c>
      <c r="AC184">
        <f>ROUNDUP(S184*(1+'Scenario Modelling'!$B$4),0)</f>
        <v>6</v>
      </c>
      <c r="AD184">
        <f t="shared" si="25"/>
        <v>9227.3472000000002</v>
      </c>
      <c r="AE184">
        <f t="shared" si="26"/>
        <v>4167.8531999999996</v>
      </c>
    </row>
    <row r="185" spans="1:31" x14ac:dyDescent="0.3">
      <c r="A185" s="31" t="s">
        <v>198</v>
      </c>
      <c r="B185" s="48">
        <v>45157</v>
      </c>
      <c r="C185" s="47" t="str">
        <f t="shared" si="19"/>
        <v>Q3-2023</v>
      </c>
      <c r="D185" s="32">
        <v>45161</v>
      </c>
      <c r="E185" s="17">
        <f t="shared" si="18"/>
        <v>4</v>
      </c>
      <c r="F185" s="33" t="s">
        <v>646</v>
      </c>
      <c r="G185" s="33" t="s">
        <v>651</v>
      </c>
      <c r="H185" s="33" t="s">
        <v>669</v>
      </c>
      <c r="I185" s="33" t="s">
        <v>705</v>
      </c>
      <c r="J185" s="33" t="s">
        <v>708</v>
      </c>
      <c r="K185" s="33" t="s">
        <v>713</v>
      </c>
      <c r="L185" s="33" t="s">
        <v>732</v>
      </c>
      <c r="M185" s="34" t="s">
        <v>917</v>
      </c>
      <c r="N185" s="35">
        <v>790.63</v>
      </c>
      <c r="O185" s="35">
        <v>1382.31</v>
      </c>
      <c r="P185" s="30" t="str">
        <f t="shared" si="20"/>
        <v>Medium</v>
      </c>
      <c r="Q185" s="43">
        <v>0.10100000000000001</v>
      </c>
      <c r="R185" s="42" t="str">
        <f t="shared" si="21"/>
        <v>Medium</v>
      </c>
      <c r="S185" s="17">
        <v>7</v>
      </c>
      <c r="T185" s="30">
        <v>8698.8768300000011</v>
      </c>
      <c r="U185" s="30">
        <v>5534.41</v>
      </c>
      <c r="V185" s="30">
        <v>3164.4668300000012</v>
      </c>
      <c r="W185" s="30">
        <v>0.36377878338116448</v>
      </c>
      <c r="X185" t="str">
        <f t="shared" si="22"/>
        <v>On-time</v>
      </c>
      <c r="Y185" t="str">
        <f t="shared" si="23"/>
        <v>Compliant Discount</v>
      </c>
      <c r="Z185" s="9">
        <f>MIN(Q185,'Scenario Modelling'!$B$2)</f>
        <v>0.10100000000000001</v>
      </c>
      <c r="AA185">
        <f t="shared" si="24"/>
        <v>1242.69669</v>
      </c>
      <c r="AB185">
        <f>N185*(1+'Scenario Modelling'!$B$3)</f>
        <v>869.6930000000001</v>
      </c>
      <c r="AC185">
        <f>ROUNDUP(S185*(1+'Scenario Modelling'!$B$4),0)</f>
        <v>8</v>
      </c>
      <c r="AD185">
        <f t="shared" si="25"/>
        <v>9941.5735199999999</v>
      </c>
      <c r="AE185">
        <f t="shared" si="26"/>
        <v>2984.0295199999991</v>
      </c>
    </row>
    <row r="186" spans="1:31" x14ac:dyDescent="0.3">
      <c r="A186" s="36" t="s">
        <v>199</v>
      </c>
      <c r="B186" s="49">
        <v>45587</v>
      </c>
      <c r="C186" s="47" t="str">
        <f t="shared" si="19"/>
        <v>Q4-2024</v>
      </c>
      <c r="D186" s="37">
        <v>45594</v>
      </c>
      <c r="E186" s="16">
        <f t="shared" si="18"/>
        <v>7</v>
      </c>
      <c r="F186" s="38" t="s">
        <v>646</v>
      </c>
      <c r="G186" s="38" t="s">
        <v>651</v>
      </c>
      <c r="H186" s="38" t="s">
        <v>663</v>
      </c>
      <c r="I186" s="38" t="s">
        <v>706</v>
      </c>
      <c r="J186" s="38" t="s">
        <v>710</v>
      </c>
      <c r="K186" s="38" t="s">
        <v>724</v>
      </c>
      <c r="L186" s="38" t="s">
        <v>732</v>
      </c>
      <c r="M186" s="39" t="s">
        <v>918</v>
      </c>
      <c r="N186" s="40">
        <v>1023.06</v>
      </c>
      <c r="O186" s="40">
        <v>1355.61</v>
      </c>
      <c r="P186" s="30" t="str">
        <f t="shared" si="20"/>
        <v>Medium</v>
      </c>
      <c r="Q186" s="44">
        <v>0.153</v>
      </c>
      <c r="R186" s="42" t="str">
        <f t="shared" si="21"/>
        <v>Medium</v>
      </c>
      <c r="S186" s="16">
        <v>23</v>
      </c>
      <c r="T186" s="30">
        <v>26408.63841</v>
      </c>
      <c r="U186" s="30">
        <v>23530.379999999997</v>
      </c>
      <c r="V186" s="30">
        <v>2878.2584100000022</v>
      </c>
      <c r="W186" s="30">
        <v>0.10898927711888809</v>
      </c>
      <c r="X186" t="str">
        <f t="shared" si="22"/>
        <v>On-time</v>
      </c>
      <c r="Y186" t="str">
        <f t="shared" si="23"/>
        <v>Compliant Discount</v>
      </c>
      <c r="Z186" s="9">
        <f>MIN(Q186,'Scenario Modelling'!$B$2)</f>
        <v>0.153</v>
      </c>
      <c r="AA186">
        <f t="shared" si="24"/>
        <v>1148.2016699999999</v>
      </c>
      <c r="AB186">
        <f>N186*(1+'Scenario Modelling'!$B$3)</f>
        <v>1125.366</v>
      </c>
      <c r="AC186">
        <f>ROUNDUP(S186*(1+'Scenario Modelling'!$B$4),0)</f>
        <v>25</v>
      </c>
      <c r="AD186">
        <f t="shared" si="25"/>
        <v>28705.041749999997</v>
      </c>
      <c r="AE186">
        <f t="shared" si="26"/>
        <v>570.89174999999841</v>
      </c>
    </row>
    <row r="187" spans="1:31" x14ac:dyDescent="0.3">
      <c r="A187" s="31" t="s">
        <v>200</v>
      </c>
      <c r="B187" s="48">
        <v>45099</v>
      </c>
      <c r="C187" s="47" t="str">
        <f t="shared" si="19"/>
        <v>Q2-2023</v>
      </c>
      <c r="D187" s="32">
        <v>45128</v>
      </c>
      <c r="E187" s="17">
        <f t="shared" si="18"/>
        <v>29</v>
      </c>
      <c r="F187" s="33" t="s">
        <v>649</v>
      </c>
      <c r="G187" s="33" t="s">
        <v>657</v>
      </c>
      <c r="H187" s="33" t="s">
        <v>679</v>
      </c>
      <c r="I187" s="33" t="s">
        <v>701</v>
      </c>
      <c r="J187" s="33" t="s">
        <v>707</v>
      </c>
      <c r="K187" s="33" t="s">
        <v>713</v>
      </c>
      <c r="L187" s="33" t="s">
        <v>733</v>
      </c>
      <c r="M187" s="34" t="s">
        <v>919</v>
      </c>
      <c r="N187" s="35">
        <v>734.34</v>
      </c>
      <c r="O187" s="35">
        <v>887.9</v>
      </c>
      <c r="P187" s="30" t="str">
        <f t="shared" si="20"/>
        <v>Medium</v>
      </c>
      <c r="Q187" s="43">
        <v>2.5000000000000001E-2</v>
      </c>
      <c r="R187" s="42" t="str">
        <f t="shared" si="21"/>
        <v>Low</v>
      </c>
      <c r="S187" s="17">
        <v>12</v>
      </c>
      <c r="T187" s="30">
        <v>10388.429999999998</v>
      </c>
      <c r="U187" s="30">
        <v>8812.08</v>
      </c>
      <c r="V187" s="30">
        <v>1576.3499999999985</v>
      </c>
      <c r="W187" s="30">
        <v>0.15174092716608753</v>
      </c>
      <c r="X187" t="str">
        <f t="shared" si="22"/>
        <v>Delayed</v>
      </c>
      <c r="Y187" t="str">
        <f t="shared" si="23"/>
        <v>Compliant Discount</v>
      </c>
      <c r="Z187" s="9">
        <f>MIN(Q187,'Scenario Modelling'!$B$2)</f>
        <v>2.5000000000000001E-2</v>
      </c>
      <c r="AA187">
        <f t="shared" si="24"/>
        <v>865.70249999999999</v>
      </c>
      <c r="AB187">
        <f>N187*(1+'Scenario Modelling'!$B$3)</f>
        <v>807.77400000000011</v>
      </c>
      <c r="AC187">
        <f>ROUNDUP(S187*(1+'Scenario Modelling'!$B$4),0)</f>
        <v>13</v>
      </c>
      <c r="AD187">
        <f t="shared" si="25"/>
        <v>11254.1325</v>
      </c>
      <c r="AE187">
        <f t="shared" si="26"/>
        <v>753.07049999999833</v>
      </c>
    </row>
    <row r="188" spans="1:31" x14ac:dyDescent="0.3">
      <c r="A188" s="36" t="s">
        <v>201</v>
      </c>
      <c r="B188" s="49">
        <v>45670</v>
      </c>
      <c r="C188" s="47" t="str">
        <f t="shared" si="19"/>
        <v>Q1-2025</v>
      </c>
      <c r="D188" s="37">
        <v>45696</v>
      </c>
      <c r="E188" s="16">
        <f t="shared" si="18"/>
        <v>26</v>
      </c>
      <c r="F188" s="38" t="s">
        <v>649</v>
      </c>
      <c r="G188" s="38" t="s">
        <v>657</v>
      </c>
      <c r="H188" s="38" t="s">
        <v>690</v>
      </c>
      <c r="I188" s="38" t="s">
        <v>703</v>
      </c>
      <c r="J188" s="38" t="s">
        <v>1424</v>
      </c>
      <c r="K188" s="38" t="s">
        <v>718</v>
      </c>
      <c r="L188" s="38" t="s">
        <v>732</v>
      </c>
      <c r="M188" s="39" t="s">
        <v>920</v>
      </c>
      <c r="N188" s="40">
        <v>594.74</v>
      </c>
      <c r="O188" s="40">
        <v>1020.69</v>
      </c>
      <c r="P188" s="30" t="str">
        <f t="shared" si="20"/>
        <v>Medium</v>
      </c>
      <c r="Q188" s="44">
        <v>0.21099999999999999</v>
      </c>
      <c r="R188" s="42" t="str">
        <f t="shared" si="21"/>
        <v>High</v>
      </c>
      <c r="S188" s="16">
        <v>6</v>
      </c>
      <c r="T188" s="30">
        <v>4831.9464600000001</v>
      </c>
      <c r="U188" s="30">
        <v>3568.44</v>
      </c>
      <c r="V188" s="30">
        <v>1263.5064600000001</v>
      </c>
      <c r="W188" s="30">
        <v>0.26149016146176424</v>
      </c>
      <c r="X188" t="str">
        <f t="shared" si="22"/>
        <v>Delayed</v>
      </c>
      <c r="Y188" t="str">
        <f t="shared" si="23"/>
        <v>Non-compliant Discount</v>
      </c>
      <c r="Z188" s="9">
        <f>MIN(Q188,'Scenario Modelling'!$B$2)</f>
        <v>0.2</v>
      </c>
      <c r="AA188">
        <f t="shared" si="24"/>
        <v>816.55200000000013</v>
      </c>
      <c r="AB188">
        <f>N188*(1+'Scenario Modelling'!$B$3)</f>
        <v>654.21400000000006</v>
      </c>
      <c r="AC188">
        <f>ROUNDUP(S188*(1+'Scenario Modelling'!$B$4),0)</f>
        <v>7</v>
      </c>
      <c r="AD188">
        <f t="shared" si="25"/>
        <v>5715.8640000000014</v>
      </c>
      <c r="AE188">
        <f t="shared" si="26"/>
        <v>1136.3660000000004</v>
      </c>
    </row>
    <row r="189" spans="1:31" x14ac:dyDescent="0.3">
      <c r="A189" s="31" t="s">
        <v>202</v>
      </c>
      <c r="B189" s="48">
        <v>45126</v>
      </c>
      <c r="C189" s="47" t="str">
        <f t="shared" si="19"/>
        <v>Q3-2023</v>
      </c>
      <c r="D189" s="32">
        <v>45138</v>
      </c>
      <c r="E189" s="17">
        <f t="shared" si="18"/>
        <v>12</v>
      </c>
      <c r="F189" s="33" t="s">
        <v>648</v>
      </c>
      <c r="G189" s="33" t="s">
        <v>655</v>
      </c>
      <c r="H189" s="33" t="s">
        <v>692</v>
      </c>
      <c r="I189" s="33" t="s">
        <v>701</v>
      </c>
      <c r="J189" s="33" t="s">
        <v>707</v>
      </c>
      <c r="K189" s="33" t="s">
        <v>712</v>
      </c>
      <c r="L189" s="33" t="s">
        <v>732</v>
      </c>
      <c r="M189" s="34" t="s">
        <v>922</v>
      </c>
      <c r="N189" s="35">
        <v>1334.64</v>
      </c>
      <c r="O189" s="35">
        <v>2273.42</v>
      </c>
      <c r="P189" s="30" t="str">
        <f t="shared" si="20"/>
        <v>High</v>
      </c>
      <c r="Q189" s="43">
        <v>0.11799999999999999</v>
      </c>
      <c r="R189" s="42" t="str">
        <f t="shared" si="21"/>
        <v>Medium</v>
      </c>
      <c r="S189" s="17">
        <v>14</v>
      </c>
      <c r="T189" s="30">
        <v>28072.190160000002</v>
      </c>
      <c r="U189" s="30">
        <v>18684.960000000003</v>
      </c>
      <c r="V189" s="30">
        <v>9387.2301599999992</v>
      </c>
      <c r="W189" s="30">
        <v>0.33439607335575267</v>
      </c>
      <c r="X189" t="str">
        <f t="shared" si="22"/>
        <v>Delayed</v>
      </c>
      <c r="Y189" t="str">
        <f t="shared" si="23"/>
        <v>Compliant Discount</v>
      </c>
      <c r="Z189" s="9">
        <f>MIN(Q189,'Scenario Modelling'!$B$2)</f>
        <v>0.11799999999999999</v>
      </c>
      <c r="AA189">
        <f t="shared" si="24"/>
        <v>2005.15644</v>
      </c>
      <c r="AB189">
        <f>N189*(1+'Scenario Modelling'!$B$3)</f>
        <v>1468.1040000000003</v>
      </c>
      <c r="AC189">
        <f>ROUNDUP(S189*(1+'Scenario Modelling'!$B$4),0)</f>
        <v>15</v>
      </c>
      <c r="AD189">
        <f t="shared" si="25"/>
        <v>30077.346600000001</v>
      </c>
      <c r="AE189">
        <f t="shared" si="26"/>
        <v>8055.7865999999958</v>
      </c>
    </row>
    <row r="190" spans="1:31" x14ac:dyDescent="0.3">
      <c r="A190" s="36" t="s">
        <v>203</v>
      </c>
      <c r="B190" s="49">
        <v>45431</v>
      </c>
      <c r="C190" s="47" t="str">
        <f t="shared" si="19"/>
        <v>Q2-2024</v>
      </c>
      <c r="D190" s="37">
        <v>45451</v>
      </c>
      <c r="E190" s="16">
        <f t="shared" si="18"/>
        <v>20</v>
      </c>
      <c r="F190" s="38" t="s">
        <v>648</v>
      </c>
      <c r="G190" s="38" t="s">
        <v>655</v>
      </c>
      <c r="H190" s="38" t="s">
        <v>672</v>
      </c>
      <c r="I190" s="38" t="s">
        <v>705</v>
      </c>
      <c r="J190" s="38" t="s">
        <v>707</v>
      </c>
      <c r="K190" s="38" t="s">
        <v>718</v>
      </c>
      <c r="L190" s="38" t="s">
        <v>732</v>
      </c>
      <c r="M190" s="39" t="s">
        <v>923</v>
      </c>
      <c r="N190" s="40">
        <v>1075.9000000000001</v>
      </c>
      <c r="O190" s="40">
        <v>1242.1500000000001</v>
      </c>
      <c r="P190" s="30" t="str">
        <f t="shared" si="20"/>
        <v>Medium</v>
      </c>
      <c r="Q190" s="44">
        <v>1.2E-2</v>
      </c>
      <c r="R190" s="42" t="str">
        <f t="shared" si="21"/>
        <v>Low</v>
      </c>
      <c r="S190" s="16">
        <v>7</v>
      </c>
      <c r="T190" s="30">
        <v>8590.7094000000016</v>
      </c>
      <c r="U190" s="30">
        <v>7531.3000000000011</v>
      </c>
      <c r="V190" s="30">
        <v>1059.4094000000005</v>
      </c>
      <c r="W190" s="30">
        <v>0.12332036280961853</v>
      </c>
      <c r="X190" t="str">
        <f t="shared" si="22"/>
        <v>Delayed</v>
      </c>
      <c r="Y190" t="str">
        <f t="shared" si="23"/>
        <v>Compliant Discount</v>
      </c>
      <c r="Z190" s="9">
        <f>MIN(Q190,'Scenario Modelling'!$B$2)</f>
        <v>1.2E-2</v>
      </c>
      <c r="AA190">
        <f t="shared" si="24"/>
        <v>1227.2442000000001</v>
      </c>
      <c r="AB190">
        <f>N190*(1+'Scenario Modelling'!$B$3)</f>
        <v>1183.4900000000002</v>
      </c>
      <c r="AC190">
        <f>ROUNDUP(S190*(1+'Scenario Modelling'!$B$4),0)</f>
        <v>8</v>
      </c>
      <c r="AD190">
        <f t="shared" si="25"/>
        <v>9817.9536000000007</v>
      </c>
      <c r="AE190">
        <f t="shared" si="26"/>
        <v>350.03359999999884</v>
      </c>
    </row>
    <row r="191" spans="1:31" x14ac:dyDescent="0.3">
      <c r="A191" s="31" t="s">
        <v>204</v>
      </c>
      <c r="B191" s="48">
        <v>45325</v>
      </c>
      <c r="C191" s="47" t="str">
        <f t="shared" si="19"/>
        <v>Q1-2024</v>
      </c>
      <c r="D191" s="32">
        <v>45341</v>
      </c>
      <c r="E191" s="17">
        <f t="shared" si="18"/>
        <v>16</v>
      </c>
      <c r="F191" s="33" t="s">
        <v>647</v>
      </c>
      <c r="G191" s="33" t="s">
        <v>659</v>
      </c>
      <c r="H191" s="33" t="s">
        <v>676</v>
      </c>
      <c r="I191" s="33" t="s">
        <v>705</v>
      </c>
      <c r="J191" s="33" t="s">
        <v>708</v>
      </c>
      <c r="K191" s="33" t="s">
        <v>722</v>
      </c>
      <c r="L191" s="33" t="s">
        <v>731</v>
      </c>
      <c r="M191" s="34" t="s">
        <v>924</v>
      </c>
      <c r="N191" s="35">
        <v>993.75</v>
      </c>
      <c r="O191" s="35">
        <v>1310.29</v>
      </c>
      <c r="P191" s="30" t="str">
        <f t="shared" si="20"/>
        <v>Medium</v>
      </c>
      <c r="Q191" s="43">
        <v>0.215</v>
      </c>
      <c r="R191" s="42" t="str">
        <f t="shared" si="21"/>
        <v>High</v>
      </c>
      <c r="S191" s="17">
        <v>19</v>
      </c>
      <c r="T191" s="30">
        <v>19542.975350000001</v>
      </c>
      <c r="U191" s="30">
        <v>18881.25</v>
      </c>
      <c r="V191" s="30">
        <v>661.72535000000062</v>
      </c>
      <c r="W191" s="30">
        <v>3.3860010471742245E-2</v>
      </c>
      <c r="X191" t="str">
        <f t="shared" si="22"/>
        <v>Delayed</v>
      </c>
      <c r="Y191" t="str">
        <f t="shared" si="23"/>
        <v>Non-compliant Discount</v>
      </c>
      <c r="Z191" s="9">
        <f>MIN(Q191,'Scenario Modelling'!$B$2)</f>
        <v>0.2</v>
      </c>
      <c r="AA191">
        <f t="shared" si="24"/>
        <v>1048.232</v>
      </c>
      <c r="AB191">
        <f>N191*(1+'Scenario Modelling'!$B$3)</f>
        <v>1093.125</v>
      </c>
      <c r="AC191">
        <f>ROUNDUP(S191*(1+'Scenario Modelling'!$B$4),0)</f>
        <v>20</v>
      </c>
      <c r="AD191">
        <f t="shared" si="25"/>
        <v>20964.64</v>
      </c>
      <c r="AE191">
        <f t="shared" si="26"/>
        <v>-897.86000000000058</v>
      </c>
    </row>
    <row r="192" spans="1:31" x14ac:dyDescent="0.3">
      <c r="A192" s="36" t="s">
        <v>205</v>
      </c>
      <c r="B192" s="49">
        <v>45146</v>
      </c>
      <c r="C192" s="47" t="str">
        <f t="shared" si="19"/>
        <v>Q3-2023</v>
      </c>
      <c r="D192" s="37">
        <v>45160</v>
      </c>
      <c r="E192" s="16">
        <f t="shared" si="18"/>
        <v>14</v>
      </c>
      <c r="F192" s="38" t="s">
        <v>649</v>
      </c>
      <c r="G192" s="38" t="s">
        <v>658</v>
      </c>
      <c r="H192" s="38" t="s">
        <v>674</v>
      </c>
      <c r="I192" s="38" t="s">
        <v>703</v>
      </c>
      <c r="J192" s="38" t="s">
        <v>711</v>
      </c>
      <c r="K192" s="38" t="s">
        <v>725</v>
      </c>
      <c r="L192" s="38" t="s">
        <v>732</v>
      </c>
      <c r="M192" s="39" t="s">
        <v>925</v>
      </c>
      <c r="N192" s="40">
        <v>446.69</v>
      </c>
      <c r="O192" s="40">
        <v>967.25</v>
      </c>
      <c r="P192" s="30" t="str">
        <f t="shared" si="20"/>
        <v>Medium</v>
      </c>
      <c r="Q192" s="44">
        <v>9.4E-2</v>
      </c>
      <c r="R192" s="42" t="str">
        <f t="shared" si="21"/>
        <v>Low</v>
      </c>
      <c r="S192" s="16">
        <v>10</v>
      </c>
      <c r="T192" s="30">
        <v>8763.2849999999999</v>
      </c>
      <c r="U192" s="30">
        <v>4466.8999999999996</v>
      </c>
      <c r="V192" s="30">
        <v>4296.3850000000002</v>
      </c>
      <c r="W192" s="30">
        <v>0.49027105702941309</v>
      </c>
      <c r="X192" t="str">
        <f t="shared" si="22"/>
        <v>Delayed</v>
      </c>
      <c r="Y192" t="str">
        <f t="shared" si="23"/>
        <v>Compliant Discount</v>
      </c>
      <c r="Z192" s="9">
        <f>MIN(Q192,'Scenario Modelling'!$B$2)</f>
        <v>9.4E-2</v>
      </c>
      <c r="AA192">
        <f t="shared" si="24"/>
        <v>876.32850000000008</v>
      </c>
      <c r="AB192">
        <f>N192*(1+'Scenario Modelling'!$B$3)</f>
        <v>491.35900000000004</v>
      </c>
      <c r="AC192">
        <f>ROUNDUP(S192*(1+'Scenario Modelling'!$B$4),0)</f>
        <v>11</v>
      </c>
      <c r="AD192">
        <f t="shared" si="25"/>
        <v>9639.6135000000013</v>
      </c>
      <c r="AE192">
        <f t="shared" si="26"/>
        <v>4234.6645000000008</v>
      </c>
    </row>
    <row r="193" spans="1:31" x14ac:dyDescent="0.3">
      <c r="A193" s="31" t="s">
        <v>206</v>
      </c>
      <c r="B193" s="48">
        <v>45516</v>
      </c>
      <c r="C193" s="47" t="str">
        <f t="shared" si="19"/>
        <v>Q3-2024</v>
      </c>
      <c r="D193" s="32">
        <v>45538</v>
      </c>
      <c r="E193" s="17">
        <f t="shared" si="18"/>
        <v>22</v>
      </c>
      <c r="F193" s="33" t="s">
        <v>648</v>
      </c>
      <c r="G193" s="33" t="s">
        <v>660</v>
      </c>
      <c r="H193" s="33" t="s">
        <v>697</v>
      </c>
      <c r="I193" s="33" t="s">
        <v>704</v>
      </c>
      <c r="J193" s="33" t="s">
        <v>710</v>
      </c>
      <c r="K193" s="33" t="s">
        <v>714</v>
      </c>
      <c r="L193" s="33" t="s">
        <v>731</v>
      </c>
      <c r="M193" s="34" t="s">
        <v>926</v>
      </c>
      <c r="N193" s="35">
        <v>797.8</v>
      </c>
      <c r="O193" s="35">
        <v>886.22</v>
      </c>
      <c r="P193" s="30" t="str">
        <f t="shared" si="20"/>
        <v>Medium</v>
      </c>
      <c r="Q193" s="43">
        <v>0.23599999999999999</v>
      </c>
      <c r="R193" s="42" t="str">
        <f t="shared" si="21"/>
        <v>High</v>
      </c>
      <c r="S193" s="17">
        <v>36</v>
      </c>
      <c r="T193" s="30">
        <v>24374.594880000001</v>
      </c>
      <c r="U193" s="30">
        <v>28720.799999999999</v>
      </c>
      <c r="V193" s="30">
        <v>-4346.2051199999987</v>
      </c>
      <c r="W193" s="30">
        <v>-0.17830881462428633</v>
      </c>
      <c r="X193" t="str">
        <f t="shared" si="22"/>
        <v>Delayed</v>
      </c>
      <c r="Y193" t="str">
        <f t="shared" si="23"/>
        <v>Non-compliant Discount</v>
      </c>
      <c r="Z193" s="9">
        <f>MIN(Q193,'Scenario Modelling'!$B$2)</f>
        <v>0.2</v>
      </c>
      <c r="AA193">
        <f t="shared" si="24"/>
        <v>708.97600000000011</v>
      </c>
      <c r="AB193">
        <f>N193*(1+'Scenario Modelling'!$B$3)</f>
        <v>877.58</v>
      </c>
      <c r="AC193">
        <f>ROUNDUP(S193*(1+'Scenario Modelling'!$B$4),0)</f>
        <v>38</v>
      </c>
      <c r="AD193">
        <f t="shared" si="25"/>
        <v>26941.088000000003</v>
      </c>
      <c r="AE193">
        <f t="shared" si="26"/>
        <v>-6406.9519999999975</v>
      </c>
    </row>
    <row r="194" spans="1:31" x14ac:dyDescent="0.3">
      <c r="A194" s="36" t="s">
        <v>207</v>
      </c>
      <c r="B194" s="49">
        <v>45214</v>
      </c>
      <c r="C194" s="47" t="str">
        <f t="shared" si="19"/>
        <v>Q4-2023</v>
      </c>
      <c r="D194" s="37">
        <v>45243</v>
      </c>
      <c r="E194" s="16">
        <f t="shared" ref="E194:E257" si="27">D194-B194</f>
        <v>29</v>
      </c>
      <c r="F194" s="38" t="s">
        <v>647</v>
      </c>
      <c r="G194" s="38" t="s">
        <v>659</v>
      </c>
      <c r="H194" s="38" t="s">
        <v>676</v>
      </c>
      <c r="I194" s="38" t="s">
        <v>703</v>
      </c>
      <c r="J194" s="38" t="s">
        <v>710</v>
      </c>
      <c r="K194" s="38" t="s">
        <v>713</v>
      </c>
      <c r="L194" s="38" t="s">
        <v>728</v>
      </c>
      <c r="M194" s="39" t="s">
        <v>927</v>
      </c>
      <c r="N194" s="40">
        <v>986.44</v>
      </c>
      <c r="O194" s="40">
        <v>790.61</v>
      </c>
      <c r="P194" s="30" t="str">
        <f t="shared" si="20"/>
        <v>Low</v>
      </c>
      <c r="Q194" s="44">
        <v>7.1999999999999995E-2</v>
      </c>
      <c r="R194" s="42" t="str">
        <f t="shared" si="21"/>
        <v>Low</v>
      </c>
      <c r="S194" s="16">
        <v>6</v>
      </c>
      <c r="T194" s="30">
        <v>4402.1164799999997</v>
      </c>
      <c r="U194" s="30">
        <v>5918.64</v>
      </c>
      <c r="V194" s="30">
        <v>-1516.5235200000006</v>
      </c>
      <c r="W194" s="30">
        <v>-0.34449872621271499</v>
      </c>
      <c r="X194" t="str">
        <f t="shared" si="22"/>
        <v>Delayed</v>
      </c>
      <c r="Y194" t="str">
        <f t="shared" si="23"/>
        <v>Compliant Discount</v>
      </c>
      <c r="Z194" s="9">
        <f>MIN(Q194,'Scenario Modelling'!$B$2)</f>
        <v>7.1999999999999995E-2</v>
      </c>
      <c r="AA194">
        <f t="shared" si="24"/>
        <v>733.68608000000006</v>
      </c>
      <c r="AB194">
        <f>N194*(1+'Scenario Modelling'!$B$3)</f>
        <v>1085.0840000000001</v>
      </c>
      <c r="AC194">
        <f>ROUNDUP(S194*(1+'Scenario Modelling'!$B$4),0)</f>
        <v>7</v>
      </c>
      <c r="AD194">
        <f t="shared" si="25"/>
        <v>5135.8025600000001</v>
      </c>
      <c r="AE194">
        <f t="shared" si="26"/>
        <v>-2459.7854400000001</v>
      </c>
    </row>
    <row r="195" spans="1:31" x14ac:dyDescent="0.3">
      <c r="A195" s="31" t="s">
        <v>208</v>
      </c>
      <c r="B195" s="48">
        <v>45050</v>
      </c>
      <c r="C195" s="47" t="str">
        <f t="shared" ref="C195:C258" si="28">"Q"&amp;ROUNDUP(MONTH(B195)/3,0)&amp;"-"&amp;YEAR(B195)</f>
        <v>Q2-2023</v>
      </c>
      <c r="D195" s="32">
        <v>45072</v>
      </c>
      <c r="E195" s="17">
        <f t="shared" si="27"/>
        <v>22</v>
      </c>
      <c r="F195" s="33" t="s">
        <v>648</v>
      </c>
      <c r="G195" s="33" t="s">
        <v>660</v>
      </c>
      <c r="H195" s="33" t="s">
        <v>686</v>
      </c>
      <c r="I195" s="33" t="s">
        <v>706</v>
      </c>
      <c r="J195" s="33" t="s">
        <v>708</v>
      </c>
      <c r="K195" s="33" t="s">
        <v>713</v>
      </c>
      <c r="L195" s="33" t="s">
        <v>729</v>
      </c>
      <c r="M195" s="34" t="s">
        <v>928</v>
      </c>
      <c r="N195" s="35">
        <v>249.71</v>
      </c>
      <c r="O195" s="35">
        <v>361.33</v>
      </c>
      <c r="P195" s="30" t="str">
        <f t="shared" ref="P195:P258" si="29">IF(O195&lt;=_xlfn.PERCENTILE.INC(IF(L195:L825=L195, O195:O825), 0.33), "Low", IF(O195&lt;=_xlfn.PERCENTILE.INC(IF(L195:L825=L195, O195:O825), 0.66), "Medium", IF(O195 &gt; _xlfn.PERCENTILE.INC(IF(L195:L825=L195, O195:O825), 0.66), "High")))</f>
        <v>Low</v>
      </c>
      <c r="Q195" s="43">
        <v>9.4E-2</v>
      </c>
      <c r="R195" s="42" t="str">
        <f t="shared" ref="R195:R258" si="30">IF(Q195&lt;=0.1,"Low",IF(Q195&gt;0.2,"High","Medium"))</f>
        <v>Low</v>
      </c>
      <c r="S195" s="17">
        <v>12</v>
      </c>
      <c r="T195" s="30">
        <v>3928.3797600000003</v>
      </c>
      <c r="U195" s="30">
        <v>2996.52</v>
      </c>
      <c r="V195" s="30">
        <v>931.85976000000028</v>
      </c>
      <c r="W195" s="30">
        <v>0.23721223937881206</v>
      </c>
      <c r="X195" t="str">
        <f t="shared" ref="X195:X258" si="31">IF(E195&lt;=7,"On-time","Delayed")</f>
        <v>Delayed</v>
      </c>
      <c r="Y195" t="str">
        <f t="shared" ref="Y195:Y258" si="32">IF(Q195&lt;=0.2, "Compliant Discount", "Non-compliant Discount")</f>
        <v>Compliant Discount</v>
      </c>
      <c r="Z195" s="9">
        <f>MIN(Q195,'Scenario Modelling'!$B$2)</f>
        <v>9.4E-2</v>
      </c>
      <c r="AA195">
        <f t="shared" ref="AA195:AA258" si="33">O195*(1-Z195)</f>
        <v>327.36498</v>
      </c>
      <c r="AB195">
        <f>N195*(1+'Scenario Modelling'!$B$3)</f>
        <v>274.68100000000004</v>
      </c>
      <c r="AC195">
        <f>ROUNDUP(S195*(1+'Scenario Modelling'!$B$4),0)</f>
        <v>13</v>
      </c>
      <c r="AD195">
        <f t="shared" ref="AD195:AD258" si="34">AA195*AC195</f>
        <v>4255.7447400000001</v>
      </c>
      <c r="AE195">
        <f t="shared" ref="AE195:AE258" si="35">(AA195-AB195)*AC195</f>
        <v>684.89173999999957</v>
      </c>
    </row>
    <row r="196" spans="1:31" x14ac:dyDescent="0.3">
      <c r="A196" s="36" t="s">
        <v>209</v>
      </c>
      <c r="B196" s="49">
        <v>45557</v>
      </c>
      <c r="C196" s="47" t="str">
        <f t="shared" si="28"/>
        <v>Q3-2024</v>
      </c>
      <c r="D196" s="37">
        <v>45566</v>
      </c>
      <c r="E196" s="16">
        <f t="shared" si="27"/>
        <v>9</v>
      </c>
      <c r="F196" s="38" t="s">
        <v>648</v>
      </c>
      <c r="G196" s="38" t="s">
        <v>655</v>
      </c>
      <c r="H196" s="38" t="s">
        <v>670</v>
      </c>
      <c r="I196" s="38" t="s">
        <v>703</v>
      </c>
      <c r="J196" s="38" t="s">
        <v>708</v>
      </c>
      <c r="K196" s="38" t="s">
        <v>723</v>
      </c>
      <c r="L196" s="38" t="s">
        <v>732</v>
      </c>
      <c r="M196" s="39" t="s">
        <v>929</v>
      </c>
      <c r="N196" s="40">
        <v>1378.8</v>
      </c>
      <c r="O196" s="40">
        <v>1952.04</v>
      </c>
      <c r="P196" s="30" t="str">
        <f t="shared" si="29"/>
        <v>High</v>
      </c>
      <c r="Q196" s="44">
        <v>0.159</v>
      </c>
      <c r="R196" s="42" t="str">
        <f t="shared" si="30"/>
        <v>Medium</v>
      </c>
      <c r="S196" s="16">
        <v>19</v>
      </c>
      <c r="T196" s="30">
        <v>31191.64716</v>
      </c>
      <c r="U196" s="30">
        <v>26197.200000000001</v>
      </c>
      <c r="V196" s="30">
        <v>4994.4471599999997</v>
      </c>
      <c r="W196" s="30">
        <v>0.16012130216723058</v>
      </c>
      <c r="X196" t="str">
        <f t="shared" si="31"/>
        <v>Delayed</v>
      </c>
      <c r="Y196" t="str">
        <f t="shared" si="32"/>
        <v>Compliant Discount</v>
      </c>
      <c r="Z196" s="9">
        <f>MIN(Q196,'Scenario Modelling'!$B$2)</f>
        <v>0.159</v>
      </c>
      <c r="AA196">
        <f t="shared" si="33"/>
        <v>1641.6656399999999</v>
      </c>
      <c r="AB196">
        <f>N196*(1+'Scenario Modelling'!$B$3)</f>
        <v>1516.68</v>
      </c>
      <c r="AC196">
        <f>ROUNDUP(S196*(1+'Scenario Modelling'!$B$4),0)</f>
        <v>20</v>
      </c>
      <c r="AD196">
        <f t="shared" si="34"/>
        <v>32833.3128</v>
      </c>
      <c r="AE196">
        <f t="shared" si="35"/>
        <v>2499.7127999999975</v>
      </c>
    </row>
    <row r="197" spans="1:31" x14ac:dyDescent="0.3">
      <c r="A197" s="31" t="s">
        <v>210</v>
      </c>
      <c r="B197" s="48">
        <v>45588</v>
      </c>
      <c r="C197" s="47" t="str">
        <f t="shared" si="28"/>
        <v>Q4-2024</v>
      </c>
      <c r="D197" s="32">
        <v>45610</v>
      </c>
      <c r="E197" s="17">
        <f t="shared" si="27"/>
        <v>22</v>
      </c>
      <c r="F197" s="33" t="s">
        <v>647</v>
      </c>
      <c r="G197" s="33" t="s">
        <v>652</v>
      </c>
      <c r="H197" s="33" t="s">
        <v>666</v>
      </c>
      <c r="I197" s="33" t="s">
        <v>703</v>
      </c>
      <c r="J197" s="33" t="s">
        <v>711</v>
      </c>
      <c r="K197" s="33" t="s">
        <v>717</v>
      </c>
      <c r="L197" s="33" t="s">
        <v>730</v>
      </c>
      <c r="M197" s="34" t="s">
        <v>930</v>
      </c>
      <c r="N197" s="35">
        <v>1406.4</v>
      </c>
      <c r="O197" s="35">
        <v>1564.76</v>
      </c>
      <c r="P197" s="30" t="str">
        <f t="shared" si="29"/>
        <v>Medium</v>
      </c>
      <c r="Q197" s="43">
        <v>0.185</v>
      </c>
      <c r="R197" s="42" t="str">
        <f t="shared" si="30"/>
        <v>Medium</v>
      </c>
      <c r="S197" s="17">
        <v>17</v>
      </c>
      <c r="T197" s="30">
        <v>21679.749799999998</v>
      </c>
      <c r="U197" s="30">
        <v>23908.800000000003</v>
      </c>
      <c r="V197" s="30">
        <v>-2229.0502000000051</v>
      </c>
      <c r="W197" s="30">
        <v>-0.10281715520536151</v>
      </c>
      <c r="X197" t="str">
        <f t="shared" si="31"/>
        <v>Delayed</v>
      </c>
      <c r="Y197" t="str">
        <f t="shared" si="32"/>
        <v>Compliant Discount</v>
      </c>
      <c r="Z197" s="9">
        <f>MIN(Q197,'Scenario Modelling'!$B$2)</f>
        <v>0.185</v>
      </c>
      <c r="AA197">
        <f t="shared" si="33"/>
        <v>1275.2793999999999</v>
      </c>
      <c r="AB197">
        <f>N197*(1+'Scenario Modelling'!$B$3)</f>
        <v>1547.0400000000002</v>
      </c>
      <c r="AC197">
        <f>ROUNDUP(S197*(1+'Scenario Modelling'!$B$4),0)</f>
        <v>18</v>
      </c>
      <c r="AD197">
        <f t="shared" si="34"/>
        <v>22955.029199999997</v>
      </c>
      <c r="AE197">
        <f t="shared" si="35"/>
        <v>-4891.6908000000058</v>
      </c>
    </row>
    <row r="198" spans="1:31" x14ac:dyDescent="0.3">
      <c r="A198" s="36" t="s">
        <v>211</v>
      </c>
      <c r="B198" s="49">
        <v>45333</v>
      </c>
      <c r="C198" s="47" t="str">
        <f t="shared" si="28"/>
        <v>Q1-2024</v>
      </c>
      <c r="D198" s="37">
        <v>45354</v>
      </c>
      <c r="E198" s="16">
        <f t="shared" si="27"/>
        <v>21</v>
      </c>
      <c r="F198" s="38" t="s">
        <v>646</v>
      </c>
      <c r="G198" s="38" t="s">
        <v>650</v>
      </c>
      <c r="H198" s="38" t="s">
        <v>662</v>
      </c>
      <c r="I198" s="38" t="s">
        <v>706</v>
      </c>
      <c r="J198" s="38" t="s">
        <v>708</v>
      </c>
      <c r="K198" s="38" t="s">
        <v>717</v>
      </c>
      <c r="L198" s="38" t="s">
        <v>730</v>
      </c>
      <c r="M198" s="39" t="s">
        <v>931</v>
      </c>
      <c r="N198" s="40">
        <v>516.86</v>
      </c>
      <c r="O198" s="40">
        <v>852.54</v>
      </c>
      <c r="P198" s="30" t="str">
        <f t="shared" si="29"/>
        <v>Low</v>
      </c>
      <c r="Q198" s="44">
        <v>5.0999999999999997E-2</v>
      </c>
      <c r="R198" s="42" t="str">
        <f t="shared" si="30"/>
        <v>Low</v>
      </c>
      <c r="S198" s="16">
        <v>14</v>
      </c>
      <c r="T198" s="30">
        <v>11326.846439999999</v>
      </c>
      <c r="U198" s="30">
        <v>7236.04</v>
      </c>
      <c r="V198" s="30">
        <v>4090.8064399999994</v>
      </c>
      <c r="W198" s="30">
        <v>0.36116022775355994</v>
      </c>
      <c r="X198" t="str">
        <f t="shared" si="31"/>
        <v>Delayed</v>
      </c>
      <c r="Y198" t="str">
        <f t="shared" si="32"/>
        <v>Compliant Discount</v>
      </c>
      <c r="Z198" s="9">
        <f>MIN(Q198,'Scenario Modelling'!$B$2)</f>
        <v>5.0999999999999997E-2</v>
      </c>
      <c r="AA198">
        <f t="shared" si="33"/>
        <v>809.06045999999992</v>
      </c>
      <c r="AB198">
        <f>N198*(1+'Scenario Modelling'!$B$3)</f>
        <v>568.54600000000005</v>
      </c>
      <c r="AC198">
        <f>ROUNDUP(S198*(1+'Scenario Modelling'!$B$4),0)</f>
        <v>15</v>
      </c>
      <c r="AD198">
        <f t="shared" si="34"/>
        <v>12135.906899999998</v>
      </c>
      <c r="AE198">
        <f t="shared" si="35"/>
        <v>3607.7168999999981</v>
      </c>
    </row>
    <row r="199" spans="1:31" x14ac:dyDescent="0.3">
      <c r="A199" s="31" t="s">
        <v>212</v>
      </c>
      <c r="B199" s="48">
        <v>44956</v>
      </c>
      <c r="C199" s="47" t="str">
        <f t="shared" si="28"/>
        <v>Q1-2023</v>
      </c>
      <c r="D199" s="32">
        <v>44978</v>
      </c>
      <c r="E199" s="17">
        <f t="shared" si="27"/>
        <v>22</v>
      </c>
      <c r="F199" s="33" t="s">
        <v>649</v>
      </c>
      <c r="G199" s="33" t="s">
        <v>656</v>
      </c>
      <c r="H199" s="33" t="s">
        <v>684</v>
      </c>
      <c r="I199" s="33" t="s">
        <v>705</v>
      </c>
      <c r="J199" s="33" t="s">
        <v>709</v>
      </c>
      <c r="K199" s="33" t="s">
        <v>715</v>
      </c>
      <c r="L199" s="33" t="s">
        <v>729</v>
      </c>
      <c r="M199" s="34" t="s">
        <v>932</v>
      </c>
      <c r="N199" s="35">
        <v>1142.8800000000001</v>
      </c>
      <c r="O199" s="35">
        <v>1465.29</v>
      </c>
      <c r="P199" s="30" t="str">
        <f t="shared" si="29"/>
        <v>Medium</v>
      </c>
      <c r="Q199" s="43">
        <v>0.186</v>
      </c>
      <c r="R199" s="42" t="str">
        <f t="shared" si="30"/>
        <v>Medium</v>
      </c>
      <c r="S199" s="17">
        <v>7</v>
      </c>
      <c r="T199" s="30">
        <v>8349.2224200000001</v>
      </c>
      <c r="U199" s="30">
        <v>8000.1600000000008</v>
      </c>
      <c r="V199" s="30">
        <v>349.06241999999929</v>
      </c>
      <c r="W199" s="30">
        <v>4.1807775915017401E-2</v>
      </c>
      <c r="X199" t="str">
        <f t="shared" si="31"/>
        <v>Delayed</v>
      </c>
      <c r="Y199" t="str">
        <f t="shared" si="32"/>
        <v>Compliant Discount</v>
      </c>
      <c r="Z199" s="9">
        <f>MIN(Q199,'Scenario Modelling'!$B$2)</f>
        <v>0.186</v>
      </c>
      <c r="AA199">
        <f t="shared" si="33"/>
        <v>1192.7460599999999</v>
      </c>
      <c r="AB199">
        <f>N199*(1+'Scenario Modelling'!$B$3)</f>
        <v>1257.1680000000001</v>
      </c>
      <c r="AC199">
        <f>ROUNDUP(S199*(1+'Scenario Modelling'!$B$4),0)</f>
        <v>8</v>
      </c>
      <c r="AD199">
        <f t="shared" si="34"/>
        <v>9541.9684799999995</v>
      </c>
      <c r="AE199">
        <f t="shared" si="35"/>
        <v>-515.37552000000142</v>
      </c>
    </row>
    <row r="200" spans="1:31" x14ac:dyDescent="0.3">
      <c r="A200" s="36" t="s">
        <v>213</v>
      </c>
      <c r="B200" s="49">
        <v>45030</v>
      </c>
      <c r="C200" s="47" t="str">
        <f t="shared" si="28"/>
        <v>Q2-2023</v>
      </c>
      <c r="D200" s="37">
        <v>45059</v>
      </c>
      <c r="E200" s="16">
        <f t="shared" si="27"/>
        <v>29</v>
      </c>
      <c r="F200" s="38" t="s">
        <v>649</v>
      </c>
      <c r="G200" s="38" t="s">
        <v>656</v>
      </c>
      <c r="H200" s="38" t="s">
        <v>698</v>
      </c>
      <c r="I200" s="38" t="s">
        <v>704</v>
      </c>
      <c r="J200" s="38" t="s">
        <v>711</v>
      </c>
      <c r="K200" s="38" t="s">
        <v>713</v>
      </c>
      <c r="L200" s="38" t="s">
        <v>728</v>
      </c>
      <c r="M200" s="39" t="s">
        <v>933</v>
      </c>
      <c r="N200" s="40">
        <v>1320.33</v>
      </c>
      <c r="O200" s="40">
        <v>2645.23</v>
      </c>
      <c r="P200" s="30" t="str">
        <f t="shared" si="29"/>
        <v>High</v>
      </c>
      <c r="Q200" s="44">
        <v>0.155</v>
      </c>
      <c r="R200" s="42" t="str">
        <f t="shared" si="30"/>
        <v>Medium</v>
      </c>
      <c r="S200" s="16">
        <v>25</v>
      </c>
      <c r="T200" s="30">
        <v>55880.483749999999</v>
      </c>
      <c r="U200" s="30">
        <v>33008.25</v>
      </c>
      <c r="V200" s="30">
        <v>22872.233749999999</v>
      </c>
      <c r="W200" s="30">
        <v>0.40930629470436536</v>
      </c>
      <c r="X200" t="str">
        <f t="shared" si="31"/>
        <v>Delayed</v>
      </c>
      <c r="Y200" t="str">
        <f t="shared" si="32"/>
        <v>Compliant Discount</v>
      </c>
      <c r="Z200" s="9">
        <f>MIN(Q200,'Scenario Modelling'!$B$2)</f>
        <v>0.155</v>
      </c>
      <c r="AA200">
        <f t="shared" si="33"/>
        <v>2235.2193499999998</v>
      </c>
      <c r="AB200">
        <f>N200*(1+'Scenario Modelling'!$B$3)</f>
        <v>1452.3630000000001</v>
      </c>
      <c r="AC200">
        <f>ROUNDUP(S200*(1+'Scenario Modelling'!$B$4),0)</f>
        <v>27</v>
      </c>
      <c r="AD200">
        <f t="shared" si="34"/>
        <v>60350.922449999998</v>
      </c>
      <c r="AE200">
        <f t="shared" si="35"/>
        <v>21137.121449999995</v>
      </c>
    </row>
    <row r="201" spans="1:31" x14ac:dyDescent="0.3">
      <c r="A201" s="31" t="s">
        <v>214</v>
      </c>
      <c r="B201" s="48">
        <v>44939</v>
      </c>
      <c r="C201" s="47" t="str">
        <f t="shared" si="28"/>
        <v>Q1-2023</v>
      </c>
      <c r="D201" s="32">
        <v>44945</v>
      </c>
      <c r="E201" s="17">
        <f t="shared" si="27"/>
        <v>6</v>
      </c>
      <c r="F201" s="33" t="s">
        <v>648</v>
      </c>
      <c r="G201" s="33" t="s">
        <v>660</v>
      </c>
      <c r="H201" s="33" t="s">
        <v>677</v>
      </c>
      <c r="I201" s="33" t="s">
        <v>701</v>
      </c>
      <c r="J201" s="33" t="s">
        <v>711</v>
      </c>
      <c r="K201" s="33" t="s">
        <v>722</v>
      </c>
      <c r="L201" s="33" t="s">
        <v>730</v>
      </c>
      <c r="M201" s="34" t="s">
        <v>934</v>
      </c>
      <c r="N201" s="35">
        <v>833.57</v>
      </c>
      <c r="O201" s="35">
        <v>881.57</v>
      </c>
      <c r="P201" s="30" t="str">
        <f t="shared" si="29"/>
        <v>Medium</v>
      </c>
      <c r="Q201" s="43">
        <v>5.7000000000000002E-2</v>
      </c>
      <c r="R201" s="42" t="str">
        <f t="shared" si="30"/>
        <v>Low</v>
      </c>
      <c r="S201" s="17">
        <v>18</v>
      </c>
      <c r="T201" s="30">
        <v>14963.769179999999</v>
      </c>
      <c r="U201" s="30">
        <v>15004.26</v>
      </c>
      <c r="V201" s="30">
        <v>-40.490820000000895</v>
      </c>
      <c r="W201" s="30">
        <v>-2.7059238560107821E-3</v>
      </c>
      <c r="X201" t="str">
        <f t="shared" si="31"/>
        <v>On-time</v>
      </c>
      <c r="Y201" t="str">
        <f t="shared" si="32"/>
        <v>Compliant Discount</v>
      </c>
      <c r="Z201" s="9">
        <f>MIN(Q201,'Scenario Modelling'!$B$2)</f>
        <v>5.7000000000000002E-2</v>
      </c>
      <c r="AA201">
        <f t="shared" si="33"/>
        <v>831.32051000000001</v>
      </c>
      <c r="AB201">
        <f>N201*(1+'Scenario Modelling'!$B$3)</f>
        <v>916.92700000000013</v>
      </c>
      <c r="AC201">
        <f>ROUNDUP(S201*(1+'Scenario Modelling'!$B$4),0)</f>
        <v>19</v>
      </c>
      <c r="AD201">
        <f t="shared" si="34"/>
        <v>15795.089690000001</v>
      </c>
      <c r="AE201">
        <f t="shared" si="35"/>
        <v>-1626.5233100000023</v>
      </c>
    </row>
    <row r="202" spans="1:31" x14ac:dyDescent="0.3">
      <c r="A202" s="36" t="s">
        <v>215</v>
      </c>
      <c r="B202" s="49">
        <v>45303</v>
      </c>
      <c r="C202" s="47" t="str">
        <f t="shared" si="28"/>
        <v>Q1-2024</v>
      </c>
      <c r="D202" s="37">
        <v>45320</v>
      </c>
      <c r="E202" s="16">
        <f t="shared" si="27"/>
        <v>17</v>
      </c>
      <c r="F202" s="38" t="s">
        <v>648</v>
      </c>
      <c r="G202" s="38" t="s">
        <v>660</v>
      </c>
      <c r="H202" s="38" t="s">
        <v>677</v>
      </c>
      <c r="I202" s="38" t="s">
        <v>702</v>
      </c>
      <c r="J202" s="38" t="s">
        <v>710</v>
      </c>
      <c r="K202" s="38" t="s">
        <v>720</v>
      </c>
      <c r="L202" s="38" t="s">
        <v>728</v>
      </c>
      <c r="M202" s="39" t="s">
        <v>935</v>
      </c>
      <c r="N202" s="40">
        <v>493.76</v>
      </c>
      <c r="O202" s="40">
        <v>625.04</v>
      </c>
      <c r="P202" s="30" t="str">
        <f t="shared" si="29"/>
        <v>Low</v>
      </c>
      <c r="Q202" s="44">
        <v>0.25800000000000001</v>
      </c>
      <c r="R202" s="42" t="str">
        <f t="shared" si="30"/>
        <v>High</v>
      </c>
      <c r="S202" s="16">
        <v>10</v>
      </c>
      <c r="T202" s="30">
        <v>4637.7968000000001</v>
      </c>
      <c r="U202" s="30">
        <v>4937.6000000000004</v>
      </c>
      <c r="V202" s="30">
        <v>-299.80320000000029</v>
      </c>
      <c r="W202" s="30">
        <v>-6.464345311549663E-2</v>
      </c>
      <c r="X202" t="str">
        <f t="shared" si="31"/>
        <v>Delayed</v>
      </c>
      <c r="Y202" t="str">
        <f t="shared" si="32"/>
        <v>Non-compliant Discount</v>
      </c>
      <c r="Z202" s="9">
        <f>MIN(Q202,'Scenario Modelling'!$B$2)</f>
        <v>0.2</v>
      </c>
      <c r="AA202">
        <f t="shared" si="33"/>
        <v>500.03199999999998</v>
      </c>
      <c r="AB202">
        <f>N202*(1+'Scenario Modelling'!$B$3)</f>
        <v>543.13600000000008</v>
      </c>
      <c r="AC202">
        <f>ROUNDUP(S202*(1+'Scenario Modelling'!$B$4),0)</f>
        <v>11</v>
      </c>
      <c r="AD202">
        <f t="shared" si="34"/>
        <v>5500.3519999999999</v>
      </c>
      <c r="AE202">
        <f t="shared" si="35"/>
        <v>-474.14400000000109</v>
      </c>
    </row>
    <row r="203" spans="1:31" x14ac:dyDescent="0.3">
      <c r="A203" s="31" t="s">
        <v>216</v>
      </c>
      <c r="B203" s="48">
        <v>45153</v>
      </c>
      <c r="C203" s="47" t="str">
        <f t="shared" si="28"/>
        <v>Q3-2023</v>
      </c>
      <c r="D203" s="32">
        <v>45176</v>
      </c>
      <c r="E203" s="17">
        <f t="shared" si="27"/>
        <v>23</v>
      </c>
      <c r="F203" s="33" t="s">
        <v>648</v>
      </c>
      <c r="G203" s="33" t="s">
        <v>660</v>
      </c>
      <c r="H203" s="33" t="s">
        <v>700</v>
      </c>
      <c r="I203" s="33" t="s">
        <v>706</v>
      </c>
      <c r="J203" s="33" t="s">
        <v>708</v>
      </c>
      <c r="K203" s="33" t="s">
        <v>723</v>
      </c>
      <c r="L203" s="33" t="s">
        <v>730</v>
      </c>
      <c r="M203" s="34" t="s">
        <v>936</v>
      </c>
      <c r="N203" s="35">
        <v>590.33000000000004</v>
      </c>
      <c r="O203" s="35">
        <v>973.04</v>
      </c>
      <c r="P203" s="30" t="str">
        <f t="shared" si="29"/>
        <v>Medium</v>
      </c>
      <c r="Q203" s="43">
        <v>0</v>
      </c>
      <c r="R203" s="42" t="str">
        <f t="shared" si="30"/>
        <v>Low</v>
      </c>
      <c r="S203" s="17">
        <v>26</v>
      </c>
      <c r="T203" s="30">
        <v>25299.040000000001</v>
      </c>
      <c r="U203" s="30">
        <v>15348.580000000002</v>
      </c>
      <c r="V203" s="30">
        <v>9950.4599999999991</v>
      </c>
      <c r="W203" s="30">
        <v>0.39331373838691108</v>
      </c>
      <c r="X203" t="str">
        <f t="shared" si="31"/>
        <v>Delayed</v>
      </c>
      <c r="Y203" t="str">
        <f t="shared" si="32"/>
        <v>Compliant Discount</v>
      </c>
      <c r="Z203" s="9">
        <f>MIN(Q203,'Scenario Modelling'!$B$2)</f>
        <v>0</v>
      </c>
      <c r="AA203">
        <f t="shared" si="33"/>
        <v>973.04</v>
      </c>
      <c r="AB203">
        <f>N203*(1+'Scenario Modelling'!$B$3)</f>
        <v>649.36300000000006</v>
      </c>
      <c r="AC203">
        <f>ROUNDUP(S203*(1+'Scenario Modelling'!$B$4),0)</f>
        <v>28</v>
      </c>
      <c r="AD203">
        <f t="shared" si="34"/>
        <v>27245.119999999999</v>
      </c>
      <c r="AE203">
        <f t="shared" si="35"/>
        <v>9062.9559999999983</v>
      </c>
    </row>
    <row r="204" spans="1:31" x14ac:dyDescent="0.3">
      <c r="A204" s="36" t="s">
        <v>217</v>
      </c>
      <c r="B204" s="49">
        <v>44946</v>
      </c>
      <c r="C204" s="47" t="str">
        <f t="shared" si="28"/>
        <v>Q1-2023</v>
      </c>
      <c r="D204" s="37">
        <v>44960</v>
      </c>
      <c r="E204" s="16">
        <f t="shared" si="27"/>
        <v>14</v>
      </c>
      <c r="F204" s="38" t="s">
        <v>646</v>
      </c>
      <c r="G204" s="38" t="s">
        <v>650</v>
      </c>
      <c r="H204" s="38" t="s">
        <v>662</v>
      </c>
      <c r="I204" s="38" t="s">
        <v>701</v>
      </c>
      <c r="J204" s="38" t="s">
        <v>707</v>
      </c>
      <c r="K204" s="38" t="s">
        <v>724</v>
      </c>
      <c r="L204" s="38" t="s">
        <v>729</v>
      </c>
      <c r="M204" s="39" t="s">
        <v>937</v>
      </c>
      <c r="N204" s="40">
        <v>884.36</v>
      </c>
      <c r="O204" s="40">
        <v>1545.34</v>
      </c>
      <c r="P204" s="30" t="str">
        <f t="shared" si="29"/>
        <v>Medium</v>
      </c>
      <c r="Q204" s="44">
        <v>0.24299999999999999</v>
      </c>
      <c r="R204" s="42" t="str">
        <f t="shared" si="30"/>
        <v>High</v>
      </c>
      <c r="S204" s="16">
        <v>41</v>
      </c>
      <c r="T204" s="30">
        <v>47962.717579999997</v>
      </c>
      <c r="U204" s="30">
        <v>36258.76</v>
      </c>
      <c r="V204" s="30">
        <v>11703.957579999995</v>
      </c>
      <c r="W204" s="30">
        <v>0.24402198562827965</v>
      </c>
      <c r="X204" t="str">
        <f t="shared" si="31"/>
        <v>Delayed</v>
      </c>
      <c r="Y204" t="str">
        <f t="shared" si="32"/>
        <v>Non-compliant Discount</v>
      </c>
      <c r="Z204" s="9">
        <f>MIN(Q204,'Scenario Modelling'!$B$2)</f>
        <v>0.2</v>
      </c>
      <c r="AA204">
        <f t="shared" si="33"/>
        <v>1236.2719999999999</v>
      </c>
      <c r="AB204">
        <f>N204*(1+'Scenario Modelling'!$B$3)</f>
        <v>972.79600000000005</v>
      </c>
      <c r="AC204">
        <f>ROUNDUP(S204*(1+'Scenario Modelling'!$B$4),0)</f>
        <v>44</v>
      </c>
      <c r="AD204">
        <f t="shared" si="34"/>
        <v>54395.967999999993</v>
      </c>
      <c r="AE204">
        <f t="shared" si="35"/>
        <v>11592.943999999996</v>
      </c>
    </row>
    <row r="205" spans="1:31" x14ac:dyDescent="0.3">
      <c r="A205" s="31" t="s">
        <v>218</v>
      </c>
      <c r="B205" s="48">
        <v>45692</v>
      </c>
      <c r="C205" s="47" t="str">
        <f t="shared" si="28"/>
        <v>Q1-2025</v>
      </c>
      <c r="D205" s="32">
        <v>45713</v>
      </c>
      <c r="E205" s="17">
        <f t="shared" si="27"/>
        <v>21</v>
      </c>
      <c r="F205" s="33" t="s">
        <v>649</v>
      </c>
      <c r="G205" s="33" t="s">
        <v>658</v>
      </c>
      <c r="H205" s="33" t="s">
        <v>674</v>
      </c>
      <c r="I205" s="33" t="s">
        <v>701</v>
      </c>
      <c r="J205" s="33" t="s">
        <v>709</v>
      </c>
      <c r="K205" s="33" t="s">
        <v>726</v>
      </c>
      <c r="L205" s="33" t="s">
        <v>732</v>
      </c>
      <c r="M205" s="34" t="s">
        <v>938</v>
      </c>
      <c r="N205" s="35">
        <v>1016.32</v>
      </c>
      <c r="O205" s="35">
        <v>2253.42</v>
      </c>
      <c r="P205" s="30" t="str">
        <f t="shared" si="29"/>
        <v>High</v>
      </c>
      <c r="Q205" s="43">
        <v>5.5E-2</v>
      </c>
      <c r="R205" s="42" t="str">
        <f t="shared" si="30"/>
        <v>Low</v>
      </c>
      <c r="S205" s="17">
        <v>12</v>
      </c>
      <c r="T205" s="30">
        <v>25553.782800000001</v>
      </c>
      <c r="U205" s="30">
        <v>12195.84</v>
      </c>
      <c r="V205" s="30">
        <v>13357.942800000001</v>
      </c>
      <c r="W205" s="30">
        <v>0.52273837124419797</v>
      </c>
      <c r="X205" t="str">
        <f t="shared" si="31"/>
        <v>Delayed</v>
      </c>
      <c r="Y205" t="str">
        <f t="shared" si="32"/>
        <v>Compliant Discount</v>
      </c>
      <c r="Z205" s="9">
        <f>MIN(Q205,'Scenario Modelling'!$B$2)</f>
        <v>5.5E-2</v>
      </c>
      <c r="AA205">
        <f t="shared" si="33"/>
        <v>2129.4818999999998</v>
      </c>
      <c r="AB205">
        <f>N205*(1+'Scenario Modelling'!$B$3)</f>
        <v>1117.9520000000002</v>
      </c>
      <c r="AC205">
        <f>ROUNDUP(S205*(1+'Scenario Modelling'!$B$4),0)</f>
        <v>13</v>
      </c>
      <c r="AD205">
        <f t="shared" si="34"/>
        <v>27683.264699999996</v>
      </c>
      <c r="AE205">
        <f t="shared" si="35"/>
        <v>13149.888699999994</v>
      </c>
    </row>
    <row r="206" spans="1:31" x14ac:dyDescent="0.3">
      <c r="A206" s="36" t="s">
        <v>219</v>
      </c>
      <c r="B206" s="49">
        <v>45035</v>
      </c>
      <c r="C206" s="47" t="str">
        <f t="shared" si="28"/>
        <v>Q2-2023</v>
      </c>
      <c r="D206" s="37">
        <v>45044</v>
      </c>
      <c r="E206" s="16">
        <f t="shared" si="27"/>
        <v>9</v>
      </c>
      <c r="F206" s="38" t="s">
        <v>649</v>
      </c>
      <c r="G206" s="38" t="s">
        <v>656</v>
      </c>
      <c r="H206" s="38" t="s">
        <v>671</v>
      </c>
      <c r="I206" s="38" t="s">
        <v>702</v>
      </c>
      <c r="J206" s="38" t="s">
        <v>708</v>
      </c>
      <c r="K206" s="38" t="s">
        <v>718</v>
      </c>
      <c r="L206" s="38" t="s">
        <v>732</v>
      </c>
      <c r="M206" s="39" t="s">
        <v>939</v>
      </c>
      <c r="N206" s="40">
        <v>1178.42</v>
      </c>
      <c r="O206" s="40">
        <v>2446.56</v>
      </c>
      <c r="P206" s="30" t="str">
        <f t="shared" si="29"/>
        <v>High</v>
      </c>
      <c r="Q206" s="44">
        <v>2.9000000000000001E-2</v>
      </c>
      <c r="R206" s="42" t="str">
        <f t="shared" si="30"/>
        <v>Low</v>
      </c>
      <c r="S206" s="16">
        <v>11</v>
      </c>
      <c r="T206" s="30">
        <v>26131.70736</v>
      </c>
      <c r="U206" s="30">
        <v>12962.62</v>
      </c>
      <c r="V206" s="30">
        <v>13169.08736</v>
      </c>
      <c r="W206" s="30">
        <v>0.5039505141618883</v>
      </c>
      <c r="X206" t="str">
        <f t="shared" si="31"/>
        <v>Delayed</v>
      </c>
      <c r="Y206" t="str">
        <f t="shared" si="32"/>
        <v>Compliant Discount</v>
      </c>
      <c r="Z206" s="9">
        <f>MIN(Q206,'Scenario Modelling'!$B$2)</f>
        <v>2.9000000000000001E-2</v>
      </c>
      <c r="AA206">
        <f t="shared" si="33"/>
        <v>2375.6097599999998</v>
      </c>
      <c r="AB206">
        <f>N206*(1+'Scenario Modelling'!$B$3)</f>
        <v>1296.2620000000002</v>
      </c>
      <c r="AC206">
        <f>ROUNDUP(S206*(1+'Scenario Modelling'!$B$4),0)</f>
        <v>12</v>
      </c>
      <c r="AD206">
        <f t="shared" si="34"/>
        <v>28507.31712</v>
      </c>
      <c r="AE206">
        <f t="shared" si="35"/>
        <v>12952.173119999996</v>
      </c>
    </row>
    <row r="207" spans="1:31" x14ac:dyDescent="0.3">
      <c r="A207" s="31" t="s">
        <v>220</v>
      </c>
      <c r="B207" s="48">
        <v>45109</v>
      </c>
      <c r="C207" s="47" t="str">
        <f t="shared" si="28"/>
        <v>Q3-2023</v>
      </c>
      <c r="D207" s="32">
        <v>45139</v>
      </c>
      <c r="E207" s="17">
        <f t="shared" si="27"/>
        <v>30</v>
      </c>
      <c r="F207" s="33" t="s">
        <v>649</v>
      </c>
      <c r="G207" s="33" t="s">
        <v>658</v>
      </c>
      <c r="H207" s="33" t="s">
        <v>674</v>
      </c>
      <c r="I207" s="33" t="s">
        <v>705</v>
      </c>
      <c r="J207" s="33" t="s">
        <v>707</v>
      </c>
      <c r="K207" s="33" t="s">
        <v>717</v>
      </c>
      <c r="L207" s="33" t="s">
        <v>727</v>
      </c>
      <c r="M207" s="34" t="s">
        <v>940</v>
      </c>
      <c r="N207" s="35">
        <v>137.46</v>
      </c>
      <c r="O207" s="35">
        <v>188.3</v>
      </c>
      <c r="P207" s="30" t="str">
        <f t="shared" si="29"/>
        <v>Low</v>
      </c>
      <c r="Q207" s="43">
        <v>3.7999999999999999E-2</v>
      </c>
      <c r="R207" s="42" t="str">
        <f t="shared" si="30"/>
        <v>Low</v>
      </c>
      <c r="S207" s="17">
        <v>37</v>
      </c>
      <c r="T207" s="30">
        <v>6702.3501999999999</v>
      </c>
      <c r="U207" s="30">
        <v>5086.0200000000004</v>
      </c>
      <c r="V207" s="30">
        <v>1616.3301999999994</v>
      </c>
      <c r="W207" s="30">
        <v>0.24115872071262398</v>
      </c>
      <c r="X207" t="str">
        <f t="shared" si="31"/>
        <v>Delayed</v>
      </c>
      <c r="Y207" t="str">
        <f t="shared" si="32"/>
        <v>Compliant Discount</v>
      </c>
      <c r="Z207" s="9">
        <f>MIN(Q207,'Scenario Modelling'!$B$2)</f>
        <v>3.7999999999999999E-2</v>
      </c>
      <c r="AA207">
        <f t="shared" si="33"/>
        <v>181.1446</v>
      </c>
      <c r="AB207">
        <f>N207*(1+'Scenario Modelling'!$B$3)</f>
        <v>151.20600000000002</v>
      </c>
      <c r="AC207">
        <f>ROUNDUP(S207*(1+'Scenario Modelling'!$B$4),0)</f>
        <v>39</v>
      </c>
      <c r="AD207">
        <f t="shared" si="34"/>
        <v>7064.6394</v>
      </c>
      <c r="AE207">
        <f t="shared" si="35"/>
        <v>1167.6053999999992</v>
      </c>
    </row>
    <row r="208" spans="1:31" x14ac:dyDescent="0.3">
      <c r="A208" s="36" t="s">
        <v>221</v>
      </c>
      <c r="B208" s="49">
        <v>45678</v>
      </c>
      <c r="C208" s="47" t="str">
        <f t="shared" si="28"/>
        <v>Q1-2025</v>
      </c>
      <c r="D208" s="37">
        <v>45702</v>
      </c>
      <c r="E208" s="16">
        <f t="shared" si="27"/>
        <v>24</v>
      </c>
      <c r="F208" s="38" t="s">
        <v>646</v>
      </c>
      <c r="G208" s="38" t="s">
        <v>650</v>
      </c>
      <c r="H208" s="38" t="s">
        <v>664</v>
      </c>
      <c r="I208" s="38" t="s">
        <v>705</v>
      </c>
      <c r="J208" s="38" t="s">
        <v>707</v>
      </c>
      <c r="K208" s="38" t="s">
        <v>713</v>
      </c>
      <c r="L208" s="38" t="s">
        <v>733</v>
      </c>
      <c r="M208" s="39" t="s">
        <v>941</v>
      </c>
      <c r="N208" s="40">
        <v>1030.44</v>
      </c>
      <c r="O208" s="40">
        <v>2562.84</v>
      </c>
      <c r="P208" s="30" t="str">
        <f t="shared" si="29"/>
        <v>High</v>
      </c>
      <c r="Q208" s="44">
        <v>0.14799999999999999</v>
      </c>
      <c r="R208" s="42" t="str">
        <f t="shared" si="30"/>
        <v>Medium</v>
      </c>
      <c r="S208" s="16">
        <v>13</v>
      </c>
      <c r="T208" s="30">
        <v>28386.015839999996</v>
      </c>
      <c r="U208" s="30">
        <v>13395.720000000001</v>
      </c>
      <c r="V208" s="30">
        <v>14990.295839999995</v>
      </c>
      <c r="W208" s="30">
        <v>0.52808734852027039</v>
      </c>
      <c r="X208" t="str">
        <f t="shared" si="31"/>
        <v>Delayed</v>
      </c>
      <c r="Y208" t="str">
        <f t="shared" si="32"/>
        <v>Compliant Discount</v>
      </c>
      <c r="Z208" s="9">
        <f>MIN(Q208,'Scenario Modelling'!$B$2)</f>
        <v>0.14799999999999999</v>
      </c>
      <c r="AA208">
        <f t="shared" si="33"/>
        <v>2183.5396799999999</v>
      </c>
      <c r="AB208">
        <f>N208*(1+'Scenario Modelling'!$B$3)</f>
        <v>1133.4840000000002</v>
      </c>
      <c r="AC208">
        <f>ROUNDUP(S208*(1+'Scenario Modelling'!$B$4),0)</f>
        <v>14</v>
      </c>
      <c r="AD208">
        <f t="shared" si="34"/>
        <v>30569.555519999998</v>
      </c>
      <c r="AE208">
        <f t="shared" si="35"/>
        <v>14700.779519999996</v>
      </c>
    </row>
    <row r="209" spans="1:31" x14ac:dyDescent="0.3">
      <c r="A209" s="31" t="s">
        <v>222</v>
      </c>
      <c r="B209" s="48">
        <v>45545</v>
      </c>
      <c r="C209" s="47" t="str">
        <f t="shared" si="28"/>
        <v>Q3-2024</v>
      </c>
      <c r="D209" s="32">
        <v>45572</v>
      </c>
      <c r="E209" s="17">
        <f t="shared" si="27"/>
        <v>27</v>
      </c>
      <c r="F209" s="33" t="s">
        <v>646</v>
      </c>
      <c r="G209" s="33" t="s">
        <v>650</v>
      </c>
      <c r="H209" s="33" t="s">
        <v>662</v>
      </c>
      <c r="I209" s="33" t="s">
        <v>704</v>
      </c>
      <c r="J209" s="33" t="s">
        <v>707</v>
      </c>
      <c r="K209" s="33" t="s">
        <v>716</v>
      </c>
      <c r="L209" s="33" t="s">
        <v>728</v>
      </c>
      <c r="M209" s="34" t="s">
        <v>942</v>
      </c>
      <c r="N209" s="35">
        <v>1248.3900000000001</v>
      </c>
      <c r="O209" s="35">
        <v>1805.11</v>
      </c>
      <c r="P209" s="30" t="str">
        <f t="shared" si="29"/>
        <v>High</v>
      </c>
      <c r="Q209" s="43">
        <v>0.20300000000000001</v>
      </c>
      <c r="R209" s="42" t="str">
        <f t="shared" si="30"/>
        <v>High</v>
      </c>
      <c r="S209" s="17">
        <v>11</v>
      </c>
      <c r="T209" s="30">
        <v>15825.399369999997</v>
      </c>
      <c r="U209" s="30">
        <v>13732.29</v>
      </c>
      <c r="V209" s="30">
        <v>2093.1093699999965</v>
      </c>
      <c r="W209" s="30">
        <v>0.13226265707820786</v>
      </c>
      <c r="X209" t="str">
        <f t="shared" si="31"/>
        <v>Delayed</v>
      </c>
      <c r="Y209" t="str">
        <f t="shared" si="32"/>
        <v>Non-compliant Discount</v>
      </c>
      <c r="Z209" s="9">
        <f>MIN(Q209,'Scenario Modelling'!$B$2)</f>
        <v>0.2</v>
      </c>
      <c r="AA209">
        <f t="shared" si="33"/>
        <v>1444.088</v>
      </c>
      <c r="AB209">
        <f>N209*(1+'Scenario Modelling'!$B$3)</f>
        <v>1373.2290000000003</v>
      </c>
      <c r="AC209">
        <f>ROUNDUP(S209*(1+'Scenario Modelling'!$B$4),0)</f>
        <v>12</v>
      </c>
      <c r="AD209">
        <f t="shared" si="34"/>
        <v>17329.056</v>
      </c>
      <c r="AE209">
        <f t="shared" si="35"/>
        <v>850.30799999999635</v>
      </c>
    </row>
    <row r="210" spans="1:31" x14ac:dyDescent="0.3">
      <c r="A210" s="36" t="s">
        <v>223</v>
      </c>
      <c r="B210" s="49">
        <v>45859</v>
      </c>
      <c r="C210" s="47" t="str">
        <f t="shared" si="28"/>
        <v>Q3-2025</v>
      </c>
      <c r="D210" s="37">
        <v>45876</v>
      </c>
      <c r="E210" s="16">
        <f t="shared" si="27"/>
        <v>17</v>
      </c>
      <c r="F210" s="38" t="s">
        <v>646</v>
      </c>
      <c r="G210" s="38" t="s">
        <v>651</v>
      </c>
      <c r="H210" s="38" t="s">
        <v>665</v>
      </c>
      <c r="I210" s="38" t="s">
        <v>706</v>
      </c>
      <c r="J210" s="38" t="s">
        <v>711</v>
      </c>
      <c r="K210" s="38" t="s">
        <v>724</v>
      </c>
      <c r="L210" s="38" t="s">
        <v>733</v>
      </c>
      <c r="M210" s="39" t="s">
        <v>943</v>
      </c>
      <c r="N210" s="40">
        <v>1204.95</v>
      </c>
      <c r="O210" s="40">
        <v>2065.73</v>
      </c>
      <c r="P210" s="30" t="str">
        <f t="shared" si="29"/>
        <v>High</v>
      </c>
      <c r="Q210" s="44">
        <v>0.13600000000000001</v>
      </c>
      <c r="R210" s="42" t="str">
        <f t="shared" si="30"/>
        <v>Medium</v>
      </c>
      <c r="S210" s="16">
        <v>10</v>
      </c>
      <c r="T210" s="30">
        <v>17847.907199999998</v>
      </c>
      <c r="U210" s="30">
        <v>12049.5</v>
      </c>
      <c r="V210" s="30">
        <v>5798.4071999999978</v>
      </c>
      <c r="W210" s="30">
        <v>0.32487882949100039</v>
      </c>
      <c r="X210" t="str">
        <f t="shared" si="31"/>
        <v>Delayed</v>
      </c>
      <c r="Y210" t="str">
        <f t="shared" si="32"/>
        <v>Compliant Discount</v>
      </c>
      <c r="Z210" s="9">
        <f>MIN(Q210,'Scenario Modelling'!$B$2)</f>
        <v>0.13600000000000001</v>
      </c>
      <c r="AA210">
        <f t="shared" si="33"/>
        <v>1784.79072</v>
      </c>
      <c r="AB210">
        <f>N210*(1+'Scenario Modelling'!$B$3)</f>
        <v>1325.4450000000002</v>
      </c>
      <c r="AC210">
        <f>ROUNDUP(S210*(1+'Scenario Modelling'!$B$4),0)</f>
        <v>11</v>
      </c>
      <c r="AD210">
        <f t="shared" si="34"/>
        <v>19632.697919999999</v>
      </c>
      <c r="AE210">
        <f t="shared" si="35"/>
        <v>5052.8029199999983</v>
      </c>
    </row>
    <row r="211" spans="1:31" x14ac:dyDescent="0.3">
      <c r="A211" s="31" t="s">
        <v>224</v>
      </c>
      <c r="B211" s="48">
        <v>45567</v>
      </c>
      <c r="C211" s="47" t="str">
        <f t="shared" si="28"/>
        <v>Q4-2024</v>
      </c>
      <c r="D211" s="32">
        <v>45588</v>
      </c>
      <c r="E211" s="17">
        <f t="shared" si="27"/>
        <v>21</v>
      </c>
      <c r="F211" s="33" t="s">
        <v>646</v>
      </c>
      <c r="G211" s="33" t="s">
        <v>661</v>
      </c>
      <c r="H211" s="33" t="s">
        <v>687</v>
      </c>
      <c r="I211" s="33" t="s">
        <v>701</v>
      </c>
      <c r="J211" s="33" t="s">
        <v>709</v>
      </c>
      <c r="K211" s="33" t="s">
        <v>720</v>
      </c>
      <c r="L211" s="33" t="s">
        <v>727</v>
      </c>
      <c r="M211" s="34" t="s">
        <v>944</v>
      </c>
      <c r="N211" s="35">
        <v>1095.6099999999999</v>
      </c>
      <c r="O211" s="35">
        <v>2366.5100000000002</v>
      </c>
      <c r="P211" s="30" t="str">
        <f t="shared" si="29"/>
        <v>High</v>
      </c>
      <c r="Q211" s="43">
        <v>0.152</v>
      </c>
      <c r="R211" s="42" t="str">
        <f t="shared" si="30"/>
        <v>Medium</v>
      </c>
      <c r="S211" s="17">
        <v>9</v>
      </c>
      <c r="T211" s="30">
        <v>18061.204320000004</v>
      </c>
      <c r="U211" s="30">
        <v>9860.49</v>
      </c>
      <c r="V211" s="30">
        <v>8200.7143200000046</v>
      </c>
      <c r="W211" s="30">
        <v>0.4540513564158607</v>
      </c>
      <c r="X211" t="str">
        <f t="shared" si="31"/>
        <v>Delayed</v>
      </c>
      <c r="Y211" t="str">
        <f t="shared" si="32"/>
        <v>Compliant Discount</v>
      </c>
      <c r="Z211" s="9">
        <f>MIN(Q211,'Scenario Modelling'!$B$2)</f>
        <v>0.152</v>
      </c>
      <c r="AA211">
        <f t="shared" si="33"/>
        <v>2006.8004800000001</v>
      </c>
      <c r="AB211">
        <f>N211*(1+'Scenario Modelling'!$B$3)</f>
        <v>1205.171</v>
      </c>
      <c r="AC211">
        <f>ROUNDUP(S211*(1+'Scenario Modelling'!$B$4),0)</f>
        <v>10</v>
      </c>
      <c r="AD211">
        <f t="shared" si="34"/>
        <v>20068.004800000002</v>
      </c>
      <c r="AE211">
        <f t="shared" si="35"/>
        <v>8016.2948000000006</v>
      </c>
    </row>
    <row r="212" spans="1:31" x14ac:dyDescent="0.3">
      <c r="A212" s="36" t="s">
        <v>225</v>
      </c>
      <c r="B212" s="49">
        <v>45852</v>
      </c>
      <c r="C212" s="47" t="str">
        <f t="shared" si="28"/>
        <v>Q3-2025</v>
      </c>
      <c r="D212" s="37">
        <v>45873</v>
      </c>
      <c r="E212" s="16">
        <f t="shared" si="27"/>
        <v>21</v>
      </c>
      <c r="F212" s="38" t="s">
        <v>648</v>
      </c>
      <c r="G212" s="38" t="s">
        <v>653</v>
      </c>
      <c r="H212" s="38" t="s">
        <v>681</v>
      </c>
      <c r="I212" s="38" t="s">
        <v>704</v>
      </c>
      <c r="J212" s="38" t="s">
        <v>708</v>
      </c>
      <c r="K212" s="38" t="s">
        <v>722</v>
      </c>
      <c r="L212" s="38" t="s">
        <v>732</v>
      </c>
      <c r="M212" s="39" t="s">
        <v>945</v>
      </c>
      <c r="N212" s="40">
        <v>90.3</v>
      </c>
      <c r="O212" s="40">
        <v>131.76</v>
      </c>
      <c r="P212" s="30" t="str">
        <f t="shared" si="29"/>
        <v>Low</v>
      </c>
      <c r="Q212" s="44">
        <v>0.10199999999999999</v>
      </c>
      <c r="R212" s="42" t="str">
        <f t="shared" si="30"/>
        <v>Medium</v>
      </c>
      <c r="S212" s="16">
        <v>15</v>
      </c>
      <c r="T212" s="30">
        <v>1774.8072</v>
      </c>
      <c r="U212" s="30">
        <v>1354.5</v>
      </c>
      <c r="V212" s="30">
        <v>420.30719999999997</v>
      </c>
      <c r="W212" s="30">
        <v>0.23681851189244668</v>
      </c>
      <c r="X212" t="str">
        <f t="shared" si="31"/>
        <v>Delayed</v>
      </c>
      <c r="Y212" t="str">
        <f t="shared" si="32"/>
        <v>Compliant Discount</v>
      </c>
      <c r="Z212" s="9">
        <f>MIN(Q212,'Scenario Modelling'!$B$2)</f>
        <v>0.10199999999999999</v>
      </c>
      <c r="AA212">
        <f t="shared" si="33"/>
        <v>118.32047999999999</v>
      </c>
      <c r="AB212">
        <f>N212*(1+'Scenario Modelling'!$B$3)</f>
        <v>99.33</v>
      </c>
      <c r="AC212">
        <f>ROUNDUP(S212*(1+'Scenario Modelling'!$B$4),0)</f>
        <v>16</v>
      </c>
      <c r="AD212">
        <f t="shared" si="34"/>
        <v>1893.1276799999998</v>
      </c>
      <c r="AE212">
        <f t="shared" si="35"/>
        <v>303.84767999999985</v>
      </c>
    </row>
    <row r="213" spans="1:31" x14ac:dyDescent="0.3">
      <c r="A213" s="31" t="s">
        <v>226</v>
      </c>
      <c r="B213" s="48">
        <v>45544</v>
      </c>
      <c r="C213" s="47" t="str">
        <f t="shared" si="28"/>
        <v>Q3-2024</v>
      </c>
      <c r="D213" s="32">
        <v>45566</v>
      </c>
      <c r="E213" s="17">
        <f t="shared" si="27"/>
        <v>22</v>
      </c>
      <c r="F213" s="33" t="s">
        <v>647</v>
      </c>
      <c r="G213" s="33" t="s">
        <v>659</v>
      </c>
      <c r="H213" s="33" t="s">
        <v>676</v>
      </c>
      <c r="I213" s="33" t="s">
        <v>704</v>
      </c>
      <c r="J213" s="33" t="s">
        <v>711</v>
      </c>
      <c r="K213" s="33" t="s">
        <v>716</v>
      </c>
      <c r="L213" s="33" t="s">
        <v>728</v>
      </c>
      <c r="M213" s="34" t="s">
        <v>946</v>
      </c>
      <c r="N213" s="35">
        <v>1166.18</v>
      </c>
      <c r="O213" s="35">
        <v>1335.02</v>
      </c>
      <c r="P213" s="30" t="str">
        <f t="shared" si="29"/>
        <v>Medium</v>
      </c>
      <c r="Q213" s="43">
        <v>0.128</v>
      </c>
      <c r="R213" s="42" t="str">
        <f t="shared" si="30"/>
        <v>Medium</v>
      </c>
      <c r="S213" s="17">
        <v>6</v>
      </c>
      <c r="T213" s="30">
        <v>6984.8246399999998</v>
      </c>
      <c r="U213" s="30">
        <v>6997.08</v>
      </c>
      <c r="V213" s="30">
        <v>-12.25536000000011</v>
      </c>
      <c r="W213" s="30">
        <v>-1.7545694604582242E-3</v>
      </c>
      <c r="X213" t="str">
        <f t="shared" si="31"/>
        <v>Delayed</v>
      </c>
      <c r="Y213" t="str">
        <f t="shared" si="32"/>
        <v>Compliant Discount</v>
      </c>
      <c r="Z213" s="9">
        <f>MIN(Q213,'Scenario Modelling'!$B$2)</f>
        <v>0.128</v>
      </c>
      <c r="AA213">
        <f t="shared" si="33"/>
        <v>1164.13744</v>
      </c>
      <c r="AB213">
        <f>N213*(1+'Scenario Modelling'!$B$3)</f>
        <v>1282.7980000000002</v>
      </c>
      <c r="AC213">
        <f>ROUNDUP(S213*(1+'Scenario Modelling'!$B$4),0)</f>
        <v>7</v>
      </c>
      <c r="AD213">
        <f t="shared" si="34"/>
        <v>8148.9620799999993</v>
      </c>
      <c r="AE213">
        <f t="shared" si="35"/>
        <v>-830.62392000000182</v>
      </c>
    </row>
    <row r="214" spans="1:31" x14ac:dyDescent="0.3">
      <c r="A214" s="36" t="s">
        <v>227</v>
      </c>
      <c r="B214" s="49">
        <v>45686</v>
      </c>
      <c r="C214" s="47" t="str">
        <f t="shared" si="28"/>
        <v>Q1-2025</v>
      </c>
      <c r="D214" s="37">
        <v>45694</v>
      </c>
      <c r="E214" s="16">
        <f t="shared" si="27"/>
        <v>8</v>
      </c>
      <c r="F214" s="38" t="s">
        <v>646</v>
      </c>
      <c r="G214" s="38" t="s">
        <v>650</v>
      </c>
      <c r="H214" s="38" t="s">
        <v>662</v>
      </c>
      <c r="I214" s="38" t="s">
        <v>702</v>
      </c>
      <c r="J214" s="38" t="s">
        <v>707</v>
      </c>
      <c r="K214" s="38" t="s">
        <v>717</v>
      </c>
      <c r="L214" s="38" t="s">
        <v>730</v>
      </c>
      <c r="M214" s="39" t="s">
        <v>947</v>
      </c>
      <c r="N214" s="40">
        <v>1445.27</v>
      </c>
      <c r="O214" s="40">
        <v>2691.45</v>
      </c>
      <c r="P214" s="30" t="str">
        <f t="shared" si="29"/>
        <v>High</v>
      </c>
      <c r="Q214" s="44">
        <v>0</v>
      </c>
      <c r="R214" s="42" t="str">
        <f t="shared" si="30"/>
        <v>Low</v>
      </c>
      <c r="S214" s="16">
        <v>9</v>
      </c>
      <c r="T214" s="30">
        <v>24223.05</v>
      </c>
      <c r="U214" s="30">
        <v>13007.43</v>
      </c>
      <c r="V214" s="30">
        <v>11215.619999999999</v>
      </c>
      <c r="W214" s="30">
        <v>0.46301436028906351</v>
      </c>
      <c r="X214" t="str">
        <f t="shared" si="31"/>
        <v>Delayed</v>
      </c>
      <c r="Y214" t="str">
        <f t="shared" si="32"/>
        <v>Compliant Discount</v>
      </c>
      <c r="Z214" s="9">
        <f>MIN(Q214,'Scenario Modelling'!$B$2)</f>
        <v>0</v>
      </c>
      <c r="AA214">
        <f t="shared" si="33"/>
        <v>2691.45</v>
      </c>
      <c r="AB214">
        <f>N214*(1+'Scenario Modelling'!$B$3)</f>
        <v>1589.797</v>
      </c>
      <c r="AC214">
        <f>ROUNDUP(S214*(1+'Scenario Modelling'!$B$4),0)</f>
        <v>10</v>
      </c>
      <c r="AD214">
        <f t="shared" si="34"/>
        <v>26914.5</v>
      </c>
      <c r="AE214">
        <f t="shared" si="35"/>
        <v>11016.529999999999</v>
      </c>
    </row>
    <row r="215" spans="1:31" x14ac:dyDescent="0.3">
      <c r="A215" s="31" t="s">
        <v>228</v>
      </c>
      <c r="B215" s="48">
        <v>45240</v>
      </c>
      <c r="C215" s="47" t="str">
        <f t="shared" si="28"/>
        <v>Q4-2023</v>
      </c>
      <c r="D215" s="32">
        <v>45258</v>
      </c>
      <c r="E215" s="17">
        <f t="shared" si="27"/>
        <v>18</v>
      </c>
      <c r="F215" s="33" t="s">
        <v>648</v>
      </c>
      <c r="G215" s="33" t="s">
        <v>655</v>
      </c>
      <c r="H215" s="33" t="s">
        <v>672</v>
      </c>
      <c r="I215" s="33" t="s">
        <v>702</v>
      </c>
      <c r="J215" s="33" t="s">
        <v>709</v>
      </c>
      <c r="K215" s="33" t="s">
        <v>716</v>
      </c>
      <c r="L215" s="33" t="s">
        <v>733</v>
      </c>
      <c r="M215" s="34" t="s">
        <v>948</v>
      </c>
      <c r="N215" s="35">
        <v>388.51</v>
      </c>
      <c r="O215" s="35">
        <v>776.46</v>
      </c>
      <c r="P215" s="30" t="str">
        <f t="shared" si="29"/>
        <v>Low</v>
      </c>
      <c r="Q215" s="43">
        <v>0.157</v>
      </c>
      <c r="R215" s="42" t="str">
        <f t="shared" si="30"/>
        <v>Medium</v>
      </c>
      <c r="S215" s="17">
        <v>12</v>
      </c>
      <c r="T215" s="30">
        <v>7854.6693599999999</v>
      </c>
      <c r="U215" s="30">
        <v>4662.12</v>
      </c>
      <c r="V215" s="30">
        <v>3192.54936</v>
      </c>
      <c r="W215" s="30">
        <v>0.40645241876864946</v>
      </c>
      <c r="X215" t="str">
        <f t="shared" si="31"/>
        <v>Delayed</v>
      </c>
      <c r="Y215" t="str">
        <f t="shared" si="32"/>
        <v>Compliant Discount</v>
      </c>
      <c r="Z215" s="9">
        <f>MIN(Q215,'Scenario Modelling'!$B$2)</f>
        <v>0.157</v>
      </c>
      <c r="AA215">
        <f t="shared" si="33"/>
        <v>654.55578000000003</v>
      </c>
      <c r="AB215">
        <f>N215*(1+'Scenario Modelling'!$B$3)</f>
        <v>427.36100000000005</v>
      </c>
      <c r="AC215">
        <f>ROUNDUP(S215*(1+'Scenario Modelling'!$B$4),0)</f>
        <v>13</v>
      </c>
      <c r="AD215">
        <f t="shared" si="34"/>
        <v>8509.2251400000005</v>
      </c>
      <c r="AE215">
        <f t="shared" si="35"/>
        <v>2953.5321399999998</v>
      </c>
    </row>
    <row r="216" spans="1:31" x14ac:dyDescent="0.3">
      <c r="A216" s="36" t="s">
        <v>229</v>
      </c>
      <c r="B216" s="49">
        <v>45351</v>
      </c>
      <c r="C216" s="47" t="str">
        <f t="shared" si="28"/>
        <v>Q1-2024</v>
      </c>
      <c r="D216" s="37">
        <v>45381</v>
      </c>
      <c r="E216" s="16">
        <f t="shared" si="27"/>
        <v>30</v>
      </c>
      <c r="F216" s="38" t="s">
        <v>647</v>
      </c>
      <c r="G216" s="38" t="s">
        <v>652</v>
      </c>
      <c r="H216" s="38" t="s">
        <v>694</v>
      </c>
      <c r="I216" s="38" t="s">
        <v>705</v>
      </c>
      <c r="J216" s="38" t="s">
        <v>711</v>
      </c>
      <c r="K216" s="38" t="s">
        <v>714</v>
      </c>
      <c r="L216" s="38" t="s">
        <v>729</v>
      </c>
      <c r="M216" s="39" t="s">
        <v>949</v>
      </c>
      <c r="N216" s="40">
        <v>231.11</v>
      </c>
      <c r="O216" s="40">
        <v>318.17</v>
      </c>
      <c r="P216" s="30" t="str">
        <f t="shared" si="29"/>
        <v>Low</v>
      </c>
      <c r="Q216" s="44">
        <v>0.20100000000000001</v>
      </c>
      <c r="R216" s="42" t="str">
        <f t="shared" si="30"/>
        <v>High</v>
      </c>
      <c r="S216" s="16">
        <v>60</v>
      </c>
      <c r="T216" s="30">
        <v>15253.069799999999</v>
      </c>
      <c r="U216" s="30">
        <v>13866.6</v>
      </c>
      <c r="V216" s="30">
        <v>1386.4697999999989</v>
      </c>
      <c r="W216" s="30">
        <v>9.0897754889969692E-2</v>
      </c>
      <c r="X216" t="str">
        <f t="shared" si="31"/>
        <v>Delayed</v>
      </c>
      <c r="Y216" t="str">
        <f t="shared" si="32"/>
        <v>Non-compliant Discount</v>
      </c>
      <c r="Z216" s="9">
        <f>MIN(Q216,'Scenario Modelling'!$B$2)</f>
        <v>0.2</v>
      </c>
      <c r="AA216">
        <f t="shared" si="33"/>
        <v>254.53600000000003</v>
      </c>
      <c r="AB216">
        <f>N216*(1+'Scenario Modelling'!$B$3)</f>
        <v>254.22100000000003</v>
      </c>
      <c r="AC216">
        <f>ROUNDUP(S216*(1+'Scenario Modelling'!$B$4),0)</f>
        <v>63</v>
      </c>
      <c r="AD216">
        <f t="shared" si="34"/>
        <v>16035.768000000002</v>
      </c>
      <c r="AE216">
        <f t="shared" si="35"/>
        <v>19.844999999999857</v>
      </c>
    </row>
    <row r="217" spans="1:31" x14ac:dyDescent="0.3">
      <c r="A217" s="31" t="s">
        <v>230</v>
      </c>
      <c r="B217" s="48">
        <v>45280</v>
      </c>
      <c r="C217" s="47" t="str">
        <f t="shared" si="28"/>
        <v>Q4-2023</v>
      </c>
      <c r="D217" s="32">
        <v>45305</v>
      </c>
      <c r="E217" s="17">
        <f t="shared" si="27"/>
        <v>25</v>
      </c>
      <c r="F217" s="33" t="s">
        <v>647</v>
      </c>
      <c r="G217" s="33" t="s">
        <v>654</v>
      </c>
      <c r="H217" s="33" t="s">
        <v>691</v>
      </c>
      <c r="I217" s="33" t="s">
        <v>703</v>
      </c>
      <c r="J217" s="33" t="s">
        <v>709</v>
      </c>
      <c r="K217" s="33" t="s">
        <v>716</v>
      </c>
      <c r="L217" s="33" t="s">
        <v>732</v>
      </c>
      <c r="M217" s="34" t="s">
        <v>950</v>
      </c>
      <c r="N217" s="35">
        <v>1085.6099999999999</v>
      </c>
      <c r="O217" s="35">
        <v>1246.4100000000001</v>
      </c>
      <c r="P217" s="30" t="str">
        <f t="shared" si="29"/>
        <v>Medium</v>
      </c>
      <c r="Q217" s="43">
        <v>0.113</v>
      </c>
      <c r="R217" s="42" t="str">
        <f t="shared" si="30"/>
        <v>Medium</v>
      </c>
      <c r="S217" s="17">
        <v>7</v>
      </c>
      <c r="T217" s="30">
        <v>7738.9596900000006</v>
      </c>
      <c r="U217" s="30">
        <v>7599.2699999999995</v>
      </c>
      <c r="V217" s="30">
        <v>139.68969000000106</v>
      </c>
      <c r="W217" s="30">
        <v>1.8050189637310417E-2</v>
      </c>
      <c r="X217" t="str">
        <f t="shared" si="31"/>
        <v>Delayed</v>
      </c>
      <c r="Y217" t="str">
        <f t="shared" si="32"/>
        <v>Compliant Discount</v>
      </c>
      <c r="Z217" s="9">
        <f>MIN(Q217,'Scenario Modelling'!$B$2)</f>
        <v>0.113</v>
      </c>
      <c r="AA217">
        <f t="shared" si="33"/>
        <v>1105.5656700000002</v>
      </c>
      <c r="AB217">
        <f>N217*(1+'Scenario Modelling'!$B$3)</f>
        <v>1194.171</v>
      </c>
      <c r="AC217">
        <f>ROUNDUP(S217*(1+'Scenario Modelling'!$B$4),0)</f>
        <v>8</v>
      </c>
      <c r="AD217">
        <f t="shared" si="34"/>
        <v>8844.5253600000015</v>
      </c>
      <c r="AE217">
        <f t="shared" si="35"/>
        <v>-708.84263999999894</v>
      </c>
    </row>
    <row r="218" spans="1:31" x14ac:dyDescent="0.3">
      <c r="A218" s="36" t="s">
        <v>231</v>
      </c>
      <c r="B218" s="49">
        <v>44948</v>
      </c>
      <c r="C218" s="47" t="str">
        <f t="shared" si="28"/>
        <v>Q1-2023</v>
      </c>
      <c r="D218" s="37">
        <v>44955</v>
      </c>
      <c r="E218" s="16">
        <f t="shared" si="27"/>
        <v>7</v>
      </c>
      <c r="F218" s="38" t="s">
        <v>649</v>
      </c>
      <c r="G218" s="38" t="s">
        <v>656</v>
      </c>
      <c r="H218" s="38" t="s">
        <v>684</v>
      </c>
      <c r="I218" s="38" t="s">
        <v>701</v>
      </c>
      <c r="J218" s="38" t="s">
        <v>711</v>
      </c>
      <c r="K218" s="38" t="s">
        <v>721</v>
      </c>
      <c r="L218" s="38" t="s">
        <v>732</v>
      </c>
      <c r="M218" s="39" t="s">
        <v>951</v>
      </c>
      <c r="N218" s="40">
        <v>150.86000000000001</v>
      </c>
      <c r="O218" s="40">
        <v>346.96</v>
      </c>
      <c r="P218" s="30" t="str">
        <f t="shared" si="29"/>
        <v>Low</v>
      </c>
      <c r="Q218" s="44">
        <v>0.19600000000000001</v>
      </c>
      <c r="R218" s="42" t="str">
        <f t="shared" si="30"/>
        <v>Medium</v>
      </c>
      <c r="S218" s="16">
        <v>8</v>
      </c>
      <c r="T218" s="30">
        <v>2231.6467200000002</v>
      </c>
      <c r="U218" s="30">
        <v>1206.8800000000001</v>
      </c>
      <c r="V218" s="30">
        <v>1024.7667200000001</v>
      </c>
      <c r="W218" s="30">
        <v>0.45919755614365343</v>
      </c>
      <c r="X218" t="str">
        <f t="shared" si="31"/>
        <v>On-time</v>
      </c>
      <c r="Y218" t="str">
        <f t="shared" si="32"/>
        <v>Compliant Discount</v>
      </c>
      <c r="Z218" s="9">
        <f>MIN(Q218,'Scenario Modelling'!$B$2)</f>
        <v>0.19600000000000001</v>
      </c>
      <c r="AA218">
        <f t="shared" si="33"/>
        <v>278.95584000000002</v>
      </c>
      <c r="AB218">
        <f>N218*(1+'Scenario Modelling'!$B$3)</f>
        <v>165.94600000000003</v>
      </c>
      <c r="AC218">
        <f>ROUNDUP(S218*(1+'Scenario Modelling'!$B$4),0)</f>
        <v>9</v>
      </c>
      <c r="AD218">
        <f t="shared" si="34"/>
        <v>2510.6025600000003</v>
      </c>
      <c r="AE218">
        <f t="shared" si="35"/>
        <v>1017.0885599999999</v>
      </c>
    </row>
    <row r="219" spans="1:31" x14ac:dyDescent="0.3">
      <c r="A219" s="31" t="s">
        <v>232</v>
      </c>
      <c r="B219" s="48">
        <v>45576</v>
      </c>
      <c r="C219" s="47" t="str">
        <f t="shared" si="28"/>
        <v>Q4-2024</v>
      </c>
      <c r="D219" s="32">
        <v>45605</v>
      </c>
      <c r="E219" s="17">
        <f t="shared" si="27"/>
        <v>29</v>
      </c>
      <c r="F219" s="33" t="s">
        <v>647</v>
      </c>
      <c r="G219" s="33" t="s">
        <v>659</v>
      </c>
      <c r="H219" s="33" t="s">
        <v>685</v>
      </c>
      <c r="I219" s="33" t="s">
        <v>703</v>
      </c>
      <c r="J219" s="33" t="s">
        <v>708</v>
      </c>
      <c r="K219" s="33" t="s">
        <v>721</v>
      </c>
      <c r="L219" s="33" t="s">
        <v>728</v>
      </c>
      <c r="M219" s="34" t="s">
        <v>952</v>
      </c>
      <c r="N219" s="35">
        <v>391.64</v>
      </c>
      <c r="O219" s="35">
        <v>504.76</v>
      </c>
      <c r="P219" s="30" t="str">
        <f t="shared" si="29"/>
        <v>Low</v>
      </c>
      <c r="Q219" s="43">
        <v>4.0000000000000001E-3</v>
      </c>
      <c r="R219" s="42" t="str">
        <f t="shared" si="30"/>
        <v>Low</v>
      </c>
      <c r="S219" s="17">
        <v>13</v>
      </c>
      <c r="T219" s="30">
        <v>6535.6324800000002</v>
      </c>
      <c r="U219" s="30">
        <v>5091.32</v>
      </c>
      <c r="V219" s="30">
        <v>1444.3124800000005</v>
      </c>
      <c r="W219" s="30">
        <v>0.22099046793402319</v>
      </c>
      <c r="X219" t="str">
        <f t="shared" si="31"/>
        <v>Delayed</v>
      </c>
      <c r="Y219" t="str">
        <f t="shared" si="32"/>
        <v>Compliant Discount</v>
      </c>
      <c r="Z219" s="9">
        <f>MIN(Q219,'Scenario Modelling'!$B$2)</f>
        <v>4.0000000000000001E-3</v>
      </c>
      <c r="AA219">
        <f t="shared" si="33"/>
        <v>502.74095999999997</v>
      </c>
      <c r="AB219">
        <f>N219*(1+'Scenario Modelling'!$B$3)</f>
        <v>430.80400000000003</v>
      </c>
      <c r="AC219">
        <f>ROUNDUP(S219*(1+'Scenario Modelling'!$B$4),0)</f>
        <v>14</v>
      </c>
      <c r="AD219">
        <f t="shared" si="34"/>
        <v>7038.3734399999994</v>
      </c>
      <c r="AE219">
        <f t="shared" si="35"/>
        <v>1007.1174399999992</v>
      </c>
    </row>
    <row r="220" spans="1:31" x14ac:dyDescent="0.3">
      <c r="A220" s="36" t="s">
        <v>233</v>
      </c>
      <c r="B220" s="49">
        <v>45554</v>
      </c>
      <c r="C220" s="47" t="str">
        <f t="shared" si="28"/>
        <v>Q3-2024</v>
      </c>
      <c r="D220" s="37">
        <v>45579</v>
      </c>
      <c r="E220" s="16">
        <f t="shared" si="27"/>
        <v>25</v>
      </c>
      <c r="F220" s="38" t="s">
        <v>648</v>
      </c>
      <c r="G220" s="38" t="s">
        <v>655</v>
      </c>
      <c r="H220" s="38" t="s">
        <v>692</v>
      </c>
      <c r="I220" s="38" t="s">
        <v>705</v>
      </c>
      <c r="J220" s="38" t="s">
        <v>707</v>
      </c>
      <c r="K220" s="38" t="s">
        <v>723</v>
      </c>
      <c r="L220" s="38" t="s">
        <v>728</v>
      </c>
      <c r="M220" s="39" t="s">
        <v>953</v>
      </c>
      <c r="N220" s="40">
        <v>386.96</v>
      </c>
      <c r="O220" s="40">
        <v>937.46</v>
      </c>
      <c r="P220" s="30" t="str">
        <f t="shared" si="29"/>
        <v>Medium</v>
      </c>
      <c r="Q220" s="44">
        <v>0.26600000000000001</v>
      </c>
      <c r="R220" s="42" t="str">
        <f t="shared" si="30"/>
        <v>High</v>
      </c>
      <c r="S220" s="16">
        <v>41</v>
      </c>
      <c r="T220" s="30">
        <v>28211.92124</v>
      </c>
      <c r="U220" s="30">
        <v>15865.359999999999</v>
      </c>
      <c r="V220" s="30">
        <v>12346.561240000001</v>
      </c>
      <c r="W220" s="30">
        <v>0.43763631462626335</v>
      </c>
      <c r="X220" t="str">
        <f t="shared" si="31"/>
        <v>Delayed</v>
      </c>
      <c r="Y220" t="str">
        <f t="shared" si="32"/>
        <v>Non-compliant Discount</v>
      </c>
      <c r="Z220" s="9">
        <f>MIN(Q220,'Scenario Modelling'!$B$2)</f>
        <v>0.2</v>
      </c>
      <c r="AA220">
        <f t="shared" si="33"/>
        <v>749.96800000000007</v>
      </c>
      <c r="AB220">
        <f>N220*(1+'Scenario Modelling'!$B$3)</f>
        <v>425.65600000000001</v>
      </c>
      <c r="AC220">
        <f>ROUNDUP(S220*(1+'Scenario Modelling'!$B$4),0)</f>
        <v>44</v>
      </c>
      <c r="AD220">
        <f t="shared" si="34"/>
        <v>32998.592000000004</v>
      </c>
      <c r="AE220">
        <f t="shared" si="35"/>
        <v>14269.728000000003</v>
      </c>
    </row>
    <row r="221" spans="1:31" x14ac:dyDescent="0.3">
      <c r="A221" s="31" t="s">
        <v>234</v>
      </c>
      <c r="B221" s="48">
        <v>45894</v>
      </c>
      <c r="C221" s="47" t="str">
        <f t="shared" si="28"/>
        <v>Q3-2025</v>
      </c>
      <c r="D221" s="32">
        <v>45924</v>
      </c>
      <c r="E221" s="17">
        <f t="shared" si="27"/>
        <v>30</v>
      </c>
      <c r="F221" s="33" t="s">
        <v>646</v>
      </c>
      <c r="G221" s="33" t="s">
        <v>650</v>
      </c>
      <c r="H221" s="33" t="s">
        <v>664</v>
      </c>
      <c r="I221" s="33" t="s">
        <v>704</v>
      </c>
      <c r="J221" s="33" t="s">
        <v>711</v>
      </c>
      <c r="K221" s="33" t="s">
        <v>717</v>
      </c>
      <c r="L221" s="33" t="s">
        <v>727</v>
      </c>
      <c r="M221" s="34" t="s">
        <v>954</v>
      </c>
      <c r="N221" s="35">
        <v>589.14</v>
      </c>
      <c r="O221" s="35">
        <v>1300.58</v>
      </c>
      <c r="P221" s="30" t="str">
        <f t="shared" si="29"/>
        <v>Medium</v>
      </c>
      <c r="Q221" s="43">
        <v>5.5E-2</v>
      </c>
      <c r="R221" s="42" t="str">
        <f t="shared" si="30"/>
        <v>Low</v>
      </c>
      <c r="S221" s="17">
        <v>11</v>
      </c>
      <c r="T221" s="30">
        <v>13519.529099999998</v>
      </c>
      <c r="U221" s="30">
        <v>6480.54</v>
      </c>
      <c r="V221" s="30">
        <v>7038.989099999998</v>
      </c>
      <c r="W221" s="30">
        <v>0.52065342275863724</v>
      </c>
      <c r="X221" t="str">
        <f t="shared" si="31"/>
        <v>Delayed</v>
      </c>
      <c r="Y221" t="str">
        <f t="shared" si="32"/>
        <v>Compliant Discount</v>
      </c>
      <c r="Z221" s="9">
        <f>MIN(Q221,'Scenario Modelling'!$B$2)</f>
        <v>5.5E-2</v>
      </c>
      <c r="AA221">
        <f t="shared" si="33"/>
        <v>1229.0481</v>
      </c>
      <c r="AB221">
        <f>N221*(1+'Scenario Modelling'!$B$3)</f>
        <v>648.05400000000009</v>
      </c>
      <c r="AC221">
        <f>ROUNDUP(S221*(1+'Scenario Modelling'!$B$4),0)</f>
        <v>12</v>
      </c>
      <c r="AD221">
        <f t="shared" si="34"/>
        <v>14748.5772</v>
      </c>
      <c r="AE221">
        <f t="shared" si="35"/>
        <v>6971.9291999999987</v>
      </c>
    </row>
    <row r="222" spans="1:31" x14ac:dyDescent="0.3">
      <c r="A222" s="36" t="s">
        <v>235</v>
      </c>
      <c r="B222" s="49">
        <v>45194</v>
      </c>
      <c r="C222" s="47" t="str">
        <f t="shared" si="28"/>
        <v>Q3-2023</v>
      </c>
      <c r="D222" s="37">
        <v>45201</v>
      </c>
      <c r="E222" s="16">
        <f t="shared" si="27"/>
        <v>7</v>
      </c>
      <c r="F222" s="38" t="s">
        <v>648</v>
      </c>
      <c r="G222" s="38" t="s">
        <v>660</v>
      </c>
      <c r="H222" s="38" t="s">
        <v>700</v>
      </c>
      <c r="I222" s="38" t="s">
        <v>702</v>
      </c>
      <c r="J222" s="38" t="s">
        <v>709</v>
      </c>
      <c r="K222" s="38" t="s">
        <v>714</v>
      </c>
      <c r="L222" s="38" t="s">
        <v>733</v>
      </c>
      <c r="M222" s="39" t="s">
        <v>955</v>
      </c>
      <c r="N222" s="40">
        <v>145.58000000000001</v>
      </c>
      <c r="O222" s="40">
        <v>228.15</v>
      </c>
      <c r="P222" s="30" t="str">
        <f t="shared" si="29"/>
        <v>Low</v>
      </c>
      <c r="Q222" s="44">
        <v>0.20399999999999999</v>
      </c>
      <c r="R222" s="42" t="str">
        <f t="shared" si="30"/>
        <v>High</v>
      </c>
      <c r="S222" s="16">
        <v>5</v>
      </c>
      <c r="T222" s="30">
        <v>908.03700000000003</v>
      </c>
      <c r="U222" s="30">
        <v>727.90000000000009</v>
      </c>
      <c r="V222" s="30">
        <v>180.13699999999994</v>
      </c>
      <c r="W222" s="30">
        <v>0.19838068272548359</v>
      </c>
      <c r="X222" t="str">
        <f t="shared" si="31"/>
        <v>On-time</v>
      </c>
      <c r="Y222" t="str">
        <f t="shared" si="32"/>
        <v>Non-compliant Discount</v>
      </c>
      <c r="Z222" s="9">
        <f>MIN(Q222,'Scenario Modelling'!$B$2)</f>
        <v>0.2</v>
      </c>
      <c r="AA222">
        <f t="shared" si="33"/>
        <v>182.52</v>
      </c>
      <c r="AB222">
        <f>N222*(1+'Scenario Modelling'!$B$3)</f>
        <v>160.13800000000003</v>
      </c>
      <c r="AC222">
        <f>ROUNDUP(S222*(1+'Scenario Modelling'!$B$4),0)</f>
        <v>6</v>
      </c>
      <c r="AD222">
        <f t="shared" si="34"/>
        <v>1095.1200000000001</v>
      </c>
      <c r="AE222">
        <f t="shared" si="35"/>
        <v>134.29199999999986</v>
      </c>
    </row>
    <row r="223" spans="1:31" x14ac:dyDescent="0.3">
      <c r="A223" s="31" t="s">
        <v>236</v>
      </c>
      <c r="B223" s="48">
        <v>45164</v>
      </c>
      <c r="C223" s="47" t="str">
        <f t="shared" si="28"/>
        <v>Q3-2023</v>
      </c>
      <c r="D223" s="32">
        <v>45179</v>
      </c>
      <c r="E223" s="17">
        <f t="shared" si="27"/>
        <v>15</v>
      </c>
      <c r="F223" s="33" t="s">
        <v>646</v>
      </c>
      <c r="G223" s="33" t="s">
        <v>661</v>
      </c>
      <c r="H223" s="33" t="s">
        <v>695</v>
      </c>
      <c r="I223" s="33" t="s">
        <v>703</v>
      </c>
      <c r="J223" s="33" t="s">
        <v>711</v>
      </c>
      <c r="K223" s="33" t="s">
        <v>725</v>
      </c>
      <c r="L223" s="33" t="s">
        <v>727</v>
      </c>
      <c r="M223" s="34" t="s">
        <v>956</v>
      </c>
      <c r="N223" s="35">
        <v>241.14</v>
      </c>
      <c r="O223" s="35">
        <v>496.52</v>
      </c>
      <c r="P223" s="30" t="str">
        <f t="shared" si="29"/>
        <v>Low</v>
      </c>
      <c r="Q223" s="43">
        <v>9.2999999999999999E-2</v>
      </c>
      <c r="R223" s="42" t="str">
        <f t="shared" si="30"/>
        <v>Low</v>
      </c>
      <c r="S223" s="17">
        <v>10</v>
      </c>
      <c r="T223" s="30">
        <v>4503.4363999999996</v>
      </c>
      <c r="U223" s="30">
        <v>2411.3999999999996</v>
      </c>
      <c r="V223" s="30">
        <v>2092.0364</v>
      </c>
      <c r="W223" s="30">
        <v>0.46454223268257994</v>
      </c>
      <c r="X223" t="str">
        <f t="shared" si="31"/>
        <v>Delayed</v>
      </c>
      <c r="Y223" t="str">
        <f t="shared" si="32"/>
        <v>Compliant Discount</v>
      </c>
      <c r="Z223" s="9">
        <f>MIN(Q223,'Scenario Modelling'!$B$2)</f>
        <v>9.2999999999999999E-2</v>
      </c>
      <c r="AA223">
        <f t="shared" si="33"/>
        <v>450.34363999999999</v>
      </c>
      <c r="AB223">
        <f>N223*(1+'Scenario Modelling'!$B$3)</f>
        <v>265.25400000000002</v>
      </c>
      <c r="AC223">
        <f>ROUNDUP(S223*(1+'Scenario Modelling'!$B$4),0)</f>
        <v>11</v>
      </c>
      <c r="AD223">
        <f t="shared" si="34"/>
        <v>4953.7800399999996</v>
      </c>
      <c r="AE223">
        <f t="shared" si="35"/>
        <v>2035.9860399999998</v>
      </c>
    </row>
    <row r="224" spans="1:31" x14ac:dyDescent="0.3">
      <c r="A224" s="36" t="s">
        <v>237</v>
      </c>
      <c r="B224" s="49">
        <v>45854</v>
      </c>
      <c r="C224" s="47" t="str">
        <f t="shared" si="28"/>
        <v>Q3-2025</v>
      </c>
      <c r="D224" s="37">
        <v>45855</v>
      </c>
      <c r="E224" s="16">
        <f t="shared" si="27"/>
        <v>1</v>
      </c>
      <c r="F224" s="38" t="s">
        <v>646</v>
      </c>
      <c r="G224" s="38" t="s">
        <v>661</v>
      </c>
      <c r="H224" s="38" t="s">
        <v>687</v>
      </c>
      <c r="I224" s="38" t="s">
        <v>705</v>
      </c>
      <c r="J224" s="38" t="s">
        <v>710</v>
      </c>
      <c r="K224" s="38" t="s">
        <v>717</v>
      </c>
      <c r="L224" s="38" t="s">
        <v>729</v>
      </c>
      <c r="M224" s="39" t="s">
        <v>957</v>
      </c>
      <c r="N224" s="40">
        <v>1198.9000000000001</v>
      </c>
      <c r="O224" s="40">
        <v>2941.2</v>
      </c>
      <c r="P224" s="30" t="str">
        <f t="shared" si="29"/>
        <v>High</v>
      </c>
      <c r="Q224" s="44">
        <v>5.0999999999999997E-2</v>
      </c>
      <c r="R224" s="42" t="str">
        <f t="shared" si="30"/>
        <v>Low</v>
      </c>
      <c r="S224" s="16">
        <v>24</v>
      </c>
      <c r="T224" s="30">
        <v>66988.771199999988</v>
      </c>
      <c r="U224" s="30">
        <v>28773.600000000002</v>
      </c>
      <c r="V224" s="30">
        <v>38215.171199999982</v>
      </c>
      <c r="W224" s="30">
        <v>0.57047129713583977</v>
      </c>
      <c r="X224" t="str">
        <f t="shared" si="31"/>
        <v>On-time</v>
      </c>
      <c r="Y224" t="str">
        <f t="shared" si="32"/>
        <v>Compliant Discount</v>
      </c>
      <c r="Z224" s="9">
        <f>MIN(Q224,'Scenario Modelling'!$B$2)</f>
        <v>5.0999999999999997E-2</v>
      </c>
      <c r="AA224">
        <f t="shared" si="33"/>
        <v>2791.1987999999997</v>
      </c>
      <c r="AB224">
        <f>N224*(1+'Scenario Modelling'!$B$3)</f>
        <v>1318.7900000000002</v>
      </c>
      <c r="AC224">
        <f>ROUNDUP(S224*(1+'Scenario Modelling'!$B$4),0)</f>
        <v>26</v>
      </c>
      <c r="AD224">
        <f t="shared" si="34"/>
        <v>72571.168799999985</v>
      </c>
      <c r="AE224">
        <f t="shared" si="35"/>
        <v>38282.628799999984</v>
      </c>
    </row>
    <row r="225" spans="1:31" x14ac:dyDescent="0.3">
      <c r="A225" s="31" t="s">
        <v>238</v>
      </c>
      <c r="B225" s="48">
        <v>45035</v>
      </c>
      <c r="C225" s="47" t="str">
        <f t="shared" si="28"/>
        <v>Q2-2023</v>
      </c>
      <c r="D225" s="32">
        <v>45053</v>
      </c>
      <c r="E225" s="17">
        <f t="shared" si="27"/>
        <v>18</v>
      </c>
      <c r="F225" s="33" t="s">
        <v>649</v>
      </c>
      <c r="G225" s="33" t="s">
        <v>658</v>
      </c>
      <c r="H225" s="33" t="s">
        <v>674</v>
      </c>
      <c r="I225" s="33" t="s">
        <v>706</v>
      </c>
      <c r="J225" s="33" t="s">
        <v>707</v>
      </c>
      <c r="K225" s="33" t="s">
        <v>725</v>
      </c>
      <c r="L225" s="33" t="s">
        <v>731</v>
      </c>
      <c r="M225" s="34" t="s">
        <v>958</v>
      </c>
      <c r="N225" s="35">
        <v>1089.1500000000001</v>
      </c>
      <c r="O225" s="35">
        <v>1088.2</v>
      </c>
      <c r="P225" s="30" t="str">
        <f t="shared" si="29"/>
        <v>Medium</v>
      </c>
      <c r="Q225" s="43">
        <v>5.0999999999999997E-2</v>
      </c>
      <c r="R225" s="42" t="str">
        <f t="shared" si="30"/>
        <v>Low</v>
      </c>
      <c r="S225" s="17">
        <v>15</v>
      </c>
      <c r="T225" s="30">
        <v>15490.527</v>
      </c>
      <c r="U225" s="30">
        <v>16337.250000000002</v>
      </c>
      <c r="V225" s="30">
        <v>-846.72300000000178</v>
      </c>
      <c r="W225" s="30">
        <v>-5.4660696824582002E-2</v>
      </c>
      <c r="X225" t="str">
        <f t="shared" si="31"/>
        <v>Delayed</v>
      </c>
      <c r="Y225" t="str">
        <f t="shared" si="32"/>
        <v>Compliant Discount</v>
      </c>
      <c r="Z225" s="9">
        <f>MIN(Q225,'Scenario Modelling'!$B$2)</f>
        <v>5.0999999999999997E-2</v>
      </c>
      <c r="AA225">
        <f t="shared" si="33"/>
        <v>1032.7018</v>
      </c>
      <c r="AB225">
        <f>N225*(1+'Scenario Modelling'!$B$3)</f>
        <v>1198.0650000000003</v>
      </c>
      <c r="AC225">
        <f>ROUNDUP(S225*(1+'Scenario Modelling'!$B$4),0)</f>
        <v>16</v>
      </c>
      <c r="AD225">
        <f t="shared" si="34"/>
        <v>16523.228800000001</v>
      </c>
      <c r="AE225">
        <f t="shared" si="35"/>
        <v>-2645.8112000000037</v>
      </c>
    </row>
    <row r="226" spans="1:31" x14ac:dyDescent="0.3">
      <c r="A226" s="36" t="s">
        <v>239</v>
      </c>
      <c r="B226" s="49">
        <v>45279</v>
      </c>
      <c r="C226" s="47" t="str">
        <f t="shared" si="28"/>
        <v>Q4-2023</v>
      </c>
      <c r="D226" s="37">
        <v>45280</v>
      </c>
      <c r="E226" s="16">
        <f t="shared" si="27"/>
        <v>1</v>
      </c>
      <c r="F226" s="38" t="s">
        <v>648</v>
      </c>
      <c r="G226" s="38" t="s">
        <v>655</v>
      </c>
      <c r="H226" s="38" t="s">
        <v>692</v>
      </c>
      <c r="I226" s="38" t="s">
        <v>704</v>
      </c>
      <c r="J226" s="38" t="s">
        <v>710</v>
      </c>
      <c r="K226" s="38" t="s">
        <v>713</v>
      </c>
      <c r="L226" s="38" t="s">
        <v>730</v>
      </c>
      <c r="M226" s="39" t="s">
        <v>959</v>
      </c>
      <c r="N226" s="40">
        <v>1080.43</v>
      </c>
      <c r="O226" s="40">
        <v>2529.15</v>
      </c>
      <c r="P226" s="30" t="str">
        <f t="shared" si="29"/>
        <v>High</v>
      </c>
      <c r="Q226" s="44">
        <v>0.14699999999999999</v>
      </c>
      <c r="R226" s="42" t="str">
        <f t="shared" si="30"/>
        <v>Medium</v>
      </c>
      <c r="S226" s="16">
        <v>10</v>
      </c>
      <c r="T226" s="30">
        <v>21573.6495</v>
      </c>
      <c r="U226" s="30">
        <v>10804.300000000001</v>
      </c>
      <c r="V226" s="30">
        <v>10769.349499999998</v>
      </c>
      <c r="W226" s="30">
        <v>0.49918997247081437</v>
      </c>
      <c r="X226" t="str">
        <f t="shared" si="31"/>
        <v>On-time</v>
      </c>
      <c r="Y226" t="str">
        <f t="shared" si="32"/>
        <v>Compliant Discount</v>
      </c>
      <c r="Z226" s="9">
        <f>MIN(Q226,'Scenario Modelling'!$B$2)</f>
        <v>0.14699999999999999</v>
      </c>
      <c r="AA226">
        <f t="shared" si="33"/>
        <v>2157.3649500000001</v>
      </c>
      <c r="AB226">
        <f>N226*(1+'Scenario Modelling'!$B$3)</f>
        <v>1188.4730000000002</v>
      </c>
      <c r="AC226">
        <f>ROUNDUP(S226*(1+'Scenario Modelling'!$B$4),0)</f>
        <v>11</v>
      </c>
      <c r="AD226">
        <f t="shared" si="34"/>
        <v>23731.014450000002</v>
      </c>
      <c r="AE226">
        <f t="shared" si="35"/>
        <v>10657.811449999999</v>
      </c>
    </row>
    <row r="227" spans="1:31" x14ac:dyDescent="0.3">
      <c r="A227" s="31" t="s">
        <v>240</v>
      </c>
      <c r="B227" s="48">
        <v>45137</v>
      </c>
      <c r="C227" s="47" t="str">
        <f t="shared" si="28"/>
        <v>Q3-2023</v>
      </c>
      <c r="D227" s="32">
        <v>45145</v>
      </c>
      <c r="E227" s="17">
        <f t="shared" si="27"/>
        <v>8</v>
      </c>
      <c r="F227" s="33" t="s">
        <v>647</v>
      </c>
      <c r="G227" s="33" t="s">
        <v>652</v>
      </c>
      <c r="H227" s="33" t="s">
        <v>694</v>
      </c>
      <c r="I227" s="33" t="s">
        <v>702</v>
      </c>
      <c r="J227" s="33" t="s">
        <v>709</v>
      </c>
      <c r="K227" s="33" t="s">
        <v>720</v>
      </c>
      <c r="L227" s="33" t="s">
        <v>729</v>
      </c>
      <c r="M227" s="34" t="s">
        <v>960</v>
      </c>
      <c r="N227" s="35">
        <v>1352.44</v>
      </c>
      <c r="O227" s="35">
        <v>2698.01</v>
      </c>
      <c r="P227" s="30" t="str">
        <f t="shared" si="29"/>
        <v>High</v>
      </c>
      <c r="Q227" s="43">
        <v>0.13100000000000001</v>
      </c>
      <c r="R227" s="42" t="str">
        <f t="shared" si="30"/>
        <v>Medium</v>
      </c>
      <c r="S227" s="17">
        <v>13</v>
      </c>
      <c r="T227" s="30">
        <v>30479.418970000002</v>
      </c>
      <c r="U227" s="30">
        <v>17581.72</v>
      </c>
      <c r="V227" s="30">
        <v>12897.698970000001</v>
      </c>
      <c r="W227" s="30">
        <v>0.42316091992090887</v>
      </c>
      <c r="X227" t="str">
        <f t="shared" si="31"/>
        <v>Delayed</v>
      </c>
      <c r="Y227" t="str">
        <f t="shared" si="32"/>
        <v>Compliant Discount</v>
      </c>
      <c r="Z227" s="9">
        <f>MIN(Q227,'Scenario Modelling'!$B$2)</f>
        <v>0.13100000000000001</v>
      </c>
      <c r="AA227">
        <f t="shared" si="33"/>
        <v>2344.57069</v>
      </c>
      <c r="AB227">
        <f>N227*(1+'Scenario Modelling'!$B$3)</f>
        <v>1487.6840000000002</v>
      </c>
      <c r="AC227">
        <f>ROUNDUP(S227*(1+'Scenario Modelling'!$B$4),0)</f>
        <v>14</v>
      </c>
      <c r="AD227">
        <f t="shared" si="34"/>
        <v>32823.989659999999</v>
      </c>
      <c r="AE227">
        <f t="shared" si="35"/>
        <v>11996.413659999998</v>
      </c>
    </row>
    <row r="228" spans="1:31" x14ac:dyDescent="0.3">
      <c r="A228" s="36" t="s">
        <v>241</v>
      </c>
      <c r="B228" s="49">
        <v>45203</v>
      </c>
      <c r="C228" s="47" t="str">
        <f t="shared" si="28"/>
        <v>Q4-2023</v>
      </c>
      <c r="D228" s="37">
        <v>45228</v>
      </c>
      <c r="E228" s="16">
        <f t="shared" si="27"/>
        <v>25</v>
      </c>
      <c r="F228" s="38" t="s">
        <v>648</v>
      </c>
      <c r="G228" s="38" t="s">
        <v>660</v>
      </c>
      <c r="H228" s="38" t="s">
        <v>686</v>
      </c>
      <c r="I228" s="38" t="s">
        <v>705</v>
      </c>
      <c r="J228" s="38" t="s">
        <v>710</v>
      </c>
      <c r="K228" s="38" t="s">
        <v>719</v>
      </c>
      <c r="L228" s="38" t="s">
        <v>733</v>
      </c>
      <c r="M228" s="39" t="s">
        <v>961</v>
      </c>
      <c r="N228" s="40">
        <v>1239.8399999999999</v>
      </c>
      <c r="O228" s="40">
        <v>1482.75</v>
      </c>
      <c r="P228" s="30" t="str">
        <f t="shared" si="29"/>
        <v>Medium</v>
      </c>
      <c r="Q228" s="44">
        <v>6.7000000000000004E-2</v>
      </c>
      <c r="R228" s="42" t="str">
        <f t="shared" si="30"/>
        <v>Low</v>
      </c>
      <c r="S228" s="16">
        <v>4</v>
      </c>
      <c r="T228" s="30">
        <v>5533.6230000000005</v>
      </c>
      <c r="U228" s="30">
        <v>4959.3599999999997</v>
      </c>
      <c r="V228" s="30">
        <v>574.26300000000083</v>
      </c>
      <c r="W228" s="30">
        <v>0.10377703721413634</v>
      </c>
      <c r="X228" t="str">
        <f t="shared" si="31"/>
        <v>Delayed</v>
      </c>
      <c r="Y228" t="str">
        <f t="shared" si="32"/>
        <v>Compliant Discount</v>
      </c>
      <c r="Z228" s="9">
        <f>MIN(Q228,'Scenario Modelling'!$B$2)</f>
        <v>6.7000000000000004E-2</v>
      </c>
      <c r="AA228">
        <f t="shared" si="33"/>
        <v>1383.4057500000001</v>
      </c>
      <c r="AB228">
        <f>N228*(1+'Scenario Modelling'!$B$3)</f>
        <v>1363.8240000000001</v>
      </c>
      <c r="AC228">
        <f>ROUNDUP(S228*(1+'Scenario Modelling'!$B$4),0)</f>
        <v>5</v>
      </c>
      <c r="AD228">
        <f t="shared" si="34"/>
        <v>6917.0287500000004</v>
      </c>
      <c r="AE228">
        <f t="shared" si="35"/>
        <v>97.908750000000282</v>
      </c>
    </row>
    <row r="229" spans="1:31" x14ac:dyDescent="0.3">
      <c r="A229" s="31" t="s">
        <v>242</v>
      </c>
      <c r="B229" s="48">
        <v>45879</v>
      </c>
      <c r="C229" s="47" t="str">
        <f t="shared" si="28"/>
        <v>Q3-2025</v>
      </c>
      <c r="D229" s="32">
        <v>45899</v>
      </c>
      <c r="E229" s="17">
        <f t="shared" si="27"/>
        <v>20</v>
      </c>
      <c r="F229" s="33" t="s">
        <v>648</v>
      </c>
      <c r="G229" s="33" t="s">
        <v>660</v>
      </c>
      <c r="H229" s="33" t="s">
        <v>686</v>
      </c>
      <c r="I229" s="33" t="s">
        <v>701</v>
      </c>
      <c r="J229" s="33" t="s">
        <v>709</v>
      </c>
      <c r="K229" s="33" t="s">
        <v>723</v>
      </c>
      <c r="L229" s="33" t="s">
        <v>728</v>
      </c>
      <c r="M229" s="34" t="s">
        <v>962</v>
      </c>
      <c r="N229" s="35">
        <v>933.29</v>
      </c>
      <c r="O229" s="35">
        <v>1456.81</v>
      </c>
      <c r="P229" s="30" t="str">
        <f t="shared" si="29"/>
        <v>Medium</v>
      </c>
      <c r="Q229" s="43">
        <v>0.123</v>
      </c>
      <c r="R229" s="42" t="str">
        <f t="shared" si="30"/>
        <v>Medium</v>
      </c>
      <c r="S229" s="17">
        <v>13</v>
      </c>
      <c r="T229" s="30">
        <v>16609.090809999998</v>
      </c>
      <c r="U229" s="30">
        <v>12132.77</v>
      </c>
      <c r="V229" s="30">
        <v>4476.3208099999974</v>
      </c>
      <c r="W229" s="30">
        <v>0.26951028573489977</v>
      </c>
      <c r="X229" t="str">
        <f t="shared" si="31"/>
        <v>Delayed</v>
      </c>
      <c r="Y229" t="str">
        <f t="shared" si="32"/>
        <v>Compliant Discount</v>
      </c>
      <c r="Z229" s="9">
        <f>MIN(Q229,'Scenario Modelling'!$B$2)</f>
        <v>0.123</v>
      </c>
      <c r="AA229">
        <f t="shared" si="33"/>
        <v>1277.62237</v>
      </c>
      <c r="AB229">
        <f>N229*(1+'Scenario Modelling'!$B$3)</f>
        <v>1026.6190000000001</v>
      </c>
      <c r="AC229">
        <f>ROUNDUP(S229*(1+'Scenario Modelling'!$B$4),0)</f>
        <v>14</v>
      </c>
      <c r="AD229">
        <f t="shared" si="34"/>
        <v>17886.713179999999</v>
      </c>
      <c r="AE229">
        <f t="shared" si="35"/>
        <v>3514.0471799999987</v>
      </c>
    </row>
    <row r="230" spans="1:31" x14ac:dyDescent="0.3">
      <c r="A230" s="36" t="s">
        <v>243</v>
      </c>
      <c r="B230" s="49">
        <v>44992</v>
      </c>
      <c r="C230" s="47" t="str">
        <f t="shared" si="28"/>
        <v>Q1-2023</v>
      </c>
      <c r="D230" s="37">
        <v>45017</v>
      </c>
      <c r="E230" s="16">
        <f t="shared" si="27"/>
        <v>25</v>
      </c>
      <c r="F230" s="38" t="s">
        <v>646</v>
      </c>
      <c r="G230" s="38" t="s">
        <v>650</v>
      </c>
      <c r="H230" s="38" t="s">
        <v>664</v>
      </c>
      <c r="I230" s="38" t="s">
        <v>704</v>
      </c>
      <c r="J230" s="38" t="s">
        <v>709</v>
      </c>
      <c r="K230" s="38" t="s">
        <v>726</v>
      </c>
      <c r="L230" s="38" t="s">
        <v>728</v>
      </c>
      <c r="M230" s="39" t="s">
        <v>963</v>
      </c>
      <c r="N230" s="40">
        <v>1024.0999999999999</v>
      </c>
      <c r="O230" s="40">
        <v>918.19</v>
      </c>
      <c r="P230" s="30" t="str">
        <f t="shared" si="29"/>
        <v>Medium</v>
      </c>
      <c r="Q230" s="44">
        <v>0.189</v>
      </c>
      <c r="R230" s="42" t="str">
        <f t="shared" si="30"/>
        <v>Medium</v>
      </c>
      <c r="S230" s="16">
        <v>10</v>
      </c>
      <c r="T230" s="30">
        <v>7446.5209000000004</v>
      </c>
      <c r="U230" s="30">
        <v>10241</v>
      </c>
      <c r="V230" s="30">
        <v>-2794.4790999999996</v>
      </c>
      <c r="W230" s="30">
        <v>-0.37527311579827827</v>
      </c>
      <c r="X230" t="str">
        <f t="shared" si="31"/>
        <v>Delayed</v>
      </c>
      <c r="Y230" t="str">
        <f t="shared" si="32"/>
        <v>Compliant Discount</v>
      </c>
      <c r="Z230" s="9">
        <f>MIN(Q230,'Scenario Modelling'!$B$2)</f>
        <v>0.189</v>
      </c>
      <c r="AA230">
        <f t="shared" si="33"/>
        <v>744.65209000000004</v>
      </c>
      <c r="AB230">
        <f>N230*(1+'Scenario Modelling'!$B$3)</f>
        <v>1126.51</v>
      </c>
      <c r="AC230">
        <f>ROUNDUP(S230*(1+'Scenario Modelling'!$B$4),0)</f>
        <v>11</v>
      </c>
      <c r="AD230">
        <f t="shared" si="34"/>
        <v>8191.1729900000009</v>
      </c>
      <c r="AE230">
        <f t="shared" si="35"/>
        <v>-4200.4370099999996</v>
      </c>
    </row>
    <row r="231" spans="1:31" x14ac:dyDescent="0.3">
      <c r="A231" s="31" t="s">
        <v>244</v>
      </c>
      <c r="B231" s="48">
        <v>45069</v>
      </c>
      <c r="C231" s="47" t="str">
        <f t="shared" si="28"/>
        <v>Q2-2023</v>
      </c>
      <c r="D231" s="32">
        <v>45087</v>
      </c>
      <c r="E231" s="17">
        <f t="shared" si="27"/>
        <v>18</v>
      </c>
      <c r="F231" s="33" t="s">
        <v>647</v>
      </c>
      <c r="G231" s="33" t="s">
        <v>659</v>
      </c>
      <c r="H231" s="33" t="s">
        <v>685</v>
      </c>
      <c r="I231" s="33" t="s">
        <v>701</v>
      </c>
      <c r="J231" s="33" t="s">
        <v>710</v>
      </c>
      <c r="K231" s="33" t="s">
        <v>718</v>
      </c>
      <c r="L231" s="33" t="s">
        <v>727</v>
      </c>
      <c r="M231" s="34" t="s">
        <v>964</v>
      </c>
      <c r="N231" s="35">
        <v>54.62</v>
      </c>
      <c r="O231" s="35">
        <v>48.94</v>
      </c>
      <c r="P231" s="30" t="str">
        <f t="shared" si="29"/>
        <v>Low</v>
      </c>
      <c r="Q231" s="43">
        <v>0.14799999999999999</v>
      </c>
      <c r="R231" s="42" t="str">
        <f t="shared" si="30"/>
        <v>Medium</v>
      </c>
      <c r="S231" s="17">
        <v>16</v>
      </c>
      <c r="T231" s="30">
        <v>667.15008</v>
      </c>
      <c r="U231" s="30">
        <v>873.92</v>
      </c>
      <c r="V231" s="30">
        <v>-206.76991999999996</v>
      </c>
      <c r="W231" s="30">
        <v>-0.3099301434543783</v>
      </c>
      <c r="X231" t="str">
        <f t="shared" si="31"/>
        <v>Delayed</v>
      </c>
      <c r="Y231" t="str">
        <f t="shared" si="32"/>
        <v>Compliant Discount</v>
      </c>
      <c r="Z231" s="9">
        <f>MIN(Q231,'Scenario Modelling'!$B$2)</f>
        <v>0.14799999999999999</v>
      </c>
      <c r="AA231">
        <f t="shared" si="33"/>
        <v>41.69688</v>
      </c>
      <c r="AB231">
        <f>N231*(1+'Scenario Modelling'!$B$3)</f>
        <v>60.082000000000001</v>
      </c>
      <c r="AC231">
        <f>ROUNDUP(S231*(1+'Scenario Modelling'!$B$4),0)</f>
        <v>17</v>
      </c>
      <c r="AD231">
        <f t="shared" si="34"/>
        <v>708.84695999999997</v>
      </c>
      <c r="AE231">
        <f t="shared" si="35"/>
        <v>-312.54704000000004</v>
      </c>
    </row>
    <row r="232" spans="1:31" x14ac:dyDescent="0.3">
      <c r="A232" s="36" t="s">
        <v>245</v>
      </c>
      <c r="B232" s="49">
        <v>45771</v>
      </c>
      <c r="C232" s="47" t="str">
        <f t="shared" si="28"/>
        <v>Q2-2025</v>
      </c>
      <c r="D232" s="37">
        <v>45783</v>
      </c>
      <c r="E232" s="16">
        <f t="shared" si="27"/>
        <v>12</v>
      </c>
      <c r="F232" s="38" t="s">
        <v>648</v>
      </c>
      <c r="G232" s="38" t="s">
        <v>655</v>
      </c>
      <c r="H232" s="38" t="s">
        <v>672</v>
      </c>
      <c r="I232" s="38" t="s">
        <v>704</v>
      </c>
      <c r="J232" s="38" t="s">
        <v>708</v>
      </c>
      <c r="K232" s="38" t="s">
        <v>712</v>
      </c>
      <c r="L232" s="38" t="s">
        <v>730</v>
      </c>
      <c r="M232" s="39" t="s">
        <v>965</v>
      </c>
      <c r="N232" s="40">
        <v>394.13</v>
      </c>
      <c r="O232" s="40">
        <v>932.29</v>
      </c>
      <c r="P232" s="30" t="str">
        <f t="shared" si="29"/>
        <v>Medium</v>
      </c>
      <c r="Q232" s="44">
        <v>0.109</v>
      </c>
      <c r="R232" s="42" t="str">
        <f t="shared" si="30"/>
        <v>Medium</v>
      </c>
      <c r="S232" s="16">
        <v>7</v>
      </c>
      <c r="T232" s="30">
        <v>5814.6927299999998</v>
      </c>
      <c r="U232" s="30">
        <v>2758.91</v>
      </c>
      <c r="V232" s="30">
        <v>3055.7827299999999</v>
      </c>
      <c r="W232" s="30">
        <v>0.5255278089303268</v>
      </c>
      <c r="X232" t="str">
        <f t="shared" si="31"/>
        <v>Delayed</v>
      </c>
      <c r="Y232" t="str">
        <f t="shared" si="32"/>
        <v>Compliant Discount</v>
      </c>
      <c r="Z232" s="9">
        <f>MIN(Q232,'Scenario Modelling'!$B$2)</f>
        <v>0.109</v>
      </c>
      <c r="AA232">
        <f t="shared" si="33"/>
        <v>830.67039</v>
      </c>
      <c r="AB232">
        <f>N232*(1+'Scenario Modelling'!$B$3)</f>
        <v>433.54300000000001</v>
      </c>
      <c r="AC232">
        <f>ROUNDUP(S232*(1+'Scenario Modelling'!$B$4),0)</f>
        <v>8</v>
      </c>
      <c r="AD232">
        <f t="shared" si="34"/>
        <v>6645.36312</v>
      </c>
      <c r="AE232">
        <f t="shared" si="35"/>
        <v>3177.0191199999999</v>
      </c>
    </row>
    <row r="233" spans="1:31" x14ac:dyDescent="0.3">
      <c r="A233" s="31" t="s">
        <v>246</v>
      </c>
      <c r="B233" s="48">
        <v>45538</v>
      </c>
      <c r="C233" s="47" t="str">
        <f t="shared" si="28"/>
        <v>Q3-2024</v>
      </c>
      <c r="D233" s="32">
        <v>45543</v>
      </c>
      <c r="E233" s="17">
        <f t="shared" si="27"/>
        <v>5</v>
      </c>
      <c r="F233" s="33" t="s">
        <v>646</v>
      </c>
      <c r="G233" s="33" t="s">
        <v>651</v>
      </c>
      <c r="H233" s="33" t="s">
        <v>665</v>
      </c>
      <c r="I233" s="33" t="s">
        <v>705</v>
      </c>
      <c r="J233" s="33" t="s">
        <v>711</v>
      </c>
      <c r="K233" s="33" t="s">
        <v>723</v>
      </c>
      <c r="L233" s="33" t="s">
        <v>728</v>
      </c>
      <c r="M233" s="34" t="s">
        <v>966</v>
      </c>
      <c r="N233" s="35">
        <v>197.63</v>
      </c>
      <c r="O233" s="35">
        <v>325.79000000000002</v>
      </c>
      <c r="P233" s="30" t="str">
        <f t="shared" si="29"/>
        <v>Low</v>
      </c>
      <c r="Q233" s="43">
        <v>0.11600000000000001</v>
      </c>
      <c r="R233" s="42" t="str">
        <f t="shared" si="30"/>
        <v>Medium</v>
      </c>
      <c r="S233" s="17">
        <v>10</v>
      </c>
      <c r="T233" s="30">
        <v>2879.9836</v>
      </c>
      <c r="U233" s="30">
        <v>1976.3</v>
      </c>
      <c r="V233" s="30">
        <v>903.68360000000007</v>
      </c>
      <c r="W233" s="30">
        <v>0.31378081458519419</v>
      </c>
      <c r="X233" t="str">
        <f t="shared" si="31"/>
        <v>On-time</v>
      </c>
      <c r="Y233" t="str">
        <f t="shared" si="32"/>
        <v>Compliant Discount</v>
      </c>
      <c r="Z233" s="9">
        <f>MIN(Q233,'Scenario Modelling'!$B$2)</f>
        <v>0.11600000000000001</v>
      </c>
      <c r="AA233">
        <f t="shared" si="33"/>
        <v>287.99836000000005</v>
      </c>
      <c r="AB233">
        <f>N233*(1+'Scenario Modelling'!$B$3)</f>
        <v>217.393</v>
      </c>
      <c r="AC233">
        <f>ROUNDUP(S233*(1+'Scenario Modelling'!$B$4),0)</f>
        <v>11</v>
      </c>
      <c r="AD233">
        <f t="shared" si="34"/>
        <v>3167.9819600000005</v>
      </c>
      <c r="AE233">
        <f t="shared" si="35"/>
        <v>776.65896000000055</v>
      </c>
    </row>
    <row r="234" spans="1:31" x14ac:dyDescent="0.3">
      <c r="A234" s="36" t="s">
        <v>247</v>
      </c>
      <c r="B234" s="49">
        <v>45540</v>
      </c>
      <c r="C234" s="47" t="str">
        <f t="shared" si="28"/>
        <v>Q3-2024</v>
      </c>
      <c r="D234" s="37">
        <v>45560</v>
      </c>
      <c r="E234" s="16">
        <f t="shared" si="27"/>
        <v>20</v>
      </c>
      <c r="F234" s="38" t="s">
        <v>647</v>
      </c>
      <c r="G234" s="38" t="s">
        <v>652</v>
      </c>
      <c r="H234" s="38" t="s">
        <v>666</v>
      </c>
      <c r="I234" s="38" t="s">
        <v>706</v>
      </c>
      <c r="J234" s="38" t="s">
        <v>710</v>
      </c>
      <c r="K234" s="38" t="s">
        <v>726</v>
      </c>
      <c r="L234" s="38" t="s">
        <v>732</v>
      </c>
      <c r="M234" s="39" t="s">
        <v>967</v>
      </c>
      <c r="N234" s="40">
        <v>195.54</v>
      </c>
      <c r="O234" s="40">
        <v>405.97</v>
      </c>
      <c r="P234" s="30" t="str">
        <f t="shared" si="29"/>
        <v>Low</v>
      </c>
      <c r="Q234" s="44">
        <v>0.187</v>
      </c>
      <c r="R234" s="42" t="str">
        <f t="shared" si="30"/>
        <v>Medium</v>
      </c>
      <c r="S234" s="16">
        <v>16</v>
      </c>
      <c r="T234" s="30">
        <v>5280.8577599999999</v>
      </c>
      <c r="U234" s="30">
        <v>3128.64</v>
      </c>
      <c r="V234" s="30">
        <v>2152.21776</v>
      </c>
      <c r="W234" s="30">
        <v>0.40755079152141377</v>
      </c>
      <c r="X234" t="str">
        <f t="shared" si="31"/>
        <v>Delayed</v>
      </c>
      <c r="Y234" t="str">
        <f t="shared" si="32"/>
        <v>Compliant Discount</v>
      </c>
      <c r="Z234" s="9">
        <f>MIN(Q234,'Scenario Modelling'!$B$2)</f>
        <v>0.187</v>
      </c>
      <c r="AA234">
        <f t="shared" si="33"/>
        <v>330.05360999999999</v>
      </c>
      <c r="AB234">
        <f>N234*(1+'Scenario Modelling'!$B$3)</f>
        <v>215.09400000000002</v>
      </c>
      <c r="AC234">
        <f>ROUNDUP(S234*(1+'Scenario Modelling'!$B$4),0)</f>
        <v>17</v>
      </c>
      <c r="AD234">
        <f t="shared" si="34"/>
        <v>5610.9113699999998</v>
      </c>
      <c r="AE234">
        <f t="shared" si="35"/>
        <v>1954.3133699999994</v>
      </c>
    </row>
    <row r="235" spans="1:31" x14ac:dyDescent="0.3">
      <c r="A235" s="31" t="s">
        <v>248</v>
      </c>
      <c r="B235" s="48">
        <v>44999</v>
      </c>
      <c r="C235" s="47" t="str">
        <f t="shared" si="28"/>
        <v>Q1-2023</v>
      </c>
      <c r="D235" s="32">
        <v>45015</v>
      </c>
      <c r="E235" s="17">
        <f t="shared" si="27"/>
        <v>16</v>
      </c>
      <c r="F235" s="33" t="s">
        <v>646</v>
      </c>
      <c r="G235" s="33" t="s">
        <v>661</v>
      </c>
      <c r="H235" s="33" t="s">
        <v>695</v>
      </c>
      <c r="I235" s="33" t="s">
        <v>704</v>
      </c>
      <c r="J235" s="33" t="s">
        <v>710</v>
      </c>
      <c r="K235" s="33" t="s">
        <v>723</v>
      </c>
      <c r="L235" s="33" t="s">
        <v>727</v>
      </c>
      <c r="M235" s="34" t="s">
        <v>968</v>
      </c>
      <c r="N235" s="35">
        <v>1309.77</v>
      </c>
      <c r="O235" s="35">
        <v>1589.07</v>
      </c>
      <c r="P235" s="30" t="str">
        <f t="shared" si="29"/>
        <v>Medium</v>
      </c>
      <c r="Q235" s="43">
        <v>0.10199999999999999</v>
      </c>
      <c r="R235" s="42" t="str">
        <f t="shared" si="30"/>
        <v>Medium</v>
      </c>
      <c r="S235" s="17">
        <v>10</v>
      </c>
      <c r="T235" s="30">
        <v>14269.848599999999</v>
      </c>
      <c r="U235" s="30">
        <v>13097.7</v>
      </c>
      <c r="V235" s="30">
        <v>1172.1485999999986</v>
      </c>
      <c r="W235" s="30">
        <v>8.2141628328137886E-2</v>
      </c>
      <c r="X235" t="str">
        <f t="shared" si="31"/>
        <v>Delayed</v>
      </c>
      <c r="Y235" t="str">
        <f t="shared" si="32"/>
        <v>Compliant Discount</v>
      </c>
      <c r="Z235" s="9">
        <f>MIN(Q235,'Scenario Modelling'!$B$2)</f>
        <v>0.10199999999999999</v>
      </c>
      <c r="AA235">
        <f t="shared" si="33"/>
        <v>1426.98486</v>
      </c>
      <c r="AB235">
        <f>N235*(1+'Scenario Modelling'!$B$3)</f>
        <v>1440.7470000000001</v>
      </c>
      <c r="AC235">
        <f>ROUNDUP(S235*(1+'Scenario Modelling'!$B$4),0)</f>
        <v>11</v>
      </c>
      <c r="AD235">
        <f t="shared" si="34"/>
        <v>15696.83346</v>
      </c>
      <c r="AE235">
        <f t="shared" si="35"/>
        <v>-151.38354000000049</v>
      </c>
    </row>
    <row r="236" spans="1:31" x14ac:dyDescent="0.3">
      <c r="A236" s="36" t="s">
        <v>249</v>
      </c>
      <c r="B236" s="49">
        <v>45302</v>
      </c>
      <c r="C236" s="47" t="str">
        <f t="shared" si="28"/>
        <v>Q1-2024</v>
      </c>
      <c r="D236" s="37">
        <v>45324</v>
      </c>
      <c r="E236" s="16">
        <f t="shared" si="27"/>
        <v>22</v>
      </c>
      <c r="F236" s="38" t="s">
        <v>647</v>
      </c>
      <c r="G236" s="38" t="s">
        <v>652</v>
      </c>
      <c r="H236" s="38" t="s">
        <v>694</v>
      </c>
      <c r="I236" s="38" t="s">
        <v>705</v>
      </c>
      <c r="J236" s="38" t="s">
        <v>708</v>
      </c>
      <c r="K236" s="38" t="s">
        <v>1424</v>
      </c>
      <c r="L236" s="38" t="s">
        <v>728</v>
      </c>
      <c r="M236" s="39" t="s">
        <v>969</v>
      </c>
      <c r="N236" s="40">
        <v>1237.68</v>
      </c>
      <c r="O236" s="40">
        <v>1432.8</v>
      </c>
      <c r="P236" s="30" t="str">
        <f t="shared" si="29"/>
        <v>Medium</v>
      </c>
      <c r="Q236" s="44">
        <v>6.8000000000000005E-2</v>
      </c>
      <c r="R236" s="42" t="str">
        <f t="shared" si="30"/>
        <v>Low</v>
      </c>
      <c r="S236" s="16">
        <v>13</v>
      </c>
      <c r="T236" s="30">
        <v>17359.804799999998</v>
      </c>
      <c r="U236" s="30">
        <v>16089.84</v>
      </c>
      <c r="V236" s="30">
        <v>1269.9647999999979</v>
      </c>
      <c r="W236" s="30">
        <v>7.315547695559331E-2</v>
      </c>
      <c r="X236" t="str">
        <f t="shared" si="31"/>
        <v>Delayed</v>
      </c>
      <c r="Y236" t="str">
        <f t="shared" si="32"/>
        <v>Compliant Discount</v>
      </c>
      <c r="Z236" s="9">
        <f>MIN(Q236,'Scenario Modelling'!$B$2)</f>
        <v>6.8000000000000005E-2</v>
      </c>
      <c r="AA236">
        <f t="shared" si="33"/>
        <v>1335.3695999999998</v>
      </c>
      <c r="AB236">
        <f>N236*(1+'Scenario Modelling'!$B$3)</f>
        <v>1361.4480000000001</v>
      </c>
      <c r="AC236">
        <f>ROUNDUP(S236*(1+'Scenario Modelling'!$B$4),0)</f>
        <v>14</v>
      </c>
      <c r="AD236">
        <f t="shared" si="34"/>
        <v>18695.174399999996</v>
      </c>
      <c r="AE236">
        <f t="shared" si="35"/>
        <v>-365.0976000000046</v>
      </c>
    </row>
    <row r="237" spans="1:31" x14ac:dyDescent="0.3">
      <c r="A237" s="31" t="s">
        <v>250</v>
      </c>
      <c r="B237" s="48">
        <v>45548</v>
      </c>
      <c r="C237" s="47" t="str">
        <f t="shared" si="28"/>
        <v>Q3-2024</v>
      </c>
      <c r="D237" s="32">
        <v>45567</v>
      </c>
      <c r="E237" s="17">
        <f t="shared" si="27"/>
        <v>19</v>
      </c>
      <c r="F237" s="33" t="s">
        <v>646</v>
      </c>
      <c r="G237" s="33" t="s">
        <v>650</v>
      </c>
      <c r="H237" s="33" t="s">
        <v>675</v>
      </c>
      <c r="I237" s="33" t="s">
        <v>705</v>
      </c>
      <c r="J237" s="33" t="s">
        <v>707</v>
      </c>
      <c r="K237" s="33" t="s">
        <v>724</v>
      </c>
      <c r="L237" s="33" t="s">
        <v>730</v>
      </c>
      <c r="M237" s="34" t="s">
        <v>970</v>
      </c>
      <c r="N237" s="35">
        <v>1338.99</v>
      </c>
      <c r="O237" s="35">
        <v>1765.76</v>
      </c>
      <c r="P237" s="30" t="str">
        <f t="shared" si="29"/>
        <v>High</v>
      </c>
      <c r="Q237" s="43">
        <v>0.126</v>
      </c>
      <c r="R237" s="42" t="str">
        <f t="shared" si="30"/>
        <v>Medium</v>
      </c>
      <c r="S237" s="17">
        <v>24</v>
      </c>
      <c r="T237" s="30">
        <v>37038.581760000001</v>
      </c>
      <c r="U237" s="30">
        <v>32135.760000000002</v>
      </c>
      <c r="V237" s="30">
        <v>4902.8217599999989</v>
      </c>
      <c r="W237" s="30">
        <v>0.1323706666677725</v>
      </c>
      <c r="X237" t="str">
        <f t="shared" si="31"/>
        <v>Delayed</v>
      </c>
      <c r="Y237" t="str">
        <f t="shared" si="32"/>
        <v>Compliant Discount</v>
      </c>
      <c r="Z237" s="9">
        <f>MIN(Q237,'Scenario Modelling'!$B$2)</f>
        <v>0.126</v>
      </c>
      <c r="AA237">
        <f t="shared" si="33"/>
        <v>1543.27424</v>
      </c>
      <c r="AB237">
        <f>N237*(1+'Scenario Modelling'!$B$3)</f>
        <v>1472.8890000000001</v>
      </c>
      <c r="AC237">
        <f>ROUNDUP(S237*(1+'Scenario Modelling'!$B$4),0)</f>
        <v>26</v>
      </c>
      <c r="AD237">
        <f t="shared" si="34"/>
        <v>40125.130239999999</v>
      </c>
      <c r="AE237">
        <f t="shared" si="35"/>
        <v>1830.0162399999958</v>
      </c>
    </row>
    <row r="238" spans="1:31" x14ac:dyDescent="0.3">
      <c r="A238" s="36" t="s">
        <v>251</v>
      </c>
      <c r="B238" s="49">
        <v>45855</v>
      </c>
      <c r="C238" s="47" t="str">
        <f t="shared" si="28"/>
        <v>Q3-2025</v>
      </c>
      <c r="D238" s="37">
        <v>45861</v>
      </c>
      <c r="E238" s="16">
        <f t="shared" si="27"/>
        <v>6</v>
      </c>
      <c r="F238" s="38" t="s">
        <v>648</v>
      </c>
      <c r="G238" s="38" t="s">
        <v>653</v>
      </c>
      <c r="H238" s="38" t="s">
        <v>688</v>
      </c>
      <c r="I238" s="38" t="s">
        <v>704</v>
      </c>
      <c r="J238" s="38" t="s">
        <v>708</v>
      </c>
      <c r="K238" s="38" t="s">
        <v>722</v>
      </c>
      <c r="L238" s="38" t="s">
        <v>727</v>
      </c>
      <c r="M238" s="39" t="s">
        <v>971</v>
      </c>
      <c r="N238" s="40">
        <v>1364.89</v>
      </c>
      <c r="O238" s="40">
        <v>2757.54</v>
      </c>
      <c r="P238" s="30" t="str">
        <f t="shared" si="29"/>
        <v>High</v>
      </c>
      <c r="Q238" s="44">
        <v>0.17199999999999999</v>
      </c>
      <c r="R238" s="42" t="str">
        <f t="shared" si="30"/>
        <v>Medium</v>
      </c>
      <c r="S238" s="16">
        <v>61</v>
      </c>
      <c r="T238" s="30">
        <v>139277.83032000001</v>
      </c>
      <c r="U238" s="30">
        <v>83258.290000000008</v>
      </c>
      <c r="V238" s="30">
        <v>56019.54032</v>
      </c>
      <c r="W238" s="30">
        <v>0.4022143379983118</v>
      </c>
      <c r="X238" t="str">
        <f t="shared" si="31"/>
        <v>On-time</v>
      </c>
      <c r="Y238" t="str">
        <f t="shared" si="32"/>
        <v>Compliant Discount</v>
      </c>
      <c r="Z238" s="9">
        <f>MIN(Q238,'Scenario Modelling'!$B$2)</f>
        <v>0.17199999999999999</v>
      </c>
      <c r="AA238">
        <f t="shared" si="33"/>
        <v>2283.2431200000001</v>
      </c>
      <c r="AB238">
        <f>N238*(1+'Scenario Modelling'!$B$3)</f>
        <v>1501.3790000000001</v>
      </c>
      <c r="AC238">
        <f>ROUNDUP(S238*(1+'Scenario Modelling'!$B$4),0)</f>
        <v>65</v>
      </c>
      <c r="AD238">
        <f t="shared" si="34"/>
        <v>148410.8028</v>
      </c>
      <c r="AE238">
        <f t="shared" si="35"/>
        <v>50821.167799999996</v>
      </c>
    </row>
    <row r="239" spans="1:31" x14ac:dyDescent="0.3">
      <c r="A239" s="31" t="s">
        <v>252</v>
      </c>
      <c r="B239" s="48">
        <v>45258</v>
      </c>
      <c r="C239" s="47" t="str">
        <f t="shared" si="28"/>
        <v>Q4-2023</v>
      </c>
      <c r="D239" s="32">
        <v>45267</v>
      </c>
      <c r="E239" s="17">
        <f t="shared" si="27"/>
        <v>9</v>
      </c>
      <c r="F239" s="33" t="s">
        <v>647</v>
      </c>
      <c r="G239" s="33" t="s">
        <v>654</v>
      </c>
      <c r="H239" s="33" t="s">
        <v>680</v>
      </c>
      <c r="I239" s="33" t="s">
        <v>706</v>
      </c>
      <c r="J239" s="33" t="s">
        <v>709</v>
      </c>
      <c r="K239" s="33" t="s">
        <v>716</v>
      </c>
      <c r="L239" s="33" t="s">
        <v>730</v>
      </c>
      <c r="M239" s="34" t="s">
        <v>972</v>
      </c>
      <c r="N239" s="35">
        <v>699.33</v>
      </c>
      <c r="O239" s="35">
        <v>873.75</v>
      </c>
      <c r="P239" s="30" t="str">
        <f t="shared" si="29"/>
        <v>Medium</v>
      </c>
      <c r="Q239" s="43">
        <v>0.23499999999999999</v>
      </c>
      <c r="R239" s="42" t="str">
        <f t="shared" si="30"/>
        <v>High</v>
      </c>
      <c r="S239" s="17">
        <v>10</v>
      </c>
      <c r="T239" s="30">
        <v>6684.1875</v>
      </c>
      <c r="U239" s="30">
        <v>6993.3</v>
      </c>
      <c r="V239" s="30">
        <v>-309.11250000000018</v>
      </c>
      <c r="W239" s="30">
        <v>-4.6245336475076469E-2</v>
      </c>
      <c r="X239" t="str">
        <f t="shared" si="31"/>
        <v>Delayed</v>
      </c>
      <c r="Y239" t="str">
        <f t="shared" si="32"/>
        <v>Non-compliant Discount</v>
      </c>
      <c r="Z239" s="9">
        <f>MIN(Q239,'Scenario Modelling'!$B$2)</f>
        <v>0.2</v>
      </c>
      <c r="AA239">
        <f t="shared" si="33"/>
        <v>699</v>
      </c>
      <c r="AB239">
        <f>N239*(1+'Scenario Modelling'!$B$3)</f>
        <v>769.26300000000015</v>
      </c>
      <c r="AC239">
        <f>ROUNDUP(S239*(1+'Scenario Modelling'!$B$4),0)</f>
        <v>11</v>
      </c>
      <c r="AD239">
        <f t="shared" si="34"/>
        <v>7689</v>
      </c>
      <c r="AE239">
        <f t="shared" si="35"/>
        <v>-772.89300000000162</v>
      </c>
    </row>
    <row r="240" spans="1:31" x14ac:dyDescent="0.3">
      <c r="A240" s="36" t="s">
        <v>253</v>
      </c>
      <c r="B240" s="49">
        <v>45381</v>
      </c>
      <c r="C240" s="47" t="str">
        <f t="shared" si="28"/>
        <v>Q1-2024</v>
      </c>
      <c r="D240" s="37">
        <v>45406</v>
      </c>
      <c r="E240" s="16">
        <f t="shared" si="27"/>
        <v>25</v>
      </c>
      <c r="F240" s="38" t="s">
        <v>648</v>
      </c>
      <c r="G240" s="38" t="s">
        <v>660</v>
      </c>
      <c r="H240" s="38" t="s">
        <v>697</v>
      </c>
      <c r="I240" s="38" t="s">
        <v>703</v>
      </c>
      <c r="J240" s="38" t="s">
        <v>708</v>
      </c>
      <c r="K240" s="38" t="s">
        <v>715</v>
      </c>
      <c r="L240" s="38" t="s">
        <v>731</v>
      </c>
      <c r="M240" s="39" t="s">
        <v>973</v>
      </c>
      <c r="N240" s="40">
        <v>160.82</v>
      </c>
      <c r="O240" s="40">
        <v>258.52</v>
      </c>
      <c r="P240" s="30" t="str">
        <f t="shared" si="29"/>
        <v>Low</v>
      </c>
      <c r="Q240" s="44">
        <v>0.13</v>
      </c>
      <c r="R240" s="42" t="str">
        <f t="shared" si="30"/>
        <v>Medium</v>
      </c>
      <c r="S240" s="16">
        <v>17</v>
      </c>
      <c r="T240" s="30">
        <v>3823.5108</v>
      </c>
      <c r="U240" s="30">
        <v>2733.94</v>
      </c>
      <c r="V240" s="30">
        <v>1089.5708</v>
      </c>
      <c r="W240" s="30">
        <v>0.28496605789631874</v>
      </c>
      <c r="X240" t="str">
        <f t="shared" si="31"/>
        <v>Delayed</v>
      </c>
      <c r="Y240" t="str">
        <f t="shared" si="32"/>
        <v>Compliant Discount</v>
      </c>
      <c r="Z240" s="9">
        <f>MIN(Q240,'Scenario Modelling'!$B$2)</f>
        <v>0.13</v>
      </c>
      <c r="AA240">
        <f t="shared" si="33"/>
        <v>224.91239999999999</v>
      </c>
      <c r="AB240">
        <f>N240*(1+'Scenario Modelling'!$B$3)</f>
        <v>176.90200000000002</v>
      </c>
      <c r="AC240">
        <f>ROUNDUP(S240*(1+'Scenario Modelling'!$B$4),0)</f>
        <v>18</v>
      </c>
      <c r="AD240">
        <f t="shared" si="34"/>
        <v>4048.4231999999997</v>
      </c>
      <c r="AE240">
        <f t="shared" si="35"/>
        <v>864.18719999999962</v>
      </c>
    </row>
    <row r="241" spans="1:31" x14ac:dyDescent="0.3">
      <c r="A241" s="31" t="s">
        <v>254</v>
      </c>
      <c r="B241" s="48">
        <v>45188</v>
      </c>
      <c r="C241" s="47" t="str">
        <f t="shared" si="28"/>
        <v>Q3-2023</v>
      </c>
      <c r="D241" s="32">
        <v>45207</v>
      </c>
      <c r="E241" s="17">
        <f t="shared" si="27"/>
        <v>19</v>
      </c>
      <c r="F241" s="33" t="s">
        <v>647</v>
      </c>
      <c r="G241" s="33" t="s">
        <v>654</v>
      </c>
      <c r="H241" s="33" t="s">
        <v>668</v>
      </c>
      <c r="I241" s="33" t="s">
        <v>702</v>
      </c>
      <c r="J241" s="33" t="s">
        <v>711</v>
      </c>
      <c r="K241" s="33" t="s">
        <v>713</v>
      </c>
      <c r="L241" s="33" t="s">
        <v>728</v>
      </c>
      <c r="M241" s="34" t="s">
        <v>974</v>
      </c>
      <c r="N241" s="35">
        <v>385.32</v>
      </c>
      <c r="O241" s="35">
        <v>606.76</v>
      </c>
      <c r="P241" s="30" t="str">
        <f t="shared" si="29"/>
        <v>Low</v>
      </c>
      <c r="Q241" s="43">
        <v>8.5999999999999993E-2</v>
      </c>
      <c r="R241" s="42" t="str">
        <f t="shared" si="30"/>
        <v>Low</v>
      </c>
      <c r="S241" s="17">
        <v>8</v>
      </c>
      <c r="T241" s="30">
        <v>4436.6291200000005</v>
      </c>
      <c r="U241" s="30">
        <v>3082.56</v>
      </c>
      <c r="V241" s="30">
        <v>1354.0691200000006</v>
      </c>
      <c r="W241" s="30">
        <v>0.30520223425842735</v>
      </c>
      <c r="X241" t="str">
        <f t="shared" si="31"/>
        <v>Delayed</v>
      </c>
      <c r="Y241" t="str">
        <f t="shared" si="32"/>
        <v>Compliant Discount</v>
      </c>
      <c r="Z241" s="9">
        <f>MIN(Q241,'Scenario Modelling'!$B$2)</f>
        <v>8.5999999999999993E-2</v>
      </c>
      <c r="AA241">
        <f t="shared" si="33"/>
        <v>554.57864000000006</v>
      </c>
      <c r="AB241">
        <f>N241*(1+'Scenario Modelling'!$B$3)</f>
        <v>423.85200000000003</v>
      </c>
      <c r="AC241">
        <f>ROUNDUP(S241*(1+'Scenario Modelling'!$B$4),0)</f>
        <v>9</v>
      </c>
      <c r="AD241">
        <f t="shared" si="34"/>
        <v>4991.2077600000002</v>
      </c>
      <c r="AE241">
        <f t="shared" si="35"/>
        <v>1176.5397600000003</v>
      </c>
    </row>
    <row r="242" spans="1:31" x14ac:dyDescent="0.3">
      <c r="A242" s="36" t="s">
        <v>255</v>
      </c>
      <c r="B242" s="49">
        <v>45793</v>
      </c>
      <c r="C242" s="47" t="str">
        <f t="shared" si="28"/>
        <v>Q2-2025</v>
      </c>
      <c r="D242" s="37">
        <v>45804</v>
      </c>
      <c r="E242" s="16">
        <f t="shared" si="27"/>
        <v>11</v>
      </c>
      <c r="F242" s="38" t="s">
        <v>647</v>
      </c>
      <c r="G242" s="38" t="s">
        <v>659</v>
      </c>
      <c r="H242" s="38" t="s">
        <v>699</v>
      </c>
      <c r="I242" s="38" t="s">
        <v>706</v>
      </c>
      <c r="J242" s="38" t="s">
        <v>708</v>
      </c>
      <c r="K242" s="38" t="s">
        <v>721</v>
      </c>
      <c r="L242" s="38" t="s">
        <v>730</v>
      </c>
      <c r="M242" s="39" t="s">
        <v>975</v>
      </c>
      <c r="N242" s="40">
        <v>918.12</v>
      </c>
      <c r="O242" s="40">
        <v>1337.69</v>
      </c>
      <c r="P242" s="30" t="str">
        <f t="shared" si="29"/>
        <v>Medium</v>
      </c>
      <c r="Q242" s="44">
        <v>9.5000000000000001E-2</v>
      </c>
      <c r="R242" s="42" t="str">
        <f t="shared" si="30"/>
        <v>Low</v>
      </c>
      <c r="S242" s="16">
        <v>8</v>
      </c>
      <c r="T242" s="30">
        <v>9684.8756000000012</v>
      </c>
      <c r="U242" s="30">
        <v>7344.96</v>
      </c>
      <c r="V242" s="30">
        <v>2339.9156000000012</v>
      </c>
      <c r="W242" s="30">
        <v>0.24160512707050164</v>
      </c>
      <c r="X242" t="str">
        <f t="shared" si="31"/>
        <v>Delayed</v>
      </c>
      <c r="Y242" t="str">
        <f t="shared" si="32"/>
        <v>Compliant Discount</v>
      </c>
      <c r="Z242" s="9">
        <f>MIN(Q242,'Scenario Modelling'!$B$2)</f>
        <v>9.5000000000000001E-2</v>
      </c>
      <c r="AA242">
        <f t="shared" si="33"/>
        <v>1210.6094500000002</v>
      </c>
      <c r="AB242">
        <f>N242*(1+'Scenario Modelling'!$B$3)</f>
        <v>1009.9320000000001</v>
      </c>
      <c r="AC242">
        <f>ROUNDUP(S242*(1+'Scenario Modelling'!$B$4),0)</f>
        <v>9</v>
      </c>
      <c r="AD242">
        <f t="shared" si="34"/>
        <v>10895.485050000001</v>
      </c>
      <c r="AE242">
        <f t="shared" si="35"/>
        <v>1806.0970500000003</v>
      </c>
    </row>
    <row r="243" spans="1:31" x14ac:dyDescent="0.3">
      <c r="A243" s="31" t="s">
        <v>256</v>
      </c>
      <c r="B243" s="48">
        <v>45871</v>
      </c>
      <c r="C243" s="47" t="str">
        <f t="shared" si="28"/>
        <v>Q3-2025</v>
      </c>
      <c r="D243" s="32">
        <v>45877</v>
      </c>
      <c r="E243" s="17">
        <f t="shared" si="27"/>
        <v>6</v>
      </c>
      <c r="F243" s="33" t="s">
        <v>647</v>
      </c>
      <c r="G243" s="33" t="s">
        <v>652</v>
      </c>
      <c r="H243" s="33" t="s">
        <v>666</v>
      </c>
      <c r="I243" s="33" t="s">
        <v>704</v>
      </c>
      <c r="J243" s="33" t="s">
        <v>711</v>
      </c>
      <c r="K243" s="33" t="s">
        <v>725</v>
      </c>
      <c r="L243" s="33" t="s">
        <v>731</v>
      </c>
      <c r="M243" s="34" t="s">
        <v>976</v>
      </c>
      <c r="N243" s="35">
        <v>1225.94</v>
      </c>
      <c r="O243" s="35">
        <v>1793.08</v>
      </c>
      <c r="P243" s="30" t="str">
        <f t="shared" si="29"/>
        <v>High</v>
      </c>
      <c r="Q243" s="43">
        <v>0.13600000000000001</v>
      </c>
      <c r="R243" s="42" t="str">
        <f t="shared" si="30"/>
        <v>Medium</v>
      </c>
      <c r="S243" s="17">
        <v>22</v>
      </c>
      <c r="T243" s="30">
        <v>34082.864639999993</v>
      </c>
      <c r="U243" s="30">
        <v>26970.68</v>
      </c>
      <c r="V243" s="30">
        <v>7112.1846399999922</v>
      </c>
      <c r="W243" s="30">
        <v>0.20867332353434462</v>
      </c>
      <c r="X243" t="str">
        <f t="shared" si="31"/>
        <v>On-time</v>
      </c>
      <c r="Y243" t="str">
        <f t="shared" si="32"/>
        <v>Compliant Discount</v>
      </c>
      <c r="Z243" s="9">
        <f>MIN(Q243,'Scenario Modelling'!$B$2)</f>
        <v>0.13600000000000001</v>
      </c>
      <c r="AA243">
        <f t="shared" si="33"/>
        <v>1549.2211199999999</v>
      </c>
      <c r="AB243">
        <f>N243*(1+'Scenario Modelling'!$B$3)</f>
        <v>1348.5340000000001</v>
      </c>
      <c r="AC243">
        <f>ROUNDUP(S243*(1+'Scenario Modelling'!$B$4),0)</f>
        <v>24</v>
      </c>
      <c r="AD243">
        <f t="shared" si="34"/>
        <v>37181.306879999996</v>
      </c>
      <c r="AE243">
        <f t="shared" si="35"/>
        <v>4816.4908799999957</v>
      </c>
    </row>
    <row r="244" spans="1:31" x14ac:dyDescent="0.3">
      <c r="A244" s="36" t="s">
        <v>257</v>
      </c>
      <c r="B244" s="49">
        <v>45630</v>
      </c>
      <c r="C244" s="47" t="str">
        <f t="shared" si="28"/>
        <v>Q4-2024</v>
      </c>
      <c r="D244" s="37">
        <v>45638</v>
      </c>
      <c r="E244" s="16">
        <f t="shared" si="27"/>
        <v>8</v>
      </c>
      <c r="F244" s="38" t="s">
        <v>649</v>
      </c>
      <c r="G244" s="38" t="s">
        <v>656</v>
      </c>
      <c r="H244" s="38" t="s">
        <v>698</v>
      </c>
      <c r="I244" s="38" t="s">
        <v>706</v>
      </c>
      <c r="J244" s="38" t="s">
        <v>709</v>
      </c>
      <c r="K244" s="38" t="s">
        <v>717</v>
      </c>
      <c r="L244" s="38" t="s">
        <v>728</v>
      </c>
      <c r="M244" s="39" t="s">
        <v>977</v>
      </c>
      <c r="N244" s="40">
        <v>72.06</v>
      </c>
      <c r="O244" s="40">
        <v>122.74</v>
      </c>
      <c r="P244" s="30" t="str">
        <f t="shared" si="29"/>
        <v>Low</v>
      </c>
      <c r="Q244" s="44">
        <v>0.23799999999999999</v>
      </c>
      <c r="R244" s="42" t="str">
        <f t="shared" si="30"/>
        <v>High</v>
      </c>
      <c r="S244" s="16">
        <v>8</v>
      </c>
      <c r="T244" s="30">
        <v>748.22303999999997</v>
      </c>
      <c r="U244" s="30">
        <v>576.48</v>
      </c>
      <c r="V244" s="30">
        <v>171.74303999999995</v>
      </c>
      <c r="W244" s="30">
        <v>0.22953455162246802</v>
      </c>
      <c r="X244" t="str">
        <f t="shared" si="31"/>
        <v>Delayed</v>
      </c>
      <c r="Y244" t="str">
        <f t="shared" si="32"/>
        <v>Non-compliant Discount</v>
      </c>
      <c r="Z244" s="9">
        <f>MIN(Q244,'Scenario Modelling'!$B$2)</f>
        <v>0.2</v>
      </c>
      <c r="AA244">
        <f t="shared" si="33"/>
        <v>98.192000000000007</v>
      </c>
      <c r="AB244">
        <f>N244*(1+'Scenario Modelling'!$B$3)</f>
        <v>79.266000000000005</v>
      </c>
      <c r="AC244">
        <f>ROUNDUP(S244*(1+'Scenario Modelling'!$B$4),0)</f>
        <v>9</v>
      </c>
      <c r="AD244">
        <f t="shared" si="34"/>
        <v>883.72800000000007</v>
      </c>
      <c r="AE244">
        <f t="shared" si="35"/>
        <v>170.334</v>
      </c>
    </row>
    <row r="245" spans="1:31" x14ac:dyDescent="0.3">
      <c r="A245" s="31" t="s">
        <v>258</v>
      </c>
      <c r="B245" s="48">
        <v>45035</v>
      </c>
      <c r="C245" s="47" t="str">
        <f t="shared" si="28"/>
        <v>Q2-2023</v>
      </c>
      <c r="D245" s="32">
        <v>45044</v>
      </c>
      <c r="E245" s="17">
        <f t="shared" si="27"/>
        <v>9</v>
      </c>
      <c r="F245" s="33" t="s">
        <v>648</v>
      </c>
      <c r="G245" s="33" t="s">
        <v>655</v>
      </c>
      <c r="H245" s="33" t="s">
        <v>692</v>
      </c>
      <c r="I245" s="33" t="s">
        <v>701</v>
      </c>
      <c r="J245" s="33" t="s">
        <v>710</v>
      </c>
      <c r="K245" s="33" t="s">
        <v>724</v>
      </c>
      <c r="L245" s="33" t="s">
        <v>730</v>
      </c>
      <c r="M245" s="34" t="s">
        <v>978</v>
      </c>
      <c r="N245" s="35">
        <v>1013.54</v>
      </c>
      <c r="O245" s="35">
        <v>927.93</v>
      </c>
      <c r="P245" s="30" t="str">
        <f t="shared" si="29"/>
        <v>Medium</v>
      </c>
      <c r="Q245" s="43">
        <v>0.17499999999999999</v>
      </c>
      <c r="R245" s="42" t="str">
        <f t="shared" si="30"/>
        <v>Medium</v>
      </c>
      <c r="S245" s="17">
        <v>16</v>
      </c>
      <c r="T245" s="30">
        <v>12248.675999999999</v>
      </c>
      <c r="U245" s="30">
        <v>16216.64</v>
      </c>
      <c r="V245" s="30">
        <v>-3967.9639999999999</v>
      </c>
      <c r="W245" s="30">
        <v>-0.32395044166406234</v>
      </c>
      <c r="X245" t="str">
        <f t="shared" si="31"/>
        <v>Delayed</v>
      </c>
      <c r="Y245" t="str">
        <f t="shared" si="32"/>
        <v>Compliant Discount</v>
      </c>
      <c r="Z245" s="9">
        <f>MIN(Q245,'Scenario Modelling'!$B$2)</f>
        <v>0.17499999999999999</v>
      </c>
      <c r="AA245">
        <f t="shared" si="33"/>
        <v>765.54224999999997</v>
      </c>
      <c r="AB245">
        <f>N245*(1+'Scenario Modelling'!$B$3)</f>
        <v>1114.894</v>
      </c>
      <c r="AC245">
        <f>ROUNDUP(S245*(1+'Scenario Modelling'!$B$4),0)</f>
        <v>17</v>
      </c>
      <c r="AD245">
        <f t="shared" si="34"/>
        <v>13014.21825</v>
      </c>
      <c r="AE245">
        <f t="shared" si="35"/>
        <v>-5938.9797500000004</v>
      </c>
    </row>
    <row r="246" spans="1:31" x14ac:dyDescent="0.3">
      <c r="A246" s="36" t="s">
        <v>259</v>
      </c>
      <c r="B246" s="49">
        <v>45357</v>
      </c>
      <c r="C246" s="47" t="str">
        <f t="shared" si="28"/>
        <v>Q1-2024</v>
      </c>
      <c r="D246" s="37">
        <v>45377</v>
      </c>
      <c r="E246" s="16">
        <f t="shared" si="27"/>
        <v>20</v>
      </c>
      <c r="F246" s="38" t="s">
        <v>646</v>
      </c>
      <c r="G246" s="38" t="s">
        <v>651</v>
      </c>
      <c r="H246" s="38" t="s">
        <v>663</v>
      </c>
      <c r="I246" s="38" t="s">
        <v>704</v>
      </c>
      <c r="J246" s="38" t="s">
        <v>709</v>
      </c>
      <c r="K246" s="38" t="s">
        <v>714</v>
      </c>
      <c r="L246" s="38" t="s">
        <v>730</v>
      </c>
      <c r="M246" s="39" t="s">
        <v>979</v>
      </c>
      <c r="N246" s="40">
        <v>65.64</v>
      </c>
      <c r="O246" s="40">
        <v>151.88</v>
      </c>
      <c r="P246" s="30" t="str">
        <f t="shared" si="29"/>
        <v>Low</v>
      </c>
      <c r="Q246" s="44">
        <v>0.16700000000000001</v>
      </c>
      <c r="R246" s="42" t="str">
        <f t="shared" si="30"/>
        <v>Medium</v>
      </c>
      <c r="S246" s="16">
        <v>23</v>
      </c>
      <c r="T246" s="30">
        <v>2909.8689199999999</v>
      </c>
      <c r="U246" s="30">
        <v>1509.72</v>
      </c>
      <c r="V246" s="30">
        <v>1400.1489199999999</v>
      </c>
      <c r="W246" s="30">
        <v>0.48117250587356353</v>
      </c>
      <c r="X246" t="str">
        <f t="shared" si="31"/>
        <v>Delayed</v>
      </c>
      <c r="Y246" t="str">
        <f t="shared" si="32"/>
        <v>Compliant Discount</v>
      </c>
      <c r="Z246" s="9">
        <f>MIN(Q246,'Scenario Modelling'!$B$2)</f>
        <v>0.16700000000000001</v>
      </c>
      <c r="AA246">
        <f t="shared" si="33"/>
        <v>126.51603999999999</v>
      </c>
      <c r="AB246">
        <f>N246*(1+'Scenario Modelling'!$B$3)</f>
        <v>72.204000000000008</v>
      </c>
      <c r="AC246">
        <f>ROUNDUP(S246*(1+'Scenario Modelling'!$B$4),0)</f>
        <v>25</v>
      </c>
      <c r="AD246">
        <f t="shared" si="34"/>
        <v>3162.9009999999998</v>
      </c>
      <c r="AE246">
        <f t="shared" si="35"/>
        <v>1357.8009999999995</v>
      </c>
    </row>
    <row r="247" spans="1:31" x14ac:dyDescent="0.3">
      <c r="A247" s="31" t="s">
        <v>260</v>
      </c>
      <c r="B247" s="48">
        <v>45338</v>
      </c>
      <c r="C247" s="47" t="str">
        <f t="shared" si="28"/>
        <v>Q1-2024</v>
      </c>
      <c r="D247" s="32">
        <v>45355</v>
      </c>
      <c r="E247" s="17">
        <f t="shared" si="27"/>
        <v>17</v>
      </c>
      <c r="F247" s="33" t="s">
        <v>648</v>
      </c>
      <c r="G247" s="33" t="s">
        <v>653</v>
      </c>
      <c r="H247" s="33" t="s">
        <v>681</v>
      </c>
      <c r="I247" s="33" t="s">
        <v>703</v>
      </c>
      <c r="J247" s="33" t="s">
        <v>707</v>
      </c>
      <c r="K247" s="33" t="s">
        <v>726</v>
      </c>
      <c r="L247" s="33" t="s">
        <v>731</v>
      </c>
      <c r="M247" s="34" t="s">
        <v>980</v>
      </c>
      <c r="N247" s="35">
        <v>1350.98</v>
      </c>
      <c r="O247" s="35">
        <v>2210.4</v>
      </c>
      <c r="P247" s="30" t="str">
        <f t="shared" si="29"/>
        <v>High</v>
      </c>
      <c r="Q247" s="43">
        <v>0.26300000000000001</v>
      </c>
      <c r="R247" s="42" t="str">
        <f t="shared" si="30"/>
        <v>High</v>
      </c>
      <c r="S247" s="17">
        <v>6</v>
      </c>
      <c r="T247" s="30">
        <v>9774.3888000000006</v>
      </c>
      <c r="U247" s="30">
        <v>8105.88</v>
      </c>
      <c r="V247" s="30">
        <v>1668.5088000000005</v>
      </c>
      <c r="W247" s="30">
        <v>0.17070211080615091</v>
      </c>
      <c r="X247" t="str">
        <f t="shared" si="31"/>
        <v>Delayed</v>
      </c>
      <c r="Y247" t="str">
        <f t="shared" si="32"/>
        <v>Non-compliant Discount</v>
      </c>
      <c r="Z247" s="9">
        <f>MIN(Q247,'Scenario Modelling'!$B$2)</f>
        <v>0.2</v>
      </c>
      <c r="AA247">
        <f t="shared" si="33"/>
        <v>1768.3200000000002</v>
      </c>
      <c r="AB247">
        <f>N247*(1+'Scenario Modelling'!$B$3)</f>
        <v>1486.0780000000002</v>
      </c>
      <c r="AC247">
        <f>ROUNDUP(S247*(1+'Scenario Modelling'!$B$4),0)</f>
        <v>7</v>
      </c>
      <c r="AD247">
        <f t="shared" si="34"/>
        <v>12378.240000000002</v>
      </c>
      <c r="AE247">
        <f t="shared" si="35"/>
        <v>1975.6939999999997</v>
      </c>
    </row>
    <row r="248" spans="1:31" x14ac:dyDescent="0.3">
      <c r="A248" s="36" t="s">
        <v>261</v>
      </c>
      <c r="B248" s="49">
        <v>45769</v>
      </c>
      <c r="C248" s="47" t="str">
        <f t="shared" si="28"/>
        <v>Q2-2025</v>
      </c>
      <c r="D248" s="37">
        <v>45779</v>
      </c>
      <c r="E248" s="16">
        <f t="shared" si="27"/>
        <v>10</v>
      </c>
      <c r="F248" s="38" t="s">
        <v>649</v>
      </c>
      <c r="G248" s="38" t="s">
        <v>656</v>
      </c>
      <c r="H248" s="38" t="s">
        <v>671</v>
      </c>
      <c r="I248" s="38" t="s">
        <v>701</v>
      </c>
      <c r="J248" s="38" t="s">
        <v>709</v>
      </c>
      <c r="K248" s="38" t="s">
        <v>712</v>
      </c>
      <c r="L248" s="38" t="s">
        <v>732</v>
      </c>
      <c r="M248" s="39" t="s">
        <v>981</v>
      </c>
      <c r="N248" s="40">
        <v>20.149999999999999</v>
      </c>
      <c r="O248" s="40">
        <v>39.74</v>
      </c>
      <c r="P248" s="30" t="str">
        <f t="shared" si="29"/>
        <v>Low</v>
      </c>
      <c r="Q248" s="44">
        <v>0.151</v>
      </c>
      <c r="R248" s="42" t="str">
        <f t="shared" si="30"/>
        <v>Medium</v>
      </c>
      <c r="S248" s="16">
        <v>18</v>
      </c>
      <c r="T248" s="30">
        <v>607.30668000000003</v>
      </c>
      <c r="U248" s="30">
        <v>362.7</v>
      </c>
      <c r="V248" s="30">
        <v>244.60668000000004</v>
      </c>
      <c r="W248" s="30">
        <v>0.4027729120318585</v>
      </c>
      <c r="X248" t="str">
        <f t="shared" si="31"/>
        <v>Delayed</v>
      </c>
      <c r="Y248" t="str">
        <f t="shared" si="32"/>
        <v>Compliant Discount</v>
      </c>
      <c r="Z248" s="9">
        <f>MIN(Q248,'Scenario Modelling'!$B$2)</f>
        <v>0.151</v>
      </c>
      <c r="AA248">
        <f t="shared" si="33"/>
        <v>33.739260000000002</v>
      </c>
      <c r="AB248">
        <f>N248*(1+'Scenario Modelling'!$B$3)</f>
        <v>22.164999999999999</v>
      </c>
      <c r="AC248">
        <f>ROUNDUP(S248*(1+'Scenario Modelling'!$B$4),0)</f>
        <v>19</v>
      </c>
      <c r="AD248">
        <f t="shared" si="34"/>
        <v>641.04593999999997</v>
      </c>
      <c r="AE248">
        <f t="shared" si="35"/>
        <v>219.91094000000004</v>
      </c>
    </row>
    <row r="249" spans="1:31" x14ac:dyDescent="0.3">
      <c r="A249" s="31" t="s">
        <v>262</v>
      </c>
      <c r="B249" s="48">
        <v>45604</v>
      </c>
      <c r="C249" s="47" t="str">
        <f t="shared" si="28"/>
        <v>Q4-2024</v>
      </c>
      <c r="D249" s="32">
        <v>45604</v>
      </c>
      <c r="E249" s="17">
        <f t="shared" si="27"/>
        <v>0</v>
      </c>
      <c r="F249" s="33" t="s">
        <v>646</v>
      </c>
      <c r="G249" s="33" t="s">
        <v>650</v>
      </c>
      <c r="H249" s="33" t="s">
        <v>678</v>
      </c>
      <c r="I249" s="33" t="s">
        <v>706</v>
      </c>
      <c r="J249" s="33" t="s">
        <v>709</v>
      </c>
      <c r="K249" s="33" t="s">
        <v>724</v>
      </c>
      <c r="L249" s="33" t="s">
        <v>729</v>
      </c>
      <c r="M249" s="34" t="s">
        <v>982</v>
      </c>
      <c r="N249" s="35">
        <v>803.28</v>
      </c>
      <c r="O249" s="35">
        <v>1009</v>
      </c>
      <c r="P249" s="30" t="str">
        <f t="shared" si="29"/>
        <v>Medium</v>
      </c>
      <c r="Q249" s="43">
        <v>0.11</v>
      </c>
      <c r="R249" s="42" t="str">
        <f t="shared" si="30"/>
        <v>Medium</v>
      </c>
      <c r="S249" s="17">
        <v>4</v>
      </c>
      <c r="T249" s="30">
        <v>3592.04</v>
      </c>
      <c r="U249" s="30">
        <v>3213.12</v>
      </c>
      <c r="V249" s="30">
        <v>378.92000000000007</v>
      </c>
      <c r="W249" s="30">
        <v>0.10548880302001093</v>
      </c>
      <c r="X249" t="str">
        <f t="shared" si="31"/>
        <v>On-time</v>
      </c>
      <c r="Y249" t="str">
        <f t="shared" si="32"/>
        <v>Compliant Discount</v>
      </c>
      <c r="Z249" s="9">
        <f>MIN(Q249,'Scenario Modelling'!$B$2)</f>
        <v>0.11</v>
      </c>
      <c r="AA249">
        <f t="shared" si="33"/>
        <v>898.01</v>
      </c>
      <c r="AB249">
        <f>N249*(1+'Scenario Modelling'!$B$3)</f>
        <v>883.60800000000006</v>
      </c>
      <c r="AC249">
        <f>ROUNDUP(S249*(1+'Scenario Modelling'!$B$4),0)</f>
        <v>5</v>
      </c>
      <c r="AD249">
        <f t="shared" si="34"/>
        <v>4490.05</v>
      </c>
      <c r="AE249">
        <f t="shared" si="35"/>
        <v>72.00999999999965</v>
      </c>
    </row>
    <row r="250" spans="1:31" x14ac:dyDescent="0.3">
      <c r="A250" s="36" t="s">
        <v>263</v>
      </c>
      <c r="B250" s="49">
        <v>45912</v>
      </c>
      <c r="C250" s="47" t="str">
        <f t="shared" si="28"/>
        <v>Q3-2025</v>
      </c>
      <c r="D250" s="37">
        <v>45930</v>
      </c>
      <c r="E250" s="16">
        <f t="shared" si="27"/>
        <v>18</v>
      </c>
      <c r="F250" s="38" t="s">
        <v>647</v>
      </c>
      <c r="G250" s="38" t="s">
        <v>652</v>
      </c>
      <c r="H250" s="38" t="s">
        <v>694</v>
      </c>
      <c r="I250" s="38" t="s">
        <v>703</v>
      </c>
      <c r="J250" s="38" t="s">
        <v>709</v>
      </c>
      <c r="K250" s="38" t="s">
        <v>721</v>
      </c>
      <c r="L250" s="38" t="s">
        <v>732</v>
      </c>
      <c r="M250" s="39" t="s">
        <v>983</v>
      </c>
      <c r="N250" s="40">
        <v>1212.99</v>
      </c>
      <c r="O250" s="40">
        <v>1653.64</v>
      </c>
      <c r="P250" s="30" t="str">
        <f t="shared" si="29"/>
        <v>High</v>
      </c>
      <c r="Q250" s="44">
        <v>0.107</v>
      </c>
      <c r="R250" s="42" t="str">
        <f t="shared" si="30"/>
        <v>Medium</v>
      </c>
      <c r="S250" s="16">
        <v>8</v>
      </c>
      <c r="T250" s="30">
        <v>11813.604160000001</v>
      </c>
      <c r="U250" s="30">
        <v>9703.92</v>
      </c>
      <c r="V250" s="30">
        <v>2109.6841600000007</v>
      </c>
      <c r="W250" s="30">
        <v>0.17858090819931455</v>
      </c>
      <c r="X250" t="str">
        <f t="shared" si="31"/>
        <v>Delayed</v>
      </c>
      <c r="Y250" t="str">
        <f t="shared" si="32"/>
        <v>Compliant Discount</v>
      </c>
      <c r="Z250" s="9">
        <f>MIN(Q250,'Scenario Modelling'!$B$2)</f>
        <v>0.107</v>
      </c>
      <c r="AA250">
        <f t="shared" si="33"/>
        <v>1476.7005200000001</v>
      </c>
      <c r="AB250">
        <f>N250*(1+'Scenario Modelling'!$B$3)</f>
        <v>1334.2890000000002</v>
      </c>
      <c r="AC250">
        <f>ROUNDUP(S250*(1+'Scenario Modelling'!$B$4),0)</f>
        <v>9</v>
      </c>
      <c r="AD250">
        <f t="shared" si="34"/>
        <v>13290.304680000001</v>
      </c>
      <c r="AE250">
        <f t="shared" si="35"/>
        <v>1281.7036799999989</v>
      </c>
    </row>
    <row r="251" spans="1:31" x14ac:dyDescent="0.3">
      <c r="A251" s="31" t="s">
        <v>264</v>
      </c>
      <c r="B251" s="48">
        <v>45537</v>
      </c>
      <c r="C251" s="47" t="str">
        <f t="shared" si="28"/>
        <v>Q3-2024</v>
      </c>
      <c r="D251" s="32">
        <v>45543</v>
      </c>
      <c r="E251" s="17">
        <f t="shared" si="27"/>
        <v>6</v>
      </c>
      <c r="F251" s="33" t="s">
        <v>648</v>
      </c>
      <c r="G251" s="33" t="s">
        <v>660</v>
      </c>
      <c r="H251" s="33" t="s">
        <v>697</v>
      </c>
      <c r="I251" s="33" t="s">
        <v>704</v>
      </c>
      <c r="J251" s="33" t="s">
        <v>711</v>
      </c>
      <c r="K251" s="33" t="s">
        <v>722</v>
      </c>
      <c r="L251" s="33" t="s">
        <v>727</v>
      </c>
      <c r="M251" s="34" t="s">
        <v>984</v>
      </c>
      <c r="N251" s="35">
        <v>462.94</v>
      </c>
      <c r="O251" s="35">
        <v>1015.7</v>
      </c>
      <c r="P251" s="30" t="str">
        <f t="shared" si="29"/>
        <v>Medium</v>
      </c>
      <c r="Q251" s="43">
        <v>0.14299999999999999</v>
      </c>
      <c r="R251" s="42" t="str">
        <f t="shared" si="30"/>
        <v>Medium</v>
      </c>
      <c r="S251" s="17">
        <v>14</v>
      </c>
      <c r="T251" s="30">
        <v>12186.368600000002</v>
      </c>
      <c r="U251" s="30">
        <v>6481.16</v>
      </c>
      <c r="V251" s="30">
        <v>5705.2086000000018</v>
      </c>
      <c r="W251" s="30">
        <v>0.46816314090483041</v>
      </c>
      <c r="X251" t="str">
        <f t="shared" si="31"/>
        <v>On-time</v>
      </c>
      <c r="Y251" t="str">
        <f t="shared" si="32"/>
        <v>Compliant Discount</v>
      </c>
      <c r="Z251" s="9">
        <f>MIN(Q251,'Scenario Modelling'!$B$2)</f>
        <v>0.14299999999999999</v>
      </c>
      <c r="AA251">
        <f t="shared" si="33"/>
        <v>870.45490000000007</v>
      </c>
      <c r="AB251">
        <f>N251*(1+'Scenario Modelling'!$B$3)</f>
        <v>509.23400000000004</v>
      </c>
      <c r="AC251">
        <f>ROUNDUP(S251*(1+'Scenario Modelling'!$B$4),0)</f>
        <v>15</v>
      </c>
      <c r="AD251">
        <f t="shared" si="34"/>
        <v>13056.8235</v>
      </c>
      <c r="AE251">
        <f t="shared" si="35"/>
        <v>5418.3135000000002</v>
      </c>
    </row>
    <row r="252" spans="1:31" x14ac:dyDescent="0.3">
      <c r="A252" s="36" t="s">
        <v>265</v>
      </c>
      <c r="B252" s="49">
        <v>44989</v>
      </c>
      <c r="C252" s="47" t="str">
        <f t="shared" si="28"/>
        <v>Q1-2023</v>
      </c>
      <c r="D252" s="37">
        <v>45009</v>
      </c>
      <c r="E252" s="16">
        <f t="shared" si="27"/>
        <v>20</v>
      </c>
      <c r="F252" s="38" t="s">
        <v>648</v>
      </c>
      <c r="G252" s="38" t="s">
        <v>653</v>
      </c>
      <c r="H252" s="38" t="s">
        <v>681</v>
      </c>
      <c r="I252" s="38" t="s">
        <v>704</v>
      </c>
      <c r="J252" s="38" t="s">
        <v>710</v>
      </c>
      <c r="K252" s="38" t="s">
        <v>714</v>
      </c>
      <c r="L252" s="38" t="s">
        <v>731</v>
      </c>
      <c r="M252" s="39" t="s">
        <v>985</v>
      </c>
      <c r="N252" s="40">
        <v>481.71</v>
      </c>
      <c r="O252" s="40">
        <v>912.45</v>
      </c>
      <c r="P252" s="30" t="str">
        <f t="shared" si="29"/>
        <v>Medium</v>
      </c>
      <c r="Q252" s="44">
        <v>0.20300000000000001</v>
      </c>
      <c r="R252" s="42" t="str">
        <f t="shared" si="30"/>
        <v>High</v>
      </c>
      <c r="S252" s="16">
        <v>24</v>
      </c>
      <c r="T252" s="30">
        <v>17453.3436</v>
      </c>
      <c r="U252" s="30">
        <v>11561.039999999999</v>
      </c>
      <c r="V252" s="30">
        <v>5892.3036000000011</v>
      </c>
      <c r="W252" s="30">
        <v>0.33760313983619739</v>
      </c>
      <c r="X252" t="str">
        <f t="shared" si="31"/>
        <v>Delayed</v>
      </c>
      <c r="Y252" t="str">
        <f t="shared" si="32"/>
        <v>Non-compliant Discount</v>
      </c>
      <c r="Z252" s="9">
        <f>MIN(Q252,'Scenario Modelling'!$B$2)</f>
        <v>0.2</v>
      </c>
      <c r="AA252">
        <f t="shared" si="33"/>
        <v>729.96</v>
      </c>
      <c r="AB252">
        <f>N252*(1+'Scenario Modelling'!$B$3)</f>
        <v>529.88099999999997</v>
      </c>
      <c r="AC252">
        <f>ROUNDUP(S252*(1+'Scenario Modelling'!$B$4),0)</f>
        <v>26</v>
      </c>
      <c r="AD252">
        <f t="shared" si="34"/>
        <v>18978.96</v>
      </c>
      <c r="AE252">
        <f t="shared" si="35"/>
        <v>5202.0540000000019</v>
      </c>
    </row>
    <row r="253" spans="1:31" x14ac:dyDescent="0.3">
      <c r="A253" s="31" t="s">
        <v>266</v>
      </c>
      <c r="B253" s="48">
        <v>45366</v>
      </c>
      <c r="C253" s="47" t="str">
        <f t="shared" si="28"/>
        <v>Q1-2024</v>
      </c>
      <c r="D253" s="32">
        <v>45391</v>
      </c>
      <c r="E253" s="17">
        <f t="shared" si="27"/>
        <v>25</v>
      </c>
      <c r="F253" s="33" t="s">
        <v>648</v>
      </c>
      <c r="G253" s="33" t="s">
        <v>653</v>
      </c>
      <c r="H253" s="33" t="s">
        <v>688</v>
      </c>
      <c r="I253" s="33" t="s">
        <v>704</v>
      </c>
      <c r="J253" s="33" t="s">
        <v>708</v>
      </c>
      <c r="K253" s="33" t="s">
        <v>721</v>
      </c>
      <c r="L253" s="33" t="s">
        <v>732</v>
      </c>
      <c r="M253" s="34" t="s">
        <v>986</v>
      </c>
      <c r="N253" s="35">
        <v>648.64</v>
      </c>
      <c r="O253" s="35">
        <v>815.19</v>
      </c>
      <c r="P253" s="30" t="str">
        <f t="shared" si="29"/>
        <v>Low</v>
      </c>
      <c r="Q253" s="43">
        <v>0.22500000000000001</v>
      </c>
      <c r="R253" s="42" t="str">
        <f t="shared" si="30"/>
        <v>High</v>
      </c>
      <c r="S253" s="17">
        <v>28</v>
      </c>
      <c r="T253" s="30">
        <v>17689.623</v>
      </c>
      <c r="U253" s="30">
        <v>18161.919999999998</v>
      </c>
      <c r="V253" s="30">
        <v>-472.29699999999866</v>
      </c>
      <c r="W253" s="30">
        <v>-2.6699099240272032E-2</v>
      </c>
      <c r="X253" t="str">
        <f t="shared" si="31"/>
        <v>Delayed</v>
      </c>
      <c r="Y253" t="str">
        <f t="shared" si="32"/>
        <v>Non-compliant Discount</v>
      </c>
      <c r="Z253" s="9">
        <f>MIN(Q253,'Scenario Modelling'!$B$2)</f>
        <v>0.2</v>
      </c>
      <c r="AA253">
        <f t="shared" si="33"/>
        <v>652.15200000000004</v>
      </c>
      <c r="AB253">
        <f>N253*(1+'Scenario Modelling'!$B$3)</f>
        <v>713.50400000000002</v>
      </c>
      <c r="AC253">
        <f>ROUNDUP(S253*(1+'Scenario Modelling'!$B$4),0)</f>
        <v>30</v>
      </c>
      <c r="AD253">
        <f t="shared" si="34"/>
        <v>19564.560000000001</v>
      </c>
      <c r="AE253">
        <f t="shared" si="35"/>
        <v>-1840.5599999999993</v>
      </c>
    </row>
    <row r="254" spans="1:31" x14ac:dyDescent="0.3">
      <c r="A254" s="36" t="s">
        <v>267</v>
      </c>
      <c r="B254" s="49">
        <v>45502</v>
      </c>
      <c r="C254" s="47" t="str">
        <f t="shared" si="28"/>
        <v>Q3-2024</v>
      </c>
      <c r="D254" s="37">
        <v>45504</v>
      </c>
      <c r="E254" s="16">
        <f t="shared" si="27"/>
        <v>2</v>
      </c>
      <c r="F254" s="38" t="s">
        <v>648</v>
      </c>
      <c r="G254" s="38" t="s">
        <v>660</v>
      </c>
      <c r="H254" s="38" t="s">
        <v>700</v>
      </c>
      <c r="I254" s="38" t="s">
        <v>702</v>
      </c>
      <c r="J254" s="38" t="s">
        <v>709</v>
      </c>
      <c r="K254" s="38" t="s">
        <v>714</v>
      </c>
      <c r="L254" s="38" t="s">
        <v>728</v>
      </c>
      <c r="M254" s="39" t="s">
        <v>987</v>
      </c>
      <c r="N254" s="40">
        <v>798.97</v>
      </c>
      <c r="O254" s="40">
        <v>1814.06</v>
      </c>
      <c r="P254" s="30" t="str">
        <f t="shared" si="29"/>
        <v>High</v>
      </c>
      <c r="Q254" s="44">
        <v>0.122</v>
      </c>
      <c r="R254" s="42" t="str">
        <f t="shared" si="30"/>
        <v>Medium</v>
      </c>
      <c r="S254" s="16">
        <v>16</v>
      </c>
      <c r="T254" s="30">
        <v>25483.91488</v>
      </c>
      <c r="U254" s="30">
        <v>12783.52</v>
      </c>
      <c r="V254" s="30">
        <v>12700.39488</v>
      </c>
      <c r="W254" s="30">
        <v>0.49836906691159061</v>
      </c>
      <c r="X254" t="str">
        <f t="shared" si="31"/>
        <v>On-time</v>
      </c>
      <c r="Y254" t="str">
        <f t="shared" si="32"/>
        <v>Compliant Discount</v>
      </c>
      <c r="Z254" s="9">
        <f>MIN(Q254,'Scenario Modelling'!$B$2)</f>
        <v>0.122</v>
      </c>
      <c r="AA254">
        <f t="shared" si="33"/>
        <v>1592.74468</v>
      </c>
      <c r="AB254">
        <f>N254*(1+'Scenario Modelling'!$B$3)</f>
        <v>878.86700000000008</v>
      </c>
      <c r="AC254">
        <f>ROUNDUP(S254*(1+'Scenario Modelling'!$B$4),0)</f>
        <v>17</v>
      </c>
      <c r="AD254">
        <f t="shared" si="34"/>
        <v>27076.65956</v>
      </c>
      <c r="AE254">
        <f t="shared" si="35"/>
        <v>12135.920559999999</v>
      </c>
    </row>
    <row r="255" spans="1:31" x14ac:dyDescent="0.3">
      <c r="A255" s="31" t="s">
        <v>268</v>
      </c>
      <c r="B255" s="48">
        <v>45592</v>
      </c>
      <c r="C255" s="47" t="str">
        <f t="shared" si="28"/>
        <v>Q4-2024</v>
      </c>
      <c r="D255" s="32">
        <v>45616</v>
      </c>
      <c r="E255" s="17">
        <f t="shared" si="27"/>
        <v>24</v>
      </c>
      <c r="F255" s="33" t="s">
        <v>647</v>
      </c>
      <c r="G255" s="33" t="s">
        <v>652</v>
      </c>
      <c r="H255" s="33" t="s">
        <v>694</v>
      </c>
      <c r="I255" s="33" t="s">
        <v>703</v>
      </c>
      <c r="J255" s="33" t="s">
        <v>708</v>
      </c>
      <c r="K255" s="33" t="s">
        <v>722</v>
      </c>
      <c r="L255" s="33" t="s">
        <v>732</v>
      </c>
      <c r="M255" s="34" t="s">
        <v>988</v>
      </c>
      <c r="N255" s="35">
        <v>317.25</v>
      </c>
      <c r="O255" s="35">
        <v>758.92</v>
      </c>
      <c r="P255" s="30" t="str">
        <f t="shared" si="29"/>
        <v>Low</v>
      </c>
      <c r="Q255" s="43">
        <v>5.2999999999999999E-2</v>
      </c>
      <c r="R255" s="42" t="str">
        <f t="shared" si="30"/>
        <v>Low</v>
      </c>
      <c r="S255" s="17">
        <v>9</v>
      </c>
      <c r="T255" s="30">
        <v>6468.2751599999992</v>
      </c>
      <c r="U255" s="30">
        <v>2855.25</v>
      </c>
      <c r="V255" s="30">
        <v>3613.0251599999992</v>
      </c>
      <c r="W255" s="30">
        <v>0.5585762928489888</v>
      </c>
      <c r="X255" t="str">
        <f t="shared" si="31"/>
        <v>Delayed</v>
      </c>
      <c r="Y255" t="str">
        <f t="shared" si="32"/>
        <v>Compliant Discount</v>
      </c>
      <c r="Z255" s="9">
        <f>MIN(Q255,'Scenario Modelling'!$B$2)</f>
        <v>5.2999999999999999E-2</v>
      </c>
      <c r="AA255">
        <f t="shared" si="33"/>
        <v>718.69723999999997</v>
      </c>
      <c r="AB255">
        <f>N255*(1+'Scenario Modelling'!$B$3)</f>
        <v>348.97500000000002</v>
      </c>
      <c r="AC255">
        <f>ROUNDUP(S255*(1+'Scenario Modelling'!$B$4),0)</f>
        <v>10</v>
      </c>
      <c r="AD255">
        <f t="shared" si="34"/>
        <v>7186.9723999999997</v>
      </c>
      <c r="AE255">
        <f t="shared" si="35"/>
        <v>3697.2223999999997</v>
      </c>
    </row>
    <row r="256" spans="1:31" x14ac:dyDescent="0.3">
      <c r="A256" s="36" t="s">
        <v>269</v>
      </c>
      <c r="B256" s="49">
        <v>45411</v>
      </c>
      <c r="C256" s="47" t="str">
        <f t="shared" si="28"/>
        <v>Q2-2024</v>
      </c>
      <c r="D256" s="37">
        <v>45431</v>
      </c>
      <c r="E256" s="16">
        <f t="shared" si="27"/>
        <v>20</v>
      </c>
      <c r="F256" s="38" t="s">
        <v>649</v>
      </c>
      <c r="G256" s="38" t="s">
        <v>656</v>
      </c>
      <c r="H256" s="38" t="s">
        <v>698</v>
      </c>
      <c r="I256" s="38" t="s">
        <v>706</v>
      </c>
      <c r="J256" s="38" t="s">
        <v>709</v>
      </c>
      <c r="K256" s="38" t="s">
        <v>712</v>
      </c>
      <c r="L256" s="38" t="s">
        <v>731</v>
      </c>
      <c r="M256" s="39" t="s">
        <v>989</v>
      </c>
      <c r="N256" s="40">
        <v>668.97</v>
      </c>
      <c r="O256" s="40">
        <v>1667.44</v>
      </c>
      <c r="P256" s="30" t="str">
        <f t="shared" si="29"/>
        <v>High</v>
      </c>
      <c r="Q256" s="44">
        <v>3.4000000000000002E-2</v>
      </c>
      <c r="R256" s="42" t="str">
        <f t="shared" si="30"/>
        <v>Low</v>
      </c>
      <c r="S256" s="16">
        <v>15</v>
      </c>
      <c r="T256" s="30">
        <v>24161.205600000001</v>
      </c>
      <c r="U256" s="30">
        <v>10034.550000000001</v>
      </c>
      <c r="V256" s="30">
        <v>14126.6556</v>
      </c>
      <c r="W256" s="30">
        <v>0.58468339013679016</v>
      </c>
      <c r="X256" t="str">
        <f t="shared" si="31"/>
        <v>Delayed</v>
      </c>
      <c r="Y256" t="str">
        <f t="shared" si="32"/>
        <v>Compliant Discount</v>
      </c>
      <c r="Z256" s="9">
        <f>MIN(Q256,'Scenario Modelling'!$B$2)</f>
        <v>3.4000000000000002E-2</v>
      </c>
      <c r="AA256">
        <f t="shared" si="33"/>
        <v>1610.74704</v>
      </c>
      <c r="AB256">
        <f>N256*(1+'Scenario Modelling'!$B$3)</f>
        <v>735.86700000000008</v>
      </c>
      <c r="AC256">
        <f>ROUNDUP(S256*(1+'Scenario Modelling'!$B$4),0)</f>
        <v>16</v>
      </c>
      <c r="AD256">
        <f t="shared" si="34"/>
        <v>25771.95264</v>
      </c>
      <c r="AE256">
        <f t="shared" si="35"/>
        <v>13998.080639999998</v>
      </c>
    </row>
    <row r="257" spans="1:31" x14ac:dyDescent="0.3">
      <c r="A257" s="31" t="s">
        <v>270</v>
      </c>
      <c r="B257" s="48">
        <v>45204</v>
      </c>
      <c r="C257" s="47" t="str">
        <f t="shared" si="28"/>
        <v>Q4-2023</v>
      </c>
      <c r="D257" s="32">
        <v>45205</v>
      </c>
      <c r="E257" s="17">
        <f t="shared" si="27"/>
        <v>1</v>
      </c>
      <c r="F257" s="33" t="s">
        <v>647</v>
      </c>
      <c r="G257" s="33" t="s">
        <v>654</v>
      </c>
      <c r="H257" s="33" t="s">
        <v>668</v>
      </c>
      <c r="I257" s="33" t="s">
        <v>703</v>
      </c>
      <c r="J257" s="33" t="s">
        <v>708</v>
      </c>
      <c r="K257" s="33" t="s">
        <v>714</v>
      </c>
      <c r="L257" s="33" t="s">
        <v>727</v>
      </c>
      <c r="M257" s="34" t="s">
        <v>990</v>
      </c>
      <c r="N257" s="35">
        <v>1470.26</v>
      </c>
      <c r="O257" s="35">
        <v>2562.5500000000002</v>
      </c>
      <c r="P257" s="30" t="str">
        <f t="shared" si="29"/>
        <v>High</v>
      </c>
      <c r="Q257" s="43">
        <v>0.17299999999999999</v>
      </c>
      <c r="R257" s="42" t="str">
        <f t="shared" si="30"/>
        <v>Medium</v>
      </c>
      <c r="S257" s="17">
        <v>9</v>
      </c>
      <c r="T257" s="30">
        <v>19073.059649999999</v>
      </c>
      <c r="U257" s="30">
        <v>13232.34</v>
      </c>
      <c r="V257" s="30">
        <v>5840.7196499999991</v>
      </c>
      <c r="W257" s="30">
        <v>0.30622877279157462</v>
      </c>
      <c r="X257" t="str">
        <f t="shared" si="31"/>
        <v>On-time</v>
      </c>
      <c r="Y257" t="str">
        <f t="shared" si="32"/>
        <v>Compliant Discount</v>
      </c>
      <c r="Z257" s="9">
        <f>MIN(Q257,'Scenario Modelling'!$B$2)</f>
        <v>0.17299999999999999</v>
      </c>
      <c r="AA257">
        <f t="shared" si="33"/>
        <v>2119.22885</v>
      </c>
      <c r="AB257">
        <f>N257*(1+'Scenario Modelling'!$B$3)</f>
        <v>1617.2860000000001</v>
      </c>
      <c r="AC257">
        <f>ROUNDUP(S257*(1+'Scenario Modelling'!$B$4),0)</f>
        <v>10</v>
      </c>
      <c r="AD257">
        <f t="shared" si="34"/>
        <v>21192.288499999999</v>
      </c>
      <c r="AE257">
        <f t="shared" si="35"/>
        <v>5019.4284999999991</v>
      </c>
    </row>
    <row r="258" spans="1:31" x14ac:dyDescent="0.3">
      <c r="A258" s="36" t="s">
        <v>271</v>
      </c>
      <c r="B258" s="49">
        <v>45035</v>
      </c>
      <c r="C258" s="47" t="str">
        <f t="shared" si="28"/>
        <v>Q2-2023</v>
      </c>
      <c r="D258" s="37">
        <v>45053</v>
      </c>
      <c r="E258" s="16">
        <f t="shared" ref="E258:E321" si="36">D258-B258</f>
        <v>18</v>
      </c>
      <c r="F258" s="38" t="s">
        <v>649</v>
      </c>
      <c r="G258" s="38" t="s">
        <v>658</v>
      </c>
      <c r="H258" s="38" t="s">
        <v>683</v>
      </c>
      <c r="I258" s="38" t="s">
        <v>703</v>
      </c>
      <c r="J258" s="38" t="s">
        <v>711</v>
      </c>
      <c r="K258" s="38" t="s">
        <v>722</v>
      </c>
      <c r="L258" s="38" t="s">
        <v>729</v>
      </c>
      <c r="M258" s="39" t="s">
        <v>991</v>
      </c>
      <c r="N258" s="40">
        <v>516.96</v>
      </c>
      <c r="O258" s="40">
        <v>745.38</v>
      </c>
      <c r="P258" s="30" t="str">
        <f t="shared" si="29"/>
        <v>Low</v>
      </c>
      <c r="Q258" s="44">
        <v>0.19700000000000001</v>
      </c>
      <c r="R258" s="42" t="str">
        <f t="shared" si="30"/>
        <v>Medium</v>
      </c>
      <c r="S258" s="16">
        <v>4</v>
      </c>
      <c r="T258" s="30">
        <v>2394.1605599999998</v>
      </c>
      <c r="U258" s="30">
        <v>2067.84</v>
      </c>
      <c r="V258" s="30">
        <v>326.32055999999966</v>
      </c>
      <c r="W258" s="30">
        <v>0.13629852794835101</v>
      </c>
      <c r="X258" t="str">
        <f t="shared" si="31"/>
        <v>Delayed</v>
      </c>
      <c r="Y258" t="str">
        <f t="shared" si="32"/>
        <v>Compliant Discount</v>
      </c>
      <c r="Z258" s="9">
        <f>MIN(Q258,'Scenario Modelling'!$B$2)</f>
        <v>0.19700000000000001</v>
      </c>
      <c r="AA258">
        <f t="shared" si="33"/>
        <v>598.54013999999995</v>
      </c>
      <c r="AB258">
        <f>N258*(1+'Scenario Modelling'!$B$3)</f>
        <v>568.65600000000006</v>
      </c>
      <c r="AC258">
        <f>ROUNDUP(S258*(1+'Scenario Modelling'!$B$4),0)</f>
        <v>5</v>
      </c>
      <c r="AD258">
        <f t="shared" si="34"/>
        <v>2992.7006999999999</v>
      </c>
      <c r="AE258">
        <f t="shared" si="35"/>
        <v>149.42069999999944</v>
      </c>
    </row>
    <row r="259" spans="1:31" x14ac:dyDescent="0.3">
      <c r="A259" s="31" t="s">
        <v>272</v>
      </c>
      <c r="B259" s="48">
        <v>45835</v>
      </c>
      <c r="C259" s="47" t="str">
        <f t="shared" ref="C259:C322" si="37">"Q"&amp;ROUNDUP(MONTH(B259)/3,0)&amp;"-"&amp;YEAR(B259)</f>
        <v>Q2-2025</v>
      </c>
      <c r="D259" s="32">
        <v>45843</v>
      </c>
      <c r="E259" s="17">
        <f t="shared" si="36"/>
        <v>8</v>
      </c>
      <c r="F259" s="33" t="s">
        <v>649</v>
      </c>
      <c r="G259" s="33" t="s">
        <v>656</v>
      </c>
      <c r="H259" s="33" t="s">
        <v>684</v>
      </c>
      <c r="I259" s="33" t="s">
        <v>705</v>
      </c>
      <c r="J259" s="33" t="s">
        <v>711</v>
      </c>
      <c r="K259" s="33" t="s">
        <v>715</v>
      </c>
      <c r="L259" s="33" t="s">
        <v>732</v>
      </c>
      <c r="M259" s="34" t="s">
        <v>992</v>
      </c>
      <c r="N259" s="35">
        <v>314.93</v>
      </c>
      <c r="O259" s="35">
        <v>687.95</v>
      </c>
      <c r="P259" s="30" t="str">
        <f t="shared" ref="P259:P322" si="38">IF(O259&lt;=_xlfn.PERCENTILE.INC(IF(L259:L889=L259, O259:O889), 0.33), "Low", IF(O259&lt;=_xlfn.PERCENTILE.INC(IF(L259:L889=L259, O259:O889), 0.66), "Medium", IF(O259 &gt; _xlfn.PERCENTILE.INC(IF(L259:L889=L259, O259:O889), 0.66), "High")))</f>
        <v>Low</v>
      </c>
      <c r="Q259" s="43">
        <v>0.20499999999999999</v>
      </c>
      <c r="R259" s="42" t="str">
        <f t="shared" ref="R259:R322" si="39">IF(Q259&lt;=0.1,"Low",IF(Q259&gt;0.2,"High","Medium"))</f>
        <v>High</v>
      </c>
      <c r="S259" s="17">
        <v>8</v>
      </c>
      <c r="T259" s="30">
        <v>4375.3620000000001</v>
      </c>
      <c r="U259" s="30">
        <v>2519.44</v>
      </c>
      <c r="V259" s="30">
        <v>1855.922</v>
      </c>
      <c r="W259" s="30">
        <v>0.424175645352316</v>
      </c>
      <c r="X259" t="str">
        <f t="shared" ref="X259:X322" si="40">IF(E259&lt;=7,"On-time","Delayed")</f>
        <v>Delayed</v>
      </c>
      <c r="Y259" t="str">
        <f t="shared" ref="Y259:Y322" si="41">IF(Q259&lt;=0.2, "Compliant Discount", "Non-compliant Discount")</f>
        <v>Non-compliant Discount</v>
      </c>
      <c r="Z259" s="9">
        <f>MIN(Q259,'Scenario Modelling'!$B$2)</f>
        <v>0.2</v>
      </c>
      <c r="AA259">
        <f t="shared" ref="AA259:AA322" si="42">O259*(1-Z259)</f>
        <v>550.36</v>
      </c>
      <c r="AB259">
        <f>N259*(1+'Scenario Modelling'!$B$3)</f>
        <v>346.42300000000006</v>
      </c>
      <c r="AC259">
        <f>ROUNDUP(S259*(1+'Scenario Modelling'!$B$4),0)</f>
        <v>9</v>
      </c>
      <c r="AD259">
        <f t="shared" ref="AD259:AD322" si="43">AA259*AC259</f>
        <v>4953.24</v>
      </c>
      <c r="AE259">
        <f t="shared" ref="AE259:AE322" si="44">(AA259-AB259)*AC259</f>
        <v>1835.4329999999995</v>
      </c>
    </row>
    <row r="260" spans="1:31" x14ac:dyDescent="0.3">
      <c r="A260" s="36" t="s">
        <v>273</v>
      </c>
      <c r="B260" s="49">
        <v>45210</v>
      </c>
      <c r="C260" s="47" t="str">
        <f t="shared" si="37"/>
        <v>Q4-2023</v>
      </c>
      <c r="D260" s="37">
        <v>45212</v>
      </c>
      <c r="E260" s="16">
        <f t="shared" si="36"/>
        <v>2</v>
      </c>
      <c r="F260" s="38" t="s">
        <v>648</v>
      </c>
      <c r="G260" s="38" t="s">
        <v>655</v>
      </c>
      <c r="H260" s="38" t="s">
        <v>672</v>
      </c>
      <c r="I260" s="38" t="s">
        <v>704</v>
      </c>
      <c r="J260" s="38" t="s">
        <v>710</v>
      </c>
      <c r="K260" s="38" t="s">
        <v>1424</v>
      </c>
      <c r="L260" s="38" t="s">
        <v>733</v>
      </c>
      <c r="M260" s="39" t="s">
        <v>993</v>
      </c>
      <c r="N260" s="40">
        <v>715.94</v>
      </c>
      <c r="O260" s="40">
        <v>550.07000000000005</v>
      </c>
      <c r="P260" s="30" t="str">
        <f t="shared" si="38"/>
        <v>Low</v>
      </c>
      <c r="Q260" s="44">
        <v>0.14000000000000001</v>
      </c>
      <c r="R260" s="42" t="str">
        <f t="shared" si="39"/>
        <v>Medium</v>
      </c>
      <c r="S260" s="16">
        <v>16</v>
      </c>
      <c r="T260" s="30">
        <v>7568.9632000000001</v>
      </c>
      <c r="U260" s="30">
        <v>11455.04</v>
      </c>
      <c r="V260" s="30">
        <v>-3886.0768000000007</v>
      </c>
      <c r="W260" s="30">
        <v>-0.51342260456491595</v>
      </c>
      <c r="X260" t="str">
        <f t="shared" si="40"/>
        <v>On-time</v>
      </c>
      <c r="Y260" t="str">
        <f t="shared" si="41"/>
        <v>Compliant Discount</v>
      </c>
      <c r="Z260" s="9">
        <f>MIN(Q260,'Scenario Modelling'!$B$2)</f>
        <v>0.14000000000000001</v>
      </c>
      <c r="AA260">
        <f t="shared" si="42"/>
        <v>473.06020000000001</v>
      </c>
      <c r="AB260">
        <f>N260*(1+'Scenario Modelling'!$B$3)</f>
        <v>787.53400000000011</v>
      </c>
      <c r="AC260">
        <f>ROUNDUP(S260*(1+'Scenario Modelling'!$B$4),0)</f>
        <v>17</v>
      </c>
      <c r="AD260">
        <f t="shared" si="43"/>
        <v>8042.0234</v>
      </c>
      <c r="AE260">
        <f t="shared" si="44"/>
        <v>-5346.0546000000013</v>
      </c>
    </row>
    <row r="261" spans="1:31" x14ac:dyDescent="0.3">
      <c r="A261" s="31" t="s">
        <v>274</v>
      </c>
      <c r="B261" s="48">
        <v>45066</v>
      </c>
      <c r="C261" s="47" t="str">
        <f t="shared" si="37"/>
        <v>Q2-2023</v>
      </c>
      <c r="D261" s="32">
        <v>45084</v>
      </c>
      <c r="E261" s="17">
        <f t="shared" si="36"/>
        <v>18</v>
      </c>
      <c r="F261" s="33" t="s">
        <v>646</v>
      </c>
      <c r="G261" s="33" t="s">
        <v>651</v>
      </c>
      <c r="H261" s="33" t="s">
        <v>663</v>
      </c>
      <c r="I261" s="33" t="s">
        <v>706</v>
      </c>
      <c r="J261" s="33" t="s">
        <v>710</v>
      </c>
      <c r="K261" s="33" t="s">
        <v>718</v>
      </c>
      <c r="L261" s="33" t="s">
        <v>727</v>
      </c>
      <c r="M261" s="34" t="s">
        <v>994</v>
      </c>
      <c r="N261" s="35">
        <v>1120.06</v>
      </c>
      <c r="O261" s="35">
        <v>2068.21</v>
      </c>
      <c r="P261" s="30" t="str">
        <f t="shared" si="38"/>
        <v>High</v>
      </c>
      <c r="Q261" s="43">
        <v>7.8E-2</v>
      </c>
      <c r="R261" s="42" t="str">
        <f t="shared" si="39"/>
        <v>Low</v>
      </c>
      <c r="S261" s="17">
        <v>12</v>
      </c>
      <c r="T261" s="30">
        <v>22882.675440000003</v>
      </c>
      <c r="U261" s="30">
        <v>13440.72</v>
      </c>
      <c r="V261" s="30">
        <v>9441.9554400000034</v>
      </c>
      <c r="W261" s="30">
        <v>0.41262462795303284</v>
      </c>
      <c r="X261" t="str">
        <f t="shared" si="40"/>
        <v>Delayed</v>
      </c>
      <c r="Y261" t="str">
        <f t="shared" si="41"/>
        <v>Compliant Discount</v>
      </c>
      <c r="Z261" s="9">
        <f>MIN(Q261,'Scenario Modelling'!$B$2)</f>
        <v>7.8E-2</v>
      </c>
      <c r="AA261">
        <f t="shared" si="42"/>
        <v>1906.8896200000001</v>
      </c>
      <c r="AB261">
        <f>N261*(1+'Scenario Modelling'!$B$3)</f>
        <v>1232.066</v>
      </c>
      <c r="AC261">
        <f>ROUNDUP(S261*(1+'Scenario Modelling'!$B$4),0)</f>
        <v>13</v>
      </c>
      <c r="AD261">
        <f t="shared" si="43"/>
        <v>24789.565060000001</v>
      </c>
      <c r="AE261">
        <f t="shared" si="44"/>
        <v>8772.7070600000006</v>
      </c>
    </row>
    <row r="262" spans="1:31" x14ac:dyDescent="0.3">
      <c r="A262" s="36" t="s">
        <v>275</v>
      </c>
      <c r="B262" s="49">
        <v>45073</v>
      </c>
      <c r="C262" s="47" t="str">
        <f t="shared" si="37"/>
        <v>Q2-2023</v>
      </c>
      <c r="D262" s="37">
        <v>45096</v>
      </c>
      <c r="E262" s="16">
        <f t="shared" si="36"/>
        <v>23</v>
      </c>
      <c r="F262" s="38" t="s">
        <v>649</v>
      </c>
      <c r="G262" s="38" t="s">
        <v>656</v>
      </c>
      <c r="H262" s="38" t="s">
        <v>671</v>
      </c>
      <c r="I262" s="38" t="s">
        <v>702</v>
      </c>
      <c r="J262" s="38" t="s">
        <v>707</v>
      </c>
      <c r="K262" s="38" t="s">
        <v>719</v>
      </c>
      <c r="L262" s="38" t="s">
        <v>733</v>
      </c>
      <c r="M262" s="39" t="s">
        <v>995</v>
      </c>
      <c r="N262" s="40">
        <v>1471.58</v>
      </c>
      <c r="O262" s="40">
        <v>2576.65</v>
      </c>
      <c r="P262" s="30" t="str">
        <f t="shared" si="38"/>
        <v>High</v>
      </c>
      <c r="Q262" s="44">
        <v>4.0000000000000001E-3</v>
      </c>
      <c r="R262" s="42" t="str">
        <f t="shared" si="39"/>
        <v>Low</v>
      </c>
      <c r="S262" s="16">
        <v>7</v>
      </c>
      <c r="T262" s="30">
        <v>17964.4038</v>
      </c>
      <c r="U262" s="30">
        <v>10301.06</v>
      </c>
      <c r="V262" s="30">
        <v>7663.3438000000006</v>
      </c>
      <c r="W262" s="30">
        <v>0.4265849223451546</v>
      </c>
      <c r="X262" t="str">
        <f t="shared" si="40"/>
        <v>Delayed</v>
      </c>
      <c r="Y262" t="str">
        <f t="shared" si="41"/>
        <v>Compliant Discount</v>
      </c>
      <c r="Z262" s="9">
        <f>MIN(Q262,'Scenario Modelling'!$B$2)</f>
        <v>4.0000000000000001E-3</v>
      </c>
      <c r="AA262">
        <f t="shared" si="42"/>
        <v>2566.3434000000002</v>
      </c>
      <c r="AB262">
        <f>N262*(1+'Scenario Modelling'!$B$3)</f>
        <v>1618.7380000000001</v>
      </c>
      <c r="AC262">
        <f>ROUNDUP(S262*(1+'Scenario Modelling'!$B$4),0)</f>
        <v>8</v>
      </c>
      <c r="AD262">
        <f t="shared" si="43"/>
        <v>20530.747200000002</v>
      </c>
      <c r="AE262">
        <f t="shared" si="44"/>
        <v>7580.8432000000012</v>
      </c>
    </row>
    <row r="263" spans="1:31" x14ac:dyDescent="0.3">
      <c r="A263" s="31" t="s">
        <v>276</v>
      </c>
      <c r="B263" s="48">
        <v>45142</v>
      </c>
      <c r="C263" s="47" t="str">
        <f t="shared" si="37"/>
        <v>Q3-2023</v>
      </c>
      <c r="D263" s="32">
        <v>45162</v>
      </c>
      <c r="E263" s="17">
        <f t="shared" si="36"/>
        <v>20</v>
      </c>
      <c r="F263" s="33" t="s">
        <v>648</v>
      </c>
      <c r="G263" s="33" t="s">
        <v>655</v>
      </c>
      <c r="H263" s="33" t="s">
        <v>672</v>
      </c>
      <c r="I263" s="33" t="s">
        <v>703</v>
      </c>
      <c r="J263" s="33" t="s">
        <v>711</v>
      </c>
      <c r="K263" s="33" t="s">
        <v>1424</v>
      </c>
      <c r="L263" s="33" t="s">
        <v>729</v>
      </c>
      <c r="M263" s="34" t="s">
        <v>996</v>
      </c>
      <c r="N263" s="35">
        <v>582.88</v>
      </c>
      <c r="O263" s="35">
        <v>1044.1400000000001</v>
      </c>
      <c r="P263" s="30" t="str">
        <f t="shared" si="38"/>
        <v>Medium</v>
      </c>
      <c r="Q263" s="43">
        <v>0.216</v>
      </c>
      <c r="R263" s="42" t="str">
        <f t="shared" si="39"/>
        <v>High</v>
      </c>
      <c r="S263" s="17">
        <v>10</v>
      </c>
      <c r="T263" s="30">
        <v>8186.057600000001</v>
      </c>
      <c r="U263" s="30">
        <v>5828.8</v>
      </c>
      <c r="V263" s="30">
        <v>2357.2576000000008</v>
      </c>
      <c r="W263" s="30">
        <v>0.28796005539956138</v>
      </c>
      <c r="X263" t="str">
        <f t="shared" si="40"/>
        <v>Delayed</v>
      </c>
      <c r="Y263" t="str">
        <f t="shared" si="41"/>
        <v>Non-compliant Discount</v>
      </c>
      <c r="Z263" s="9">
        <f>MIN(Q263,'Scenario Modelling'!$B$2)</f>
        <v>0.2</v>
      </c>
      <c r="AA263">
        <f t="shared" si="42"/>
        <v>835.31200000000013</v>
      </c>
      <c r="AB263">
        <f>N263*(1+'Scenario Modelling'!$B$3)</f>
        <v>641.16800000000001</v>
      </c>
      <c r="AC263">
        <f>ROUNDUP(S263*(1+'Scenario Modelling'!$B$4),0)</f>
        <v>11</v>
      </c>
      <c r="AD263">
        <f t="shared" si="43"/>
        <v>9188.4320000000007</v>
      </c>
      <c r="AE263">
        <f t="shared" si="44"/>
        <v>2135.5840000000012</v>
      </c>
    </row>
    <row r="264" spans="1:31" x14ac:dyDescent="0.3">
      <c r="A264" s="36" t="s">
        <v>277</v>
      </c>
      <c r="B264" s="49">
        <v>45829</v>
      </c>
      <c r="C264" s="47" t="str">
        <f t="shared" si="37"/>
        <v>Q2-2025</v>
      </c>
      <c r="D264" s="37">
        <v>45835</v>
      </c>
      <c r="E264" s="16">
        <f t="shared" si="36"/>
        <v>6</v>
      </c>
      <c r="F264" s="38" t="s">
        <v>646</v>
      </c>
      <c r="G264" s="38" t="s">
        <v>661</v>
      </c>
      <c r="H264" s="38" t="s">
        <v>687</v>
      </c>
      <c r="I264" s="38" t="s">
        <v>706</v>
      </c>
      <c r="J264" s="38" t="s">
        <v>710</v>
      </c>
      <c r="K264" s="38" t="s">
        <v>725</v>
      </c>
      <c r="L264" s="38" t="s">
        <v>730</v>
      </c>
      <c r="M264" s="39" t="s">
        <v>997</v>
      </c>
      <c r="N264" s="40">
        <v>93.91</v>
      </c>
      <c r="O264" s="40">
        <v>99.04</v>
      </c>
      <c r="P264" s="30" t="str">
        <f t="shared" si="38"/>
        <v>Low</v>
      </c>
      <c r="Q264" s="44">
        <v>5.7000000000000002E-2</v>
      </c>
      <c r="R264" s="42" t="str">
        <f t="shared" si="39"/>
        <v>Low</v>
      </c>
      <c r="S264" s="16">
        <v>6</v>
      </c>
      <c r="T264" s="30">
        <v>560.36831999999993</v>
      </c>
      <c r="U264" s="30">
        <v>563.46</v>
      </c>
      <c r="V264" s="30">
        <v>-3.0916800000001103</v>
      </c>
      <c r="W264" s="30">
        <v>-5.5172283829323376E-3</v>
      </c>
      <c r="X264" t="str">
        <f t="shared" si="40"/>
        <v>On-time</v>
      </c>
      <c r="Y264" t="str">
        <f t="shared" si="41"/>
        <v>Compliant Discount</v>
      </c>
      <c r="Z264" s="9">
        <f>MIN(Q264,'Scenario Modelling'!$B$2)</f>
        <v>5.7000000000000002E-2</v>
      </c>
      <c r="AA264">
        <f t="shared" si="42"/>
        <v>93.394720000000007</v>
      </c>
      <c r="AB264">
        <f>N264*(1+'Scenario Modelling'!$B$3)</f>
        <v>103.301</v>
      </c>
      <c r="AC264">
        <f>ROUNDUP(S264*(1+'Scenario Modelling'!$B$4),0)</f>
        <v>7</v>
      </c>
      <c r="AD264">
        <f t="shared" si="43"/>
        <v>653.76304000000005</v>
      </c>
      <c r="AE264">
        <f t="shared" si="44"/>
        <v>-69.343959999999967</v>
      </c>
    </row>
    <row r="265" spans="1:31" x14ac:dyDescent="0.3">
      <c r="A265" s="31" t="s">
        <v>278</v>
      </c>
      <c r="B265" s="48">
        <v>45763</v>
      </c>
      <c r="C265" s="47" t="str">
        <f t="shared" si="37"/>
        <v>Q2-2025</v>
      </c>
      <c r="D265" s="32">
        <v>45773</v>
      </c>
      <c r="E265" s="17">
        <f t="shared" si="36"/>
        <v>10</v>
      </c>
      <c r="F265" s="33" t="s">
        <v>646</v>
      </c>
      <c r="G265" s="33" t="s">
        <v>651</v>
      </c>
      <c r="H265" s="33" t="s">
        <v>663</v>
      </c>
      <c r="I265" s="33" t="s">
        <v>706</v>
      </c>
      <c r="J265" s="33" t="s">
        <v>709</v>
      </c>
      <c r="K265" s="33" t="s">
        <v>721</v>
      </c>
      <c r="L265" s="33" t="s">
        <v>731</v>
      </c>
      <c r="M265" s="34" t="s">
        <v>998</v>
      </c>
      <c r="N265" s="35">
        <v>1457.44</v>
      </c>
      <c r="O265" s="35">
        <v>1996.81</v>
      </c>
      <c r="P265" s="30" t="str">
        <f t="shared" si="38"/>
        <v>High</v>
      </c>
      <c r="Q265" s="43">
        <v>0.126</v>
      </c>
      <c r="R265" s="42" t="str">
        <f t="shared" si="39"/>
        <v>Medium</v>
      </c>
      <c r="S265" s="17">
        <v>23</v>
      </c>
      <c r="T265" s="30">
        <v>40139.874619999995</v>
      </c>
      <c r="U265" s="30">
        <v>33521.120000000003</v>
      </c>
      <c r="V265" s="30">
        <v>6618.7546199999924</v>
      </c>
      <c r="W265" s="30">
        <v>0.16489225944672353</v>
      </c>
      <c r="X265" t="str">
        <f t="shared" si="40"/>
        <v>Delayed</v>
      </c>
      <c r="Y265" t="str">
        <f t="shared" si="41"/>
        <v>Compliant Discount</v>
      </c>
      <c r="Z265" s="9">
        <f>MIN(Q265,'Scenario Modelling'!$B$2)</f>
        <v>0.126</v>
      </c>
      <c r="AA265">
        <f t="shared" si="42"/>
        <v>1745.2119399999999</v>
      </c>
      <c r="AB265">
        <f>N265*(1+'Scenario Modelling'!$B$3)</f>
        <v>1603.1840000000002</v>
      </c>
      <c r="AC265">
        <f>ROUNDUP(S265*(1+'Scenario Modelling'!$B$4),0)</f>
        <v>25</v>
      </c>
      <c r="AD265">
        <f t="shared" si="43"/>
        <v>43630.298499999997</v>
      </c>
      <c r="AE265">
        <f t="shared" si="44"/>
        <v>3550.6984999999931</v>
      </c>
    </row>
    <row r="266" spans="1:31" x14ac:dyDescent="0.3">
      <c r="A266" s="36" t="s">
        <v>279</v>
      </c>
      <c r="B266" s="49">
        <v>45902</v>
      </c>
      <c r="C266" s="47" t="str">
        <f t="shared" si="37"/>
        <v>Q3-2025</v>
      </c>
      <c r="D266" s="37">
        <v>45911</v>
      </c>
      <c r="E266" s="16">
        <f t="shared" si="36"/>
        <v>9</v>
      </c>
      <c r="F266" s="38" t="s">
        <v>648</v>
      </c>
      <c r="G266" s="38" t="s">
        <v>653</v>
      </c>
      <c r="H266" s="38" t="s">
        <v>667</v>
      </c>
      <c r="I266" s="38" t="s">
        <v>701</v>
      </c>
      <c r="J266" s="38" t="s">
        <v>710</v>
      </c>
      <c r="K266" s="38" t="s">
        <v>724</v>
      </c>
      <c r="L266" s="38" t="s">
        <v>728</v>
      </c>
      <c r="M266" s="39" t="s">
        <v>999</v>
      </c>
      <c r="N266" s="40">
        <v>1207.6300000000001</v>
      </c>
      <c r="O266" s="40">
        <v>921.68</v>
      </c>
      <c r="P266" s="30" t="str">
        <f t="shared" si="38"/>
        <v>Medium</v>
      </c>
      <c r="Q266" s="44">
        <v>0.19600000000000001</v>
      </c>
      <c r="R266" s="42" t="str">
        <f t="shared" si="39"/>
        <v>Medium</v>
      </c>
      <c r="S266" s="16">
        <v>17</v>
      </c>
      <c r="T266" s="30">
        <v>12597.52224</v>
      </c>
      <c r="U266" s="30">
        <v>20529.710000000003</v>
      </c>
      <c r="V266" s="30">
        <v>-7932.1877600000025</v>
      </c>
      <c r="W266" s="30">
        <v>-0.62966253274897988</v>
      </c>
      <c r="X266" t="str">
        <f t="shared" si="40"/>
        <v>Delayed</v>
      </c>
      <c r="Y266" t="str">
        <f t="shared" si="41"/>
        <v>Compliant Discount</v>
      </c>
      <c r="Z266" s="9">
        <f>MIN(Q266,'Scenario Modelling'!$B$2)</f>
        <v>0.19600000000000001</v>
      </c>
      <c r="AA266">
        <f t="shared" si="42"/>
        <v>741.03071999999997</v>
      </c>
      <c r="AB266">
        <f>N266*(1+'Scenario Modelling'!$B$3)</f>
        <v>1328.3930000000003</v>
      </c>
      <c r="AC266">
        <f>ROUNDUP(S266*(1+'Scenario Modelling'!$B$4),0)</f>
        <v>18</v>
      </c>
      <c r="AD266">
        <f t="shared" si="43"/>
        <v>13338.552959999999</v>
      </c>
      <c r="AE266">
        <f t="shared" si="44"/>
        <v>-10572.521040000005</v>
      </c>
    </row>
    <row r="267" spans="1:31" x14ac:dyDescent="0.3">
      <c r="A267" s="31" t="s">
        <v>280</v>
      </c>
      <c r="B267" s="48">
        <v>45573</v>
      </c>
      <c r="C267" s="47" t="str">
        <f t="shared" si="37"/>
        <v>Q4-2024</v>
      </c>
      <c r="D267" s="32">
        <v>45573</v>
      </c>
      <c r="E267" s="17">
        <f t="shared" si="36"/>
        <v>0</v>
      </c>
      <c r="F267" s="33" t="s">
        <v>649</v>
      </c>
      <c r="G267" s="33" t="s">
        <v>658</v>
      </c>
      <c r="H267" s="33" t="s">
        <v>683</v>
      </c>
      <c r="I267" s="33" t="s">
        <v>701</v>
      </c>
      <c r="J267" s="33" t="s">
        <v>708</v>
      </c>
      <c r="K267" s="33" t="s">
        <v>718</v>
      </c>
      <c r="L267" s="33" t="s">
        <v>732</v>
      </c>
      <c r="M267" s="34" t="s">
        <v>1000</v>
      </c>
      <c r="N267" s="35">
        <v>1108.1099999999999</v>
      </c>
      <c r="O267" s="35">
        <v>2503.79</v>
      </c>
      <c r="P267" s="30" t="str">
        <f t="shared" si="38"/>
        <v>High</v>
      </c>
      <c r="Q267" s="43">
        <v>0.184</v>
      </c>
      <c r="R267" s="42" t="str">
        <f t="shared" si="39"/>
        <v>Medium</v>
      </c>
      <c r="S267" s="17">
        <v>19</v>
      </c>
      <c r="T267" s="30">
        <v>38818.760160000005</v>
      </c>
      <c r="U267" s="30">
        <v>21054.089999999997</v>
      </c>
      <c r="V267" s="30">
        <v>17764.670160000009</v>
      </c>
      <c r="W267" s="30">
        <v>0.45763105485025896</v>
      </c>
      <c r="X267" t="str">
        <f t="shared" si="40"/>
        <v>On-time</v>
      </c>
      <c r="Y267" t="str">
        <f t="shared" si="41"/>
        <v>Compliant Discount</v>
      </c>
      <c r="Z267" s="9">
        <f>MIN(Q267,'Scenario Modelling'!$B$2)</f>
        <v>0.184</v>
      </c>
      <c r="AA267">
        <f t="shared" si="42"/>
        <v>2043.0926400000001</v>
      </c>
      <c r="AB267">
        <f>N267*(1+'Scenario Modelling'!$B$3)</f>
        <v>1218.921</v>
      </c>
      <c r="AC267">
        <f>ROUNDUP(S267*(1+'Scenario Modelling'!$B$4),0)</f>
        <v>20</v>
      </c>
      <c r="AD267">
        <f t="shared" si="43"/>
        <v>40861.852800000001</v>
      </c>
      <c r="AE267">
        <f t="shared" si="44"/>
        <v>16483.432800000002</v>
      </c>
    </row>
    <row r="268" spans="1:31" x14ac:dyDescent="0.3">
      <c r="A268" s="36" t="s">
        <v>281</v>
      </c>
      <c r="B268" s="49">
        <v>45053</v>
      </c>
      <c r="C268" s="47" t="str">
        <f t="shared" si="37"/>
        <v>Q2-2023</v>
      </c>
      <c r="D268" s="37">
        <v>45060</v>
      </c>
      <c r="E268" s="16">
        <f t="shared" si="36"/>
        <v>7</v>
      </c>
      <c r="F268" s="38" t="s">
        <v>646</v>
      </c>
      <c r="G268" s="38" t="s">
        <v>651</v>
      </c>
      <c r="H268" s="38" t="s">
        <v>663</v>
      </c>
      <c r="I268" s="38" t="s">
        <v>703</v>
      </c>
      <c r="J268" s="38" t="s">
        <v>709</v>
      </c>
      <c r="K268" s="38" t="s">
        <v>720</v>
      </c>
      <c r="L268" s="38" t="s">
        <v>727</v>
      </c>
      <c r="M268" s="39" t="s">
        <v>1001</v>
      </c>
      <c r="N268" s="40">
        <v>1269.6500000000001</v>
      </c>
      <c r="O268" s="40">
        <v>2462.77</v>
      </c>
      <c r="P268" s="30" t="str">
        <f t="shared" si="38"/>
        <v>High</v>
      </c>
      <c r="Q268" s="44">
        <v>0.107</v>
      </c>
      <c r="R268" s="42" t="str">
        <f t="shared" si="39"/>
        <v>Medium</v>
      </c>
      <c r="S268" s="16">
        <v>8</v>
      </c>
      <c r="T268" s="30">
        <v>17594.028880000002</v>
      </c>
      <c r="U268" s="30">
        <v>10157.200000000001</v>
      </c>
      <c r="V268" s="30">
        <v>7436.8288800000009</v>
      </c>
      <c r="W268" s="30">
        <v>0.42269050089225502</v>
      </c>
      <c r="X268" t="str">
        <f t="shared" si="40"/>
        <v>On-time</v>
      </c>
      <c r="Y268" t="str">
        <f t="shared" si="41"/>
        <v>Compliant Discount</v>
      </c>
      <c r="Z268" s="9">
        <f>MIN(Q268,'Scenario Modelling'!$B$2)</f>
        <v>0.107</v>
      </c>
      <c r="AA268">
        <f t="shared" si="42"/>
        <v>2199.2536100000002</v>
      </c>
      <c r="AB268">
        <f>N268*(1+'Scenario Modelling'!$B$3)</f>
        <v>1396.6150000000002</v>
      </c>
      <c r="AC268">
        <f>ROUNDUP(S268*(1+'Scenario Modelling'!$B$4),0)</f>
        <v>9</v>
      </c>
      <c r="AD268">
        <f t="shared" si="43"/>
        <v>19793.282490000001</v>
      </c>
      <c r="AE268">
        <f t="shared" si="44"/>
        <v>7223.7474899999997</v>
      </c>
    </row>
    <row r="269" spans="1:31" x14ac:dyDescent="0.3">
      <c r="A269" s="31" t="s">
        <v>282</v>
      </c>
      <c r="B269" s="48">
        <v>45284</v>
      </c>
      <c r="C269" s="47" t="str">
        <f t="shared" si="37"/>
        <v>Q4-2023</v>
      </c>
      <c r="D269" s="32">
        <v>45292</v>
      </c>
      <c r="E269" s="17">
        <f t="shared" si="36"/>
        <v>8</v>
      </c>
      <c r="F269" s="33" t="s">
        <v>648</v>
      </c>
      <c r="G269" s="33" t="s">
        <v>655</v>
      </c>
      <c r="H269" s="33" t="s">
        <v>670</v>
      </c>
      <c r="I269" s="33" t="s">
        <v>702</v>
      </c>
      <c r="J269" s="33" t="s">
        <v>711</v>
      </c>
      <c r="K269" s="33" t="s">
        <v>712</v>
      </c>
      <c r="L269" s="33" t="s">
        <v>730</v>
      </c>
      <c r="M269" s="34" t="s">
        <v>1002</v>
      </c>
      <c r="N269" s="35">
        <v>526.49</v>
      </c>
      <c r="O269" s="35">
        <v>496.2</v>
      </c>
      <c r="P269" s="30" t="str">
        <f t="shared" si="38"/>
        <v>Low</v>
      </c>
      <c r="Q269" s="43">
        <v>0</v>
      </c>
      <c r="R269" s="42" t="str">
        <f t="shared" si="39"/>
        <v>Low</v>
      </c>
      <c r="S269" s="17">
        <v>14</v>
      </c>
      <c r="T269" s="30">
        <v>6946.8</v>
      </c>
      <c r="U269" s="30">
        <v>7370.8600000000006</v>
      </c>
      <c r="V269" s="30">
        <v>-424.0600000000004</v>
      </c>
      <c r="W269" s="30">
        <v>-6.1043933897621985E-2</v>
      </c>
      <c r="X269" t="str">
        <f t="shared" si="40"/>
        <v>Delayed</v>
      </c>
      <c r="Y269" t="str">
        <f t="shared" si="41"/>
        <v>Compliant Discount</v>
      </c>
      <c r="Z269" s="9">
        <f>MIN(Q269,'Scenario Modelling'!$B$2)</f>
        <v>0</v>
      </c>
      <c r="AA269">
        <f t="shared" si="42"/>
        <v>496.2</v>
      </c>
      <c r="AB269">
        <f>N269*(1+'Scenario Modelling'!$B$3)</f>
        <v>579.13900000000001</v>
      </c>
      <c r="AC269">
        <f>ROUNDUP(S269*(1+'Scenario Modelling'!$B$4),0)</f>
        <v>15</v>
      </c>
      <c r="AD269">
        <f t="shared" si="43"/>
        <v>7443</v>
      </c>
      <c r="AE269">
        <f t="shared" si="44"/>
        <v>-1244.0850000000003</v>
      </c>
    </row>
    <row r="270" spans="1:31" x14ac:dyDescent="0.3">
      <c r="A270" s="36" t="s">
        <v>283</v>
      </c>
      <c r="B270" s="49">
        <v>45301</v>
      </c>
      <c r="C270" s="47" t="str">
        <f t="shared" si="37"/>
        <v>Q1-2024</v>
      </c>
      <c r="D270" s="37">
        <v>45314</v>
      </c>
      <c r="E270" s="16">
        <f t="shared" si="36"/>
        <v>13</v>
      </c>
      <c r="F270" s="38" t="s">
        <v>649</v>
      </c>
      <c r="G270" s="38" t="s">
        <v>657</v>
      </c>
      <c r="H270" s="38" t="s">
        <v>673</v>
      </c>
      <c r="I270" s="38" t="s">
        <v>701</v>
      </c>
      <c r="J270" s="38" t="s">
        <v>711</v>
      </c>
      <c r="K270" s="38" t="s">
        <v>720</v>
      </c>
      <c r="L270" s="38" t="s">
        <v>728</v>
      </c>
      <c r="M270" s="39" t="s">
        <v>1003</v>
      </c>
      <c r="N270" s="40">
        <v>720</v>
      </c>
      <c r="O270" s="40">
        <v>907.59</v>
      </c>
      <c r="P270" s="30" t="str">
        <f t="shared" si="38"/>
        <v>Medium</v>
      </c>
      <c r="Q270" s="44">
        <v>0.154</v>
      </c>
      <c r="R270" s="42" t="str">
        <f t="shared" si="39"/>
        <v>Medium</v>
      </c>
      <c r="S270" s="16">
        <v>10</v>
      </c>
      <c r="T270" s="30">
        <v>7678.2113999999992</v>
      </c>
      <c r="U270" s="30">
        <v>7200</v>
      </c>
      <c r="V270" s="30">
        <v>478.21139999999923</v>
      </c>
      <c r="W270" s="30">
        <v>6.2281614179052078E-2</v>
      </c>
      <c r="X270" t="str">
        <f t="shared" si="40"/>
        <v>Delayed</v>
      </c>
      <c r="Y270" t="str">
        <f t="shared" si="41"/>
        <v>Compliant Discount</v>
      </c>
      <c r="Z270" s="9">
        <f>MIN(Q270,'Scenario Modelling'!$B$2)</f>
        <v>0.154</v>
      </c>
      <c r="AA270">
        <f t="shared" si="42"/>
        <v>767.82114000000001</v>
      </c>
      <c r="AB270">
        <f>N270*(1+'Scenario Modelling'!$B$3)</f>
        <v>792.00000000000011</v>
      </c>
      <c r="AC270">
        <f>ROUNDUP(S270*(1+'Scenario Modelling'!$B$4),0)</f>
        <v>11</v>
      </c>
      <c r="AD270">
        <f t="shared" si="43"/>
        <v>8446.0325400000002</v>
      </c>
      <c r="AE270">
        <f t="shared" si="44"/>
        <v>-265.9674600000011</v>
      </c>
    </row>
    <row r="271" spans="1:31" x14ac:dyDescent="0.3">
      <c r="A271" s="31" t="s">
        <v>284</v>
      </c>
      <c r="B271" s="48">
        <v>45141</v>
      </c>
      <c r="C271" s="47" t="str">
        <f t="shared" si="37"/>
        <v>Q3-2023</v>
      </c>
      <c r="D271" s="32">
        <v>45152</v>
      </c>
      <c r="E271" s="17">
        <f t="shared" si="36"/>
        <v>11</v>
      </c>
      <c r="F271" s="33" t="s">
        <v>648</v>
      </c>
      <c r="G271" s="33" t="s">
        <v>655</v>
      </c>
      <c r="H271" s="33" t="s">
        <v>672</v>
      </c>
      <c r="I271" s="33" t="s">
        <v>701</v>
      </c>
      <c r="J271" s="33" t="s">
        <v>711</v>
      </c>
      <c r="K271" s="33" t="s">
        <v>713</v>
      </c>
      <c r="L271" s="33" t="s">
        <v>733</v>
      </c>
      <c r="M271" s="34" t="s">
        <v>1004</v>
      </c>
      <c r="N271" s="35">
        <v>232.73</v>
      </c>
      <c r="O271" s="35">
        <v>334.19</v>
      </c>
      <c r="P271" s="30" t="str">
        <f t="shared" si="38"/>
        <v>Low</v>
      </c>
      <c r="Q271" s="43">
        <v>0.13400000000000001</v>
      </c>
      <c r="R271" s="42" t="str">
        <f t="shared" si="39"/>
        <v>Medium</v>
      </c>
      <c r="S271" s="17">
        <v>25</v>
      </c>
      <c r="T271" s="30">
        <v>7235.2134999999998</v>
      </c>
      <c r="U271" s="30">
        <v>5818.25</v>
      </c>
      <c r="V271" s="30">
        <v>1416.9634999999998</v>
      </c>
      <c r="W271" s="30">
        <v>0.1958426658729559</v>
      </c>
      <c r="X271" t="str">
        <f t="shared" si="40"/>
        <v>Delayed</v>
      </c>
      <c r="Y271" t="str">
        <f t="shared" si="41"/>
        <v>Compliant Discount</v>
      </c>
      <c r="Z271" s="9">
        <f>MIN(Q271,'Scenario Modelling'!$B$2)</f>
        <v>0.13400000000000001</v>
      </c>
      <c r="AA271">
        <f t="shared" si="42"/>
        <v>289.40854000000002</v>
      </c>
      <c r="AB271">
        <f>N271*(1+'Scenario Modelling'!$B$3)</f>
        <v>256.00299999999999</v>
      </c>
      <c r="AC271">
        <f>ROUNDUP(S271*(1+'Scenario Modelling'!$B$4),0)</f>
        <v>27</v>
      </c>
      <c r="AD271">
        <f t="shared" si="43"/>
        <v>7814.0305800000006</v>
      </c>
      <c r="AE271">
        <f t="shared" si="44"/>
        <v>901.94958000000088</v>
      </c>
    </row>
    <row r="272" spans="1:31" x14ac:dyDescent="0.3">
      <c r="A272" s="36" t="s">
        <v>285</v>
      </c>
      <c r="B272" s="49">
        <v>45707</v>
      </c>
      <c r="C272" s="47" t="str">
        <f t="shared" si="37"/>
        <v>Q1-2025</v>
      </c>
      <c r="D272" s="37">
        <v>45725</v>
      </c>
      <c r="E272" s="16">
        <f t="shared" si="36"/>
        <v>18</v>
      </c>
      <c r="F272" s="38" t="s">
        <v>647</v>
      </c>
      <c r="G272" s="38" t="s">
        <v>654</v>
      </c>
      <c r="H272" s="38" t="s">
        <v>680</v>
      </c>
      <c r="I272" s="38" t="s">
        <v>705</v>
      </c>
      <c r="J272" s="38" t="s">
        <v>711</v>
      </c>
      <c r="K272" s="38" t="s">
        <v>719</v>
      </c>
      <c r="L272" s="38" t="s">
        <v>732</v>
      </c>
      <c r="M272" s="39" t="s">
        <v>1005</v>
      </c>
      <c r="N272" s="40">
        <v>325.87</v>
      </c>
      <c r="O272" s="40">
        <v>538.79</v>
      </c>
      <c r="P272" s="30" t="str">
        <f t="shared" si="38"/>
        <v>Low</v>
      </c>
      <c r="Q272" s="44">
        <v>0.17399999999999999</v>
      </c>
      <c r="R272" s="42" t="str">
        <f t="shared" si="39"/>
        <v>Medium</v>
      </c>
      <c r="S272" s="16">
        <v>16</v>
      </c>
      <c r="T272" s="30">
        <v>7120.6486400000003</v>
      </c>
      <c r="U272" s="30">
        <v>5213.92</v>
      </c>
      <c r="V272" s="30">
        <v>1906.7286400000003</v>
      </c>
      <c r="W272" s="30">
        <v>0.26777457172778013</v>
      </c>
      <c r="X272" t="str">
        <f t="shared" si="40"/>
        <v>Delayed</v>
      </c>
      <c r="Y272" t="str">
        <f t="shared" si="41"/>
        <v>Compliant Discount</v>
      </c>
      <c r="Z272" s="9">
        <f>MIN(Q272,'Scenario Modelling'!$B$2)</f>
        <v>0.17399999999999999</v>
      </c>
      <c r="AA272">
        <f t="shared" si="42"/>
        <v>445.04054000000002</v>
      </c>
      <c r="AB272">
        <f>N272*(1+'Scenario Modelling'!$B$3)</f>
        <v>358.45700000000005</v>
      </c>
      <c r="AC272">
        <f>ROUNDUP(S272*(1+'Scenario Modelling'!$B$4),0)</f>
        <v>17</v>
      </c>
      <c r="AD272">
        <f t="shared" si="43"/>
        <v>7565.6891800000003</v>
      </c>
      <c r="AE272">
        <f t="shared" si="44"/>
        <v>1471.9201799999996</v>
      </c>
    </row>
    <row r="273" spans="1:31" x14ac:dyDescent="0.3">
      <c r="A273" s="31" t="s">
        <v>286</v>
      </c>
      <c r="B273" s="48">
        <v>45382</v>
      </c>
      <c r="C273" s="47" t="str">
        <f t="shared" si="37"/>
        <v>Q1-2024</v>
      </c>
      <c r="D273" s="32">
        <v>45399</v>
      </c>
      <c r="E273" s="17">
        <f t="shared" si="36"/>
        <v>17</v>
      </c>
      <c r="F273" s="33" t="s">
        <v>649</v>
      </c>
      <c r="G273" s="33" t="s">
        <v>656</v>
      </c>
      <c r="H273" s="33" t="s">
        <v>698</v>
      </c>
      <c r="I273" s="33" t="s">
        <v>702</v>
      </c>
      <c r="J273" s="33" t="s">
        <v>711</v>
      </c>
      <c r="K273" s="33" t="s">
        <v>722</v>
      </c>
      <c r="L273" s="33" t="s">
        <v>732</v>
      </c>
      <c r="M273" s="34" t="s">
        <v>1006</v>
      </c>
      <c r="N273" s="35">
        <v>1025.51</v>
      </c>
      <c r="O273" s="35">
        <v>1436.54</v>
      </c>
      <c r="P273" s="30" t="str">
        <f t="shared" si="38"/>
        <v>Medium</v>
      </c>
      <c r="Q273" s="43">
        <v>0.13900000000000001</v>
      </c>
      <c r="R273" s="42" t="str">
        <f t="shared" si="39"/>
        <v>Medium</v>
      </c>
      <c r="S273" s="17">
        <v>28</v>
      </c>
      <c r="T273" s="30">
        <v>34632.106319999999</v>
      </c>
      <c r="U273" s="30">
        <v>28714.28</v>
      </c>
      <c r="V273" s="30">
        <v>5917.8263200000001</v>
      </c>
      <c r="W273" s="30">
        <v>0.17087688127656453</v>
      </c>
      <c r="X273" t="str">
        <f t="shared" si="40"/>
        <v>Delayed</v>
      </c>
      <c r="Y273" t="str">
        <f t="shared" si="41"/>
        <v>Compliant Discount</v>
      </c>
      <c r="Z273" s="9">
        <f>MIN(Q273,'Scenario Modelling'!$B$2)</f>
        <v>0.13900000000000001</v>
      </c>
      <c r="AA273">
        <f t="shared" si="42"/>
        <v>1236.86094</v>
      </c>
      <c r="AB273">
        <f>N273*(1+'Scenario Modelling'!$B$3)</f>
        <v>1128.0610000000001</v>
      </c>
      <c r="AC273">
        <f>ROUNDUP(S273*(1+'Scenario Modelling'!$B$4),0)</f>
        <v>30</v>
      </c>
      <c r="AD273">
        <f t="shared" si="43"/>
        <v>37105.828200000004</v>
      </c>
      <c r="AE273">
        <f t="shared" si="44"/>
        <v>3263.9981999999964</v>
      </c>
    </row>
    <row r="274" spans="1:31" x14ac:dyDescent="0.3">
      <c r="A274" s="36" t="s">
        <v>287</v>
      </c>
      <c r="B274" s="49">
        <v>45131</v>
      </c>
      <c r="C274" s="47" t="str">
        <f t="shared" si="37"/>
        <v>Q3-2023</v>
      </c>
      <c r="D274" s="37">
        <v>45151</v>
      </c>
      <c r="E274" s="16">
        <f t="shared" si="36"/>
        <v>20</v>
      </c>
      <c r="F274" s="38" t="s">
        <v>648</v>
      </c>
      <c r="G274" s="38" t="s">
        <v>653</v>
      </c>
      <c r="H274" s="38" t="s">
        <v>681</v>
      </c>
      <c r="I274" s="38" t="s">
        <v>702</v>
      </c>
      <c r="J274" s="38" t="s">
        <v>711</v>
      </c>
      <c r="K274" s="38" t="s">
        <v>712</v>
      </c>
      <c r="L274" s="38" t="s">
        <v>732</v>
      </c>
      <c r="M274" s="39" t="s">
        <v>1007</v>
      </c>
      <c r="N274" s="40">
        <v>1082.3800000000001</v>
      </c>
      <c r="O274" s="40">
        <v>1766.55</v>
      </c>
      <c r="P274" s="30" t="str">
        <f t="shared" si="38"/>
        <v>High</v>
      </c>
      <c r="Q274" s="44">
        <v>0.16400000000000001</v>
      </c>
      <c r="R274" s="42" t="str">
        <f t="shared" si="39"/>
        <v>Medium</v>
      </c>
      <c r="S274" s="16">
        <v>20</v>
      </c>
      <c r="T274" s="30">
        <v>29536.716</v>
      </c>
      <c r="U274" s="30">
        <v>21647.600000000002</v>
      </c>
      <c r="V274" s="30">
        <v>7889.1159999999982</v>
      </c>
      <c r="W274" s="30">
        <v>0.26709523157550752</v>
      </c>
      <c r="X274" t="str">
        <f t="shared" si="40"/>
        <v>Delayed</v>
      </c>
      <c r="Y274" t="str">
        <f t="shared" si="41"/>
        <v>Compliant Discount</v>
      </c>
      <c r="Z274" s="9">
        <f>MIN(Q274,'Scenario Modelling'!$B$2)</f>
        <v>0.16400000000000001</v>
      </c>
      <c r="AA274">
        <f t="shared" si="42"/>
        <v>1476.8357999999998</v>
      </c>
      <c r="AB274">
        <f>N274*(1+'Scenario Modelling'!$B$3)</f>
        <v>1190.6180000000002</v>
      </c>
      <c r="AC274">
        <f>ROUNDUP(S274*(1+'Scenario Modelling'!$B$4),0)</f>
        <v>21</v>
      </c>
      <c r="AD274">
        <f t="shared" si="43"/>
        <v>31013.551799999997</v>
      </c>
      <c r="AE274">
        <f t="shared" si="44"/>
        <v>6010.5737999999928</v>
      </c>
    </row>
    <row r="275" spans="1:31" x14ac:dyDescent="0.3">
      <c r="A275" s="31" t="s">
        <v>288</v>
      </c>
      <c r="B275" s="48">
        <v>45367</v>
      </c>
      <c r="C275" s="47" t="str">
        <f t="shared" si="37"/>
        <v>Q1-2024</v>
      </c>
      <c r="D275" s="32">
        <v>45395</v>
      </c>
      <c r="E275" s="17">
        <f t="shared" si="36"/>
        <v>28</v>
      </c>
      <c r="F275" s="33" t="s">
        <v>649</v>
      </c>
      <c r="G275" s="33" t="s">
        <v>657</v>
      </c>
      <c r="H275" s="33" t="s">
        <v>690</v>
      </c>
      <c r="I275" s="33" t="s">
        <v>705</v>
      </c>
      <c r="J275" s="33" t="s">
        <v>708</v>
      </c>
      <c r="K275" s="33" t="s">
        <v>723</v>
      </c>
      <c r="L275" s="33" t="s">
        <v>728</v>
      </c>
      <c r="M275" s="34" t="s">
        <v>1008</v>
      </c>
      <c r="N275" s="35">
        <v>287.61</v>
      </c>
      <c r="O275" s="35">
        <v>628.54</v>
      </c>
      <c r="P275" s="30" t="str">
        <f t="shared" si="38"/>
        <v>Low</v>
      </c>
      <c r="Q275" s="43">
        <v>0.13500000000000001</v>
      </c>
      <c r="R275" s="42" t="str">
        <f t="shared" si="39"/>
        <v>Medium</v>
      </c>
      <c r="S275" s="17">
        <v>21</v>
      </c>
      <c r="T275" s="30">
        <v>11417.429099999999</v>
      </c>
      <c r="U275" s="30">
        <v>6039.81</v>
      </c>
      <c r="V275" s="30">
        <v>5377.619099999999</v>
      </c>
      <c r="W275" s="30">
        <v>0.47100087531964613</v>
      </c>
      <c r="X275" t="str">
        <f t="shared" si="40"/>
        <v>Delayed</v>
      </c>
      <c r="Y275" t="str">
        <f t="shared" si="41"/>
        <v>Compliant Discount</v>
      </c>
      <c r="Z275" s="9">
        <f>MIN(Q275,'Scenario Modelling'!$B$2)</f>
        <v>0.13500000000000001</v>
      </c>
      <c r="AA275">
        <f t="shared" si="42"/>
        <v>543.68709999999999</v>
      </c>
      <c r="AB275">
        <f>N275*(1+'Scenario Modelling'!$B$3)</f>
        <v>316.37100000000004</v>
      </c>
      <c r="AC275">
        <f>ROUNDUP(S275*(1+'Scenario Modelling'!$B$4),0)</f>
        <v>23</v>
      </c>
      <c r="AD275">
        <f t="shared" si="43"/>
        <v>12504.8033</v>
      </c>
      <c r="AE275">
        <f t="shared" si="44"/>
        <v>5228.2702999999992</v>
      </c>
    </row>
    <row r="276" spans="1:31" x14ac:dyDescent="0.3">
      <c r="A276" s="36" t="s">
        <v>289</v>
      </c>
      <c r="B276" s="49">
        <v>45316</v>
      </c>
      <c r="C276" s="47" t="str">
        <f t="shared" si="37"/>
        <v>Q1-2024</v>
      </c>
      <c r="D276" s="37">
        <v>45318</v>
      </c>
      <c r="E276" s="16">
        <f t="shared" si="36"/>
        <v>2</v>
      </c>
      <c r="F276" s="38" t="s">
        <v>648</v>
      </c>
      <c r="G276" s="38" t="s">
        <v>655</v>
      </c>
      <c r="H276" s="38" t="s">
        <v>670</v>
      </c>
      <c r="I276" s="38" t="s">
        <v>703</v>
      </c>
      <c r="J276" s="38" t="s">
        <v>709</v>
      </c>
      <c r="K276" s="38" t="s">
        <v>725</v>
      </c>
      <c r="L276" s="38" t="s">
        <v>731</v>
      </c>
      <c r="M276" s="39" t="s">
        <v>1009</v>
      </c>
      <c r="N276" s="40">
        <v>1410.97</v>
      </c>
      <c r="O276" s="40">
        <v>1650.75</v>
      </c>
      <c r="P276" s="30" t="str">
        <f t="shared" si="38"/>
        <v>High</v>
      </c>
      <c r="Q276" s="44">
        <v>0.13500000000000001</v>
      </c>
      <c r="R276" s="42" t="str">
        <f t="shared" si="39"/>
        <v>Medium</v>
      </c>
      <c r="S276" s="16">
        <v>6</v>
      </c>
      <c r="T276" s="30">
        <v>8567.3924999999999</v>
      </c>
      <c r="U276" s="30">
        <v>8465.82</v>
      </c>
      <c r="V276" s="30">
        <v>101.57250000000022</v>
      </c>
      <c r="W276" s="30">
        <v>1.1855707556295596E-2</v>
      </c>
      <c r="X276" t="str">
        <f t="shared" si="40"/>
        <v>On-time</v>
      </c>
      <c r="Y276" t="str">
        <f t="shared" si="41"/>
        <v>Compliant Discount</v>
      </c>
      <c r="Z276" s="9">
        <f>MIN(Q276,'Scenario Modelling'!$B$2)</f>
        <v>0.13500000000000001</v>
      </c>
      <c r="AA276">
        <f t="shared" si="42"/>
        <v>1427.8987500000001</v>
      </c>
      <c r="AB276">
        <f>N276*(1+'Scenario Modelling'!$B$3)</f>
        <v>1552.0670000000002</v>
      </c>
      <c r="AC276">
        <f>ROUNDUP(S276*(1+'Scenario Modelling'!$B$4),0)</f>
        <v>7</v>
      </c>
      <c r="AD276">
        <f t="shared" si="43"/>
        <v>9995.2912500000002</v>
      </c>
      <c r="AE276">
        <f t="shared" si="44"/>
        <v>-869.1777500000012</v>
      </c>
    </row>
    <row r="277" spans="1:31" x14ac:dyDescent="0.3">
      <c r="A277" s="31" t="s">
        <v>290</v>
      </c>
      <c r="B277" s="48">
        <v>45378</v>
      </c>
      <c r="C277" s="47" t="str">
        <f t="shared" si="37"/>
        <v>Q1-2024</v>
      </c>
      <c r="D277" s="32">
        <v>45393</v>
      </c>
      <c r="E277" s="17">
        <f t="shared" si="36"/>
        <v>15</v>
      </c>
      <c r="F277" s="33" t="s">
        <v>648</v>
      </c>
      <c r="G277" s="33" t="s">
        <v>660</v>
      </c>
      <c r="H277" s="33" t="s">
        <v>686</v>
      </c>
      <c r="I277" s="33" t="s">
        <v>705</v>
      </c>
      <c r="J277" s="33" t="s">
        <v>711</v>
      </c>
      <c r="K277" s="33" t="s">
        <v>719</v>
      </c>
      <c r="L277" s="33" t="s">
        <v>729</v>
      </c>
      <c r="M277" s="34" t="s">
        <v>1010</v>
      </c>
      <c r="N277" s="35">
        <v>1338.35</v>
      </c>
      <c r="O277" s="35">
        <v>2247.14</v>
      </c>
      <c r="P277" s="30" t="str">
        <f t="shared" si="38"/>
        <v>High</v>
      </c>
      <c r="Q277" s="43">
        <v>0.115</v>
      </c>
      <c r="R277" s="42" t="str">
        <f t="shared" si="39"/>
        <v>Medium</v>
      </c>
      <c r="S277" s="17">
        <v>40</v>
      </c>
      <c r="T277" s="30">
        <v>79548.755999999994</v>
      </c>
      <c r="U277" s="30">
        <v>53534</v>
      </c>
      <c r="V277" s="30">
        <v>26014.755999999994</v>
      </c>
      <c r="W277" s="30">
        <v>0.32702907384246205</v>
      </c>
      <c r="X277" t="str">
        <f t="shared" si="40"/>
        <v>Delayed</v>
      </c>
      <c r="Y277" t="str">
        <f t="shared" si="41"/>
        <v>Compliant Discount</v>
      </c>
      <c r="Z277" s="9">
        <f>MIN(Q277,'Scenario Modelling'!$B$2)</f>
        <v>0.115</v>
      </c>
      <c r="AA277">
        <f t="shared" si="42"/>
        <v>1988.7188999999998</v>
      </c>
      <c r="AB277">
        <f>N277*(1+'Scenario Modelling'!$B$3)</f>
        <v>1472.1849999999999</v>
      </c>
      <c r="AC277">
        <f>ROUNDUP(S277*(1+'Scenario Modelling'!$B$4),0)</f>
        <v>42</v>
      </c>
      <c r="AD277">
        <f t="shared" si="43"/>
        <v>83526.193799999994</v>
      </c>
      <c r="AE277">
        <f t="shared" si="44"/>
        <v>21694.423799999997</v>
      </c>
    </row>
    <row r="278" spans="1:31" x14ac:dyDescent="0.3">
      <c r="A278" s="36" t="s">
        <v>291</v>
      </c>
      <c r="B278" s="49">
        <v>45832</v>
      </c>
      <c r="C278" s="47" t="str">
        <f t="shared" si="37"/>
        <v>Q2-2025</v>
      </c>
      <c r="D278" s="37">
        <v>45852</v>
      </c>
      <c r="E278" s="16">
        <f t="shared" si="36"/>
        <v>20</v>
      </c>
      <c r="F278" s="38" t="s">
        <v>649</v>
      </c>
      <c r="G278" s="38" t="s">
        <v>656</v>
      </c>
      <c r="H278" s="38" t="s">
        <v>671</v>
      </c>
      <c r="I278" s="38" t="s">
        <v>701</v>
      </c>
      <c r="J278" s="38" t="s">
        <v>711</v>
      </c>
      <c r="K278" s="38" t="s">
        <v>719</v>
      </c>
      <c r="L278" s="38" t="s">
        <v>733</v>
      </c>
      <c r="M278" s="39" t="s">
        <v>1011</v>
      </c>
      <c r="N278" s="40">
        <v>385.08</v>
      </c>
      <c r="O278" s="40">
        <v>893.19</v>
      </c>
      <c r="P278" s="30" t="str">
        <f t="shared" si="38"/>
        <v>Medium</v>
      </c>
      <c r="Q278" s="44">
        <v>0.151</v>
      </c>
      <c r="R278" s="42" t="str">
        <f t="shared" si="39"/>
        <v>Medium</v>
      </c>
      <c r="S278" s="16">
        <v>8</v>
      </c>
      <c r="T278" s="30">
        <v>6066.54648</v>
      </c>
      <c r="U278" s="30">
        <v>3080.64</v>
      </c>
      <c r="V278" s="30">
        <v>2985.9064800000001</v>
      </c>
      <c r="W278" s="30">
        <v>0.49219213762621666</v>
      </c>
      <c r="X278" t="str">
        <f t="shared" si="40"/>
        <v>Delayed</v>
      </c>
      <c r="Y278" t="str">
        <f t="shared" si="41"/>
        <v>Compliant Discount</v>
      </c>
      <c r="Z278" s="9">
        <f>MIN(Q278,'Scenario Modelling'!$B$2)</f>
        <v>0.151</v>
      </c>
      <c r="AA278">
        <f t="shared" si="42"/>
        <v>758.31831</v>
      </c>
      <c r="AB278">
        <f>N278*(1+'Scenario Modelling'!$B$3)</f>
        <v>423.58800000000002</v>
      </c>
      <c r="AC278">
        <f>ROUNDUP(S278*(1+'Scenario Modelling'!$B$4),0)</f>
        <v>9</v>
      </c>
      <c r="AD278">
        <f t="shared" si="43"/>
        <v>6824.8647899999996</v>
      </c>
      <c r="AE278">
        <f t="shared" si="44"/>
        <v>3012.5727899999997</v>
      </c>
    </row>
    <row r="279" spans="1:31" x14ac:dyDescent="0.3">
      <c r="A279" s="31" t="s">
        <v>292</v>
      </c>
      <c r="B279" s="48">
        <v>45459</v>
      </c>
      <c r="C279" s="47" t="str">
        <f t="shared" si="37"/>
        <v>Q2-2024</v>
      </c>
      <c r="D279" s="32">
        <v>45476</v>
      </c>
      <c r="E279" s="17">
        <f t="shared" si="36"/>
        <v>17</v>
      </c>
      <c r="F279" s="33" t="s">
        <v>646</v>
      </c>
      <c r="G279" s="33" t="s">
        <v>661</v>
      </c>
      <c r="H279" s="33" t="s">
        <v>682</v>
      </c>
      <c r="I279" s="33" t="s">
        <v>706</v>
      </c>
      <c r="J279" s="33" t="s">
        <v>709</v>
      </c>
      <c r="K279" s="33" t="s">
        <v>721</v>
      </c>
      <c r="L279" s="33" t="s">
        <v>730</v>
      </c>
      <c r="M279" s="34" t="s">
        <v>1012</v>
      </c>
      <c r="N279" s="35">
        <v>1173.83</v>
      </c>
      <c r="O279" s="35">
        <v>2328.9</v>
      </c>
      <c r="P279" s="30" t="str">
        <f t="shared" si="38"/>
        <v>High</v>
      </c>
      <c r="Q279" s="43">
        <v>0.12</v>
      </c>
      <c r="R279" s="42" t="str">
        <f t="shared" si="39"/>
        <v>Medium</v>
      </c>
      <c r="S279" s="17">
        <v>17</v>
      </c>
      <c r="T279" s="30">
        <v>34840.344000000005</v>
      </c>
      <c r="U279" s="30">
        <v>19955.11</v>
      </c>
      <c r="V279" s="30">
        <v>14885.234000000004</v>
      </c>
      <c r="W279" s="30">
        <v>0.42724130393201637</v>
      </c>
      <c r="X279" t="str">
        <f t="shared" si="40"/>
        <v>Delayed</v>
      </c>
      <c r="Y279" t="str">
        <f t="shared" si="41"/>
        <v>Compliant Discount</v>
      </c>
      <c r="Z279" s="9">
        <f>MIN(Q279,'Scenario Modelling'!$B$2)</f>
        <v>0.12</v>
      </c>
      <c r="AA279">
        <f t="shared" si="42"/>
        <v>2049.4320000000002</v>
      </c>
      <c r="AB279">
        <f>N279*(1+'Scenario Modelling'!$B$3)</f>
        <v>1291.213</v>
      </c>
      <c r="AC279">
        <f>ROUNDUP(S279*(1+'Scenario Modelling'!$B$4),0)</f>
        <v>18</v>
      </c>
      <c r="AD279">
        <f t="shared" si="43"/>
        <v>36889.776000000005</v>
      </c>
      <c r="AE279">
        <f t="shared" si="44"/>
        <v>13647.942000000005</v>
      </c>
    </row>
    <row r="280" spans="1:31" x14ac:dyDescent="0.3">
      <c r="A280" s="36" t="s">
        <v>293</v>
      </c>
      <c r="B280" s="49">
        <v>45229</v>
      </c>
      <c r="C280" s="47" t="str">
        <f t="shared" si="37"/>
        <v>Q4-2023</v>
      </c>
      <c r="D280" s="37">
        <v>45244</v>
      </c>
      <c r="E280" s="16">
        <f t="shared" si="36"/>
        <v>15</v>
      </c>
      <c r="F280" s="38" t="s">
        <v>647</v>
      </c>
      <c r="G280" s="38" t="s">
        <v>654</v>
      </c>
      <c r="H280" s="38" t="s">
        <v>668</v>
      </c>
      <c r="I280" s="38" t="s">
        <v>701</v>
      </c>
      <c r="J280" s="38" t="s">
        <v>708</v>
      </c>
      <c r="K280" s="38" t="s">
        <v>721</v>
      </c>
      <c r="L280" s="38" t="s">
        <v>731</v>
      </c>
      <c r="M280" s="39" t="s">
        <v>1013</v>
      </c>
      <c r="N280" s="40">
        <v>953.46</v>
      </c>
      <c r="O280" s="40">
        <v>2066.75</v>
      </c>
      <c r="P280" s="30" t="str">
        <f t="shared" si="38"/>
        <v>High</v>
      </c>
      <c r="Q280" s="44">
        <v>0.13800000000000001</v>
      </c>
      <c r="R280" s="42" t="str">
        <f t="shared" si="39"/>
        <v>Medium</v>
      </c>
      <c r="S280" s="16">
        <v>5</v>
      </c>
      <c r="T280" s="30">
        <v>8907.6924999999992</v>
      </c>
      <c r="U280" s="30">
        <v>4767.3</v>
      </c>
      <c r="V280" s="30">
        <v>4140.392499999999</v>
      </c>
      <c r="W280" s="30">
        <v>0.46481089238318446</v>
      </c>
      <c r="X280" t="str">
        <f t="shared" si="40"/>
        <v>Delayed</v>
      </c>
      <c r="Y280" t="str">
        <f t="shared" si="41"/>
        <v>Compliant Discount</v>
      </c>
      <c r="Z280" s="9">
        <f>MIN(Q280,'Scenario Modelling'!$B$2)</f>
        <v>0.13800000000000001</v>
      </c>
      <c r="AA280">
        <f t="shared" si="42"/>
        <v>1781.5384999999999</v>
      </c>
      <c r="AB280">
        <f>N280*(1+'Scenario Modelling'!$B$3)</f>
        <v>1048.806</v>
      </c>
      <c r="AC280">
        <f>ROUNDUP(S280*(1+'Scenario Modelling'!$B$4),0)</f>
        <v>6</v>
      </c>
      <c r="AD280">
        <f t="shared" si="43"/>
        <v>10689.231</v>
      </c>
      <c r="AE280">
        <f t="shared" si="44"/>
        <v>4396.3949999999986</v>
      </c>
    </row>
    <row r="281" spans="1:31" x14ac:dyDescent="0.3">
      <c r="A281" s="31" t="s">
        <v>294</v>
      </c>
      <c r="B281" s="48">
        <v>45092</v>
      </c>
      <c r="C281" s="47" t="str">
        <f t="shared" si="37"/>
        <v>Q2-2023</v>
      </c>
      <c r="D281" s="32">
        <v>45100</v>
      </c>
      <c r="E281" s="17">
        <f t="shared" si="36"/>
        <v>8</v>
      </c>
      <c r="F281" s="33" t="s">
        <v>648</v>
      </c>
      <c r="G281" s="33" t="s">
        <v>660</v>
      </c>
      <c r="H281" s="33" t="s">
        <v>686</v>
      </c>
      <c r="I281" s="33" t="s">
        <v>704</v>
      </c>
      <c r="J281" s="33" t="s">
        <v>710</v>
      </c>
      <c r="K281" s="33" t="s">
        <v>719</v>
      </c>
      <c r="L281" s="33" t="s">
        <v>732</v>
      </c>
      <c r="M281" s="34" t="s">
        <v>1014</v>
      </c>
      <c r="N281" s="35">
        <v>1097.0899999999999</v>
      </c>
      <c r="O281" s="35">
        <v>2182.31</v>
      </c>
      <c r="P281" s="30" t="str">
        <f t="shared" si="38"/>
        <v>High</v>
      </c>
      <c r="Q281" s="43">
        <v>0.112</v>
      </c>
      <c r="R281" s="42" t="str">
        <f t="shared" si="39"/>
        <v>Medium</v>
      </c>
      <c r="S281" s="17">
        <v>9</v>
      </c>
      <c r="T281" s="30">
        <v>17441.021520000002</v>
      </c>
      <c r="U281" s="30">
        <v>9873.81</v>
      </c>
      <c r="V281" s="30">
        <v>7567.2115200000026</v>
      </c>
      <c r="W281" s="30">
        <v>0.43387432962699546</v>
      </c>
      <c r="X281" t="str">
        <f t="shared" si="40"/>
        <v>Delayed</v>
      </c>
      <c r="Y281" t="str">
        <f t="shared" si="41"/>
        <v>Compliant Discount</v>
      </c>
      <c r="Z281" s="9">
        <f>MIN(Q281,'Scenario Modelling'!$B$2)</f>
        <v>0.112</v>
      </c>
      <c r="AA281">
        <f t="shared" si="42"/>
        <v>1937.8912800000001</v>
      </c>
      <c r="AB281">
        <f>N281*(1+'Scenario Modelling'!$B$3)</f>
        <v>1206.799</v>
      </c>
      <c r="AC281">
        <f>ROUNDUP(S281*(1+'Scenario Modelling'!$B$4),0)</f>
        <v>10</v>
      </c>
      <c r="AD281">
        <f t="shared" si="43"/>
        <v>19378.912800000002</v>
      </c>
      <c r="AE281">
        <f t="shared" si="44"/>
        <v>7310.9228000000003</v>
      </c>
    </row>
    <row r="282" spans="1:31" x14ac:dyDescent="0.3">
      <c r="A282" s="36" t="s">
        <v>295</v>
      </c>
      <c r="B282" s="49">
        <v>45730</v>
      </c>
      <c r="C282" s="47" t="str">
        <f t="shared" si="37"/>
        <v>Q1-2025</v>
      </c>
      <c r="D282" s="37">
        <v>45745</v>
      </c>
      <c r="E282" s="16">
        <f t="shared" si="36"/>
        <v>15</v>
      </c>
      <c r="F282" s="38" t="s">
        <v>647</v>
      </c>
      <c r="G282" s="38" t="s">
        <v>652</v>
      </c>
      <c r="H282" s="38" t="s">
        <v>689</v>
      </c>
      <c r="I282" s="38" t="s">
        <v>703</v>
      </c>
      <c r="J282" s="38" t="s">
        <v>711</v>
      </c>
      <c r="K282" s="38" t="s">
        <v>722</v>
      </c>
      <c r="L282" s="38" t="s">
        <v>729</v>
      </c>
      <c r="M282" s="39" t="s">
        <v>1015</v>
      </c>
      <c r="N282" s="40">
        <v>1106.96</v>
      </c>
      <c r="O282" s="40">
        <v>2726.62</v>
      </c>
      <c r="P282" s="30" t="str">
        <f t="shared" si="38"/>
        <v>High</v>
      </c>
      <c r="Q282" s="44">
        <v>0.3</v>
      </c>
      <c r="R282" s="42" t="str">
        <f t="shared" si="39"/>
        <v>High</v>
      </c>
      <c r="S282" s="16">
        <v>7</v>
      </c>
      <c r="T282" s="30">
        <v>13360.438</v>
      </c>
      <c r="U282" s="30">
        <v>7748.72</v>
      </c>
      <c r="V282" s="30">
        <v>5611.7179999999998</v>
      </c>
      <c r="W282" s="30">
        <v>0.42002500217432992</v>
      </c>
      <c r="X282" t="str">
        <f t="shared" si="40"/>
        <v>Delayed</v>
      </c>
      <c r="Y282" t="str">
        <f t="shared" si="41"/>
        <v>Non-compliant Discount</v>
      </c>
      <c r="Z282" s="9">
        <f>MIN(Q282,'Scenario Modelling'!$B$2)</f>
        <v>0.2</v>
      </c>
      <c r="AA282">
        <f t="shared" si="42"/>
        <v>2181.2959999999998</v>
      </c>
      <c r="AB282">
        <f>N282*(1+'Scenario Modelling'!$B$3)</f>
        <v>1217.6560000000002</v>
      </c>
      <c r="AC282">
        <f>ROUNDUP(S282*(1+'Scenario Modelling'!$B$4),0)</f>
        <v>8</v>
      </c>
      <c r="AD282">
        <f t="shared" si="43"/>
        <v>17450.367999999999</v>
      </c>
      <c r="AE282">
        <f t="shared" si="44"/>
        <v>7709.1199999999972</v>
      </c>
    </row>
    <row r="283" spans="1:31" x14ac:dyDescent="0.3">
      <c r="A283" s="31" t="s">
        <v>296</v>
      </c>
      <c r="B283" s="48">
        <v>45153</v>
      </c>
      <c r="C283" s="47" t="str">
        <f t="shared" si="37"/>
        <v>Q3-2023</v>
      </c>
      <c r="D283" s="32">
        <v>45163</v>
      </c>
      <c r="E283" s="17">
        <f t="shared" si="36"/>
        <v>10</v>
      </c>
      <c r="F283" s="33" t="s">
        <v>646</v>
      </c>
      <c r="G283" s="33" t="s">
        <v>650</v>
      </c>
      <c r="H283" s="33" t="s">
        <v>664</v>
      </c>
      <c r="I283" s="33" t="s">
        <v>705</v>
      </c>
      <c r="J283" s="33" t="s">
        <v>707</v>
      </c>
      <c r="K283" s="33" t="s">
        <v>725</v>
      </c>
      <c r="L283" s="33" t="s">
        <v>730</v>
      </c>
      <c r="M283" s="34" t="s">
        <v>1016</v>
      </c>
      <c r="N283" s="35">
        <v>91.85</v>
      </c>
      <c r="O283" s="35">
        <v>111.29</v>
      </c>
      <c r="P283" s="30" t="str">
        <f t="shared" si="38"/>
        <v>Low</v>
      </c>
      <c r="Q283" s="43">
        <v>0</v>
      </c>
      <c r="R283" s="42" t="str">
        <f t="shared" si="39"/>
        <v>Low</v>
      </c>
      <c r="S283" s="17">
        <v>6</v>
      </c>
      <c r="T283" s="30">
        <v>667.74</v>
      </c>
      <c r="U283" s="30">
        <v>551.09999999999991</v>
      </c>
      <c r="V283" s="30">
        <v>116.6400000000001</v>
      </c>
      <c r="W283" s="30">
        <v>0.17467876718483258</v>
      </c>
      <c r="X283" t="str">
        <f t="shared" si="40"/>
        <v>Delayed</v>
      </c>
      <c r="Y283" t="str">
        <f t="shared" si="41"/>
        <v>Compliant Discount</v>
      </c>
      <c r="Z283" s="9">
        <f>MIN(Q283,'Scenario Modelling'!$B$2)</f>
        <v>0</v>
      </c>
      <c r="AA283">
        <f t="shared" si="42"/>
        <v>111.29</v>
      </c>
      <c r="AB283">
        <f>N283*(1+'Scenario Modelling'!$B$3)</f>
        <v>101.035</v>
      </c>
      <c r="AC283">
        <f>ROUNDUP(S283*(1+'Scenario Modelling'!$B$4),0)</f>
        <v>7</v>
      </c>
      <c r="AD283">
        <f t="shared" si="43"/>
        <v>779.03000000000009</v>
      </c>
      <c r="AE283">
        <f t="shared" si="44"/>
        <v>71.785000000000068</v>
      </c>
    </row>
    <row r="284" spans="1:31" x14ac:dyDescent="0.3">
      <c r="A284" s="36" t="s">
        <v>297</v>
      </c>
      <c r="B284" s="49">
        <v>45794</v>
      </c>
      <c r="C284" s="47" t="str">
        <f t="shared" si="37"/>
        <v>Q2-2025</v>
      </c>
      <c r="D284" s="37">
        <v>45805</v>
      </c>
      <c r="E284" s="16">
        <f t="shared" si="36"/>
        <v>11</v>
      </c>
      <c r="F284" s="38" t="s">
        <v>647</v>
      </c>
      <c r="G284" s="38" t="s">
        <v>654</v>
      </c>
      <c r="H284" s="38" t="s">
        <v>668</v>
      </c>
      <c r="I284" s="38" t="s">
        <v>701</v>
      </c>
      <c r="J284" s="38" t="s">
        <v>710</v>
      </c>
      <c r="K284" s="38" t="s">
        <v>717</v>
      </c>
      <c r="L284" s="38" t="s">
        <v>731</v>
      </c>
      <c r="M284" s="39" t="s">
        <v>1017</v>
      </c>
      <c r="N284" s="40">
        <v>623.4</v>
      </c>
      <c r="O284" s="40">
        <v>1100.0899999999999</v>
      </c>
      <c r="P284" s="30" t="str">
        <f t="shared" si="38"/>
        <v>Medium</v>
      </c>
      <c r="Q284" s="44">
        <v>0.114</v>
      </c>
      <c r="R284" s="42" t="str">
        <f t="shared" si="39"/>
        <v>Medium</v>
      </c>
      <c r="S284" s="16">
        <v>12</v>
      </c>
      <c r="T284" s="30">
        <v>11696.156879999999</v>
      </c>
      <c r="U284" s="30">
        <v>7480.7999999999993</v>
      </c>
      <c r="V284" s="30">
        <v>4215.3568799999994</v>
      </c>
      <c r="W284" s="30">
        <v>0.36040529579490388</v>
      </c>
      <c r="X284" t="str">
        <f t="shared" si="40"/>
        <v>Delayed</v>
      </c>
      <c r="Y284" t="str">
        <f t="shared" si="41"/>
        <v>Compliant Discount</v>
      </c>
      <c r="Z284" s="9">
        <f>MIN(Q284,'Scenario Modelling'!$B$2)</f>
        <v>0.114</v>
      </c>
      <c r="AA284">
        <f t="shared" si="42"/>
        <v>974.67973999999992</v>
      </c>
      <c r="AB284">
        <f>N284*(1+'Scenario Modelling'!$B$3)</f>
        <v>685.74</v>
      </c>
      <c r="AC284">
        <f>ROUNDUP(S284*(1+'Scenario Modelling'!$B$4),0)</f>
        <v>13</v>
      </c>
      <c r="AD284">
        <f t="shared" si="43"/>
        <v>12670.836619999998</v>
      </c>
      <c r="AE284">
        <f t="shared" si="44"/>
        <v>3756.2166199999988</v>
      </c>
    </row>
    <row r="285" spans="1:31" x14ac:dyDescent="0.3">
      <c r="A285" s="31" t="s">
        <v>298</v>
      </c>
      <c r="B285" s="48">
        <v>45304</v>
      </c>
      <c r="C285" s="47" t="str">
        <f t="shared" si="37"/>
        <v>Q1-2024</v>
      </c>
      <c r="D285" s="32">
        <v>45327</v>
      </c>
      <c r="E285" s="17">
        <f t="shared" si="36"/>
        <v>23</v>
      </c>
      <c r="F285" s="33" t="s">
        <v>649</v>
      </c>
      <c r="G285" s="33" t="s">
        <v>656</v>
      </c>
      <c r="H285" s="33" t="s">
        <v>698</v>
      </c>
      <c r="I285" s="33" t="s">
        <v>702</v>
      </c>
      <c r="J285" s="33" t="s">
        <v>711</v>
      </c>
      <c r="K285" s="33" t="s">
        <v>717</v>
      </c>
      <c r="L285" s="33" t="s">
        <v>731</v>
      </c>
      <c r="M285" s="34" t="s">
        <v>1018</v>
      </c>
      <c r="N285" s="35">
        <v>1017.93</v>
      </c>
      <c r="O285" s="35">
        <v>1529.14</v>
      </c>
      <c r="P285" s="30" t="str">
        <f t="shared" si="38"/>
        <v>Medium</v>
      </c>
      <c r="Q285" s="43">
        <v>0.155</v>
      </c>
      <c r="R285" s="42" t="str">
        <f t="shared" si="39"/>
        <v>Medium</v>
      </c>
      <c r="S285" s="17">
        <v>12</v>
      </c>
      <c r="T285" s="30">
        <v>15505.479600000001</v>
      </c>
      <c r="U285" s="30">
        <v>12215.16</v>
      </c>
      <c r="V285" s="30">
        <v>3290.3196000000007</v>
      </c>
      <c r="W285" s="30">
        <v>0.21220366508366503</v>
      </c>
      <c r="X285" t="str">
        <f t="shared" si="40"/>
        <v>Delayed</v>
      </c>
      <c r="Y285" t="str">
        <f t="shared" si="41"/>
        <v>Compliant Discount</v>
      </c>
      <c r="Z285" s="9">
        <f>MIN(Q285,'Scenario Modelling'!$B$2)</f>
        <v>0.155</v>
      </c>
      <c r="AA285">
        <f t="shared" si="42"/>
        <v>1292.1233</v>
      </c>
      <c r="AB285">
        <f>N285*(1+'Scenario Modelling'!$B$3)</f>
        <v>1119.723</v>
      </c>
      <c r="AC285">
        <f>ROUNDUP(S285*(1+'Scenario Modelling'!$B$4),0)</f>
        <v>13</v>
      </c>
      <c r="AD285">
        <f t="shared" si="43"/>
        <v>16797.602899999998</v>
      </c>
      <c r="AE285">
        <f t="shared" si="44"/>
        <v>2241.2039000000004</v>
      </c>
    </row>
    <row r="286" spans="1:31" x14ac:dyDescent="0.3">
      <c r="A286" s="36" t="s">
        <v>299</v>
      </c>
      <c r="B286" s="49">
        <v>45101</v>
      </c>
      <c r="C286" s="47" t="str">
        <f t="shared" si="37"/>
        <v>Q2-2023</v>
      </c>
      <c r="D286" s="37">
        <v>45128</v>
      </c>
      <c r="E286" s="16">
        <f t="shared" si="36"/>
        <v>27</v>
      </c>
      <c r="F286" s="38" t="s">
        <v>647</v>
      </c>
      <c r="G286" s="38" t="s">
        <v>652</v>
      </c>
      <c r="H286" s="38" t="s">
        <v>694</v>
      </c>
      <c r="I286" s="38" t="s">
        <v>704</v>
      </c>
      <c r="J286" s="38" t="s">
        <v>709</v>
      </c>
      <c r="K286" s="38" t="s">
        <v>713</v>
      </c>
      <c r="L286" s="38" t="s">
        <v>730</v>
      </c>
      <c r="M286" s="39" t="s">
        <v>1019</v>
      </c>
      <c r="N286" s="40">
        <v>554.76</v>
      </c>
      <c r="O286" s="40">
        <v>728.69</v>
      </c>
      <c r="P286" s="30" t="str">
        <f t="shared" si="38"/>
        <v>Low</v>
      </c>
      <c r="Q286" s="44">
        <v>0.22</v>
      </c>
      <c r="R286" s="42" t="str">
        <f t="shared" si="39"/>
        <v>High</v>
      </c>
      <c r="S286" s="16">
        <v>7</v>
      </c>
      <c r="T286" s="30">
        <v>3978.6474000000003</v>
      </c>
      <c r="U286" s="30">
        <v>3883.3199999999997</v>
      </c>
      <c r="V286" s="30">
        <v>95.32740000000058</v>
      </c>
      <c r="W286" s="30">
        <v>2.395975074343119E-2</v>
      </c>
      <c r="X286" t="str">
        <f t="shared" si="40"/>
        <v>Delayed</v>
      </c>
      <c r="Y286" t="str">
        <f t="shared" si="41"/>
        <v>Non-compliant Discount</v>
      </c>
      <c r="Z286" s="9">
        <f>MIN(Q286,'Scenario Modelling'!$B$2)</f>
        <v>0.2</v>
      </c>
      <c r="AA286">
        <f t="shared" si="42"/>
        <v>582.95200000000011</v>
      </c>
      <c r="AB286">
        <f>N286*(1+'Scenario Modelling'!$B$3)</f>
        <v>610.23599999999999</v>
      </c>
      <c r="AC286">
        <f>ROUNDUP(S286*(1+'Scenario Modelling'!$B$4),0)</f>
        <v>8</v>
      </c>
      <c r="AD286">
        <f t="shared" si="43"/>
        <v>4663.6160000000009</v>
      </c>
      <c r="AE286">
        <f t="shared" si="44"/>
        <v>-218.27199999999903</v>
      </c>
    </row>
    <row r="287" spans="1:31" x14ac:dyDescent="0.3">
      <c r="A287" s="31" t="s">
        <v>300</v>
      </c>
      <c r="B287" s="48">
        <v>45751</v>
      </c>
      <c r="C287" s="47" t="str">
        <f t="shared" si="37"/>
        <v>Q2-2025</v>
      </c>
      <c r="D287" s="32">
        <v>45760</v>
      </c>
      <c r="E287" s="17">
        <f t="shared" si="36"/>
        <v>9</v>
      </c>
      <c r="F287" s="33" t="s">
        <v>649</v>
      </c>
      <c r="G287" s="33" t="s">
        <v>656</v>
      </c>
      <c r="H287" s="33" t="s">
        <v>684</v>
      </c>
      <c r="I287" s="33" t="s">
        <v>704</v>
      </c>
      <c r="J287" s="33" t="s">
        <v>709</v>
      </c>
      <c r="K287" s="33" t="s">
        <v>721</v>
      </c>
      <c r="L287" s="33" t="s">
        <v>730</v>
      </c>
      <c r="M287" s="34" t="s">
        <v>1020</v>
      </c>
      <c r="N287" s="35">
        <v>7.02</v>
      </c>
      <c r="O287" s="35">
        <v>6.28</v>
      </c>
      <c r="P287" s="30" t="str">
        <f t="shared" si="38"/>
        <v>Low</v>
      </c>
      <c r="Q287" s="43">
        <v>0.13400000000000001</v>
      </c>
      <c r="R287" s="42" t="str">
        <f t="shared" si="39"/>
        <v>Medium</v>
      </c>
      <c r="S287" s="17">
        <v>14</v>
      </c>
      <c r="T287" s="30">
        <v>76.138720000000006</v>
      </c>
      <c r="U287" s="30">
        <v>98.28</v>
      </c>
      <c r="V287" s="30">
        <v>-22.141279999999995</v>
      </c>
      <c r="W287" s="30">
        <v>-0.29080184169106066</v>
      </c>
      <c r="X287" t="str">
        <f t="shared" si="40"/>
        <v>Delayed</v>
      </c>
      <c r="Y287" t="str">
        <f t="shared" si="41"/>
        <v>Compliant Discount</v>
      </c>
      <c r="Z287" s="9">
        <f>MIN(Q287,'Scenario Modelling'!$B$2)</f>
        <v>0.13400000000000001</v>
      </c>
      <c r="AA287">
        <f t="shared" si="42"/>
        <v>5.4384800000000002</v>
      </c>
      <c r="AB287">
        <f>N287*(1+'Scenario Modelling'!$B$3)</f>
        <v>7.7220000000000004</v>
      </c>
      <c r="AC287">
        <f>ROUNDUP(S287*(1+'Scenario Modelling'!$B$4),0)</f>
        <v>15</v>
      </c>
      <c r="AD287">
        <f t="shared" si="43"/>
        <v>81.577200000000005</v>
      </c>
      <c r="AE287">
        <f t="shared" si="44"/>
        <v>-34.252800000000001</v>
      </c>
    </row>
    <row r="288" spans="1:31" x14ac:dyDescent="0.3">
      <c r="A288" s="36" t="s">
        <v>301</v>
      </c>
      <c r="B288" s="49">
        <v>45542</v>
      </c>
      <c r="C288" s="47" t="str">
        <f t="shared" si="37"/>
        <v>Q3-2024</v>
      </c>
      <c r="D288" s="37">
        <v>45542</v>
      </c>
      <c r="E288" s="16">
        <f t="shared" si="36"/>
        <v>0</v>
      </c>
      <c r="F288" s="38" t="s">
        <v>647</v>
      </c>
      <c r="G288" s="38" t="s">
        <v>654</v>
      </c>
      <c r="H288" s="38" t="s">
        <v>691</v>
      </c>
      <c r="I288" s="38" t="s">
        <v>702</v>
      </c>
      <c r="J288" s="38" t="s">
        <v>710</v>
      </c>
      <c r="K288" s="38" t="s">
        <v>717</v>
      </c>
      <c r="L288" s="38" t="s">
        <v>729</v>
      </c>
      <c r="M288" s="39" t="s">
        <v>1021</v>
      </c>
      <c r="N288" s="40">
        <v>1066.6500000000001</v>
      </c>
      <c r="O288" s="40">
        <v>2569.77</v>
      </c>
      <c r="P288" s="30" t="str">
        <f t="shared" si="38"/>
        <v>High</v>
      </c>
      <c r="Q288" s="44">
        <v>0.13400000000000001</v>
      </c>
      <c r="R288" s="42" t="str">
        <f t="shared" si="39"/>
        <v>Medium</v>
      </c>
      <c r="S288" s="16">
        <v>9</v>
      </c>
      <c r="T288" s="30">
        <v>20028.787380000002</v>
      </c>
      <c r="U288" s="30">
        <v>9599.85</v>
      </c>
      <c r="V288" s="30">
        <v>10428.937380000001</v>
      </c>
      <c r="W288" s="30">
        <v>0.52069739331368348</v>
      </c>
      <c r="X288" t="str">
        <f t="shared" si="40"/>
        <v>On-time</v>
      </c>
      <c r="Y288" t="str">
        <f t="shared" si="41"/>
        <v>Compliant Discount</v>
      </c>
      <c r="Z288" s="9">
        <f>MIN(Q288,'Scenario Modelling'!$B$2)</f>
        <v>0.13400000000000001</v>
      </c>
      <c r="AA288">
        <f t="shared" si="42"/>
        <v>2225.4208199999998</v>
      </c>
      <c r="AB288">
        <f>N288*(1+'Scenario Modelling'!$B$3)</f>
        <v>1173.3150000000003</v>
      </c>
      <c r="AC288">
        <f>ROUNDUP(S288*(1+'Scenario Modelling'!$B$4),0)</f>
        <v>10</v>
      </c>
      <c r="AD288">
        <f t="shared" si="43"/>
        <v>22254.208199999997</v>
      </c>
      <c r="AE288">
        <f t="shared" si="44"/>
        <v>10521.058199999996</v>
      </c>
    </row>
    <row r="289" spans="1:31" x14ac:dyDescent="0.3">
      <c r="A289" s="31" t="s">
        <v>302</v>
      </c>
      <c r="B289" s="48">
        <v>45319</v>
      </c>
      <c r="C289" s="47" t="str">
        <f t="shared" si="37"/>
        <v>Q1-2024</v>
      </c>
      <c r="D289" s="32">
        <v>45321</v>
      </c>
      <c r="E289" s="17">
        <f t="shared" si="36"/>
        <v>2</v>
      </c>
      <c r="F289" s="33" t="s">
        <v>646</v>
      </c>
      <c r="G289" s="33" t="s">
        <v>661</v>
      </c>
      <c r="H289" s="33" t="s">
        <v>695</v>
      </c>
      <c r="I289" s="33" t="s">
        <v>704</v>
      </c>
      <c r="J289" s="33" t="s">
        <v>711</v>
      </c>
      <c r="K289" s="33" t="s">
        <v>721</v>
      </c>
      <c r="L289" s="33" t="s">
        <v>733</v>
      </c>
      <c r="M289" s="34" t="s">
        <v>1022</v>
      </c>
      <c r="N289" s="35">
        <v>798.45</v>
      </c>
      <c r="O289" s="35">
        <v>1592.02</v>
      </c>
      <c r="P289" s="30" t="str">
        <f t="shared" si="38"/>
        <v>Medium</v>
      </c>
      <c r="Q289" s="43">
        <v>6.6000000000000003E-2</v>
      </c>
      <c r="R289" s="42" t="str">
        <f t="shared" si="39"/>
        <v>Low</v>
      </c>
      <c r="S289" s="17">
        <v>18</v>
      </c>
      <c r="T289" s="30">
        <v>26765.040239999998</v>
      </c>
      <c r="U289" s="30">
        <v>14372.1</v>
      </c>
      <c r="V289" s="30">
        <v>12392.940239999998</v>
      </c>
      <c r="W289" s="30">
        <v>0.46302714768494585</v>
      </c>
      <c r="X289" t="str">
        <f t="shared" si="40"/>
        <v>On-time</v>
      </c>
      <c r="Y289" t="str">
        <f t="shared" si="41"/>
        <v>Compliant Discount</v>
      </c>
      <c r="Z289" s="9">
        <f>MIN(Q289,'Scenario Modelling'!$B$2)</f>
        <v>6.6000000000000003E-2</v>
      </c>
      <c r="AA289">
        <f t="shared" si="42"/>
        <v>1486.9466799999998</v>
      </c>
      <c r="AB289">
        <f>N289*(1+'Scenario Modelling'!$B$3)</f>
        <v>878.29500000000007</v>
      </c>
      <c r="AC289">
        <f>ROUNDUP(S289*(1+'Scenario Modelling'!$B$4),0)</f>
        <v>19</v>
      </c>
      <c r="AD289">
        <f t="shared" si="43"/>
        <v>28251.986919999996</v>
      </c>
      <c r="AE289">
        <f t="shared" si="44"/>
        <v>11564.381919999994</v>
      </c>
    </row>
    <row r="290" spans="1:31" x14ac:dyDescent="0.3">
      <c r="A290" s="36" t="s">
        <v>303</v>
      </c>
      <c r="B290" s="49">
        <v>45125</v>
      </c>
      <c r="C290" s="47" t="str">
        <f t="shared" si="37"/>
        <v>Q3-2023</v>
      </c>
      <c r="D290" s="37">
        <v>45148</v>
      </c>
      <c r="E290" s="16">
        <f t="shared" si="36"/>
        <v>23</v>
      </c>
      <c r="F290" s="38" t="s">
        <v>646</v>
      </c>
      <c r="G290" s="38" t="s">
        <v>661</v>
      </c>
      <c r="H290" s="38" t="s">
        <v>682</v>
      </c>
      <c r="I290" s="38" t="s">
        <v>705</v>
      </c>
      <c r="J290" s="38" t="s">
        <v>707</v>
      </c>
      <c r="K290" s="38" t="s">
        <v>716</v>
      </c>
      <c r="L290" s="38" t="s">
        <v>727</v>
      </c>
      <c r="M290" s="39" t="s">
        <v>1023</v>
      </c>
      <c r="N290" s="40">
        <v>1271.56</v>
      </c>
      <c r="O290" s="40">
        <v>995.47</v>
      </c>
      <c r="P290" s="30" t="str">
        <f t="shared" si="38"/>
        <v>Medium</v>
      </c>
      <c r="Q290" s="44">
        <v>0.192</v>
      </c>
      <c r="R290" s="42" t="str">
        <f t="shared" si="39"/>
        <v>Medium</v>
      </c>
      <c r="S290" s="16">
        <v>13</v>
      </c>
      <c r="T290" s="30">
        <v>10456.416880000001</v>
      </c>
      <c r="U290" s="30">
        <v>16530.28</v>
      </c>
      <c r="V290" s="30">
        <v>-6073.8631199999982</v>
      </c>
      <c r="W290" s="30">
        <v>-0.58087423155607754</v>
      </c>
      <c r="X290" t="str">
        <f t="shared" si="40"/>
        <v>Delayed</v>
      </c>
      <c r="Y290" t="str">
        <f t="shared" si="41"/>
        <v>Compliant Discount</v>
      </c>
      <c r="Z290" s="9">
        <f>MIN(Q290,'Scenario Modelling'!$B$2)</f>
        <v>0.192</v>
      </c>
      <c r="AA290">
        <f t="shared" si="42"/>
        <v>804.33976000000007</v>
      </c>
      <c r="AB290">
        <f>N290*(1+'Scenario Modelling'!$B$3)</f>
        <v>1398.7160000000001</v>
      </c>
      <c r="AC290">
        <f>ROUNDUP(S290*(1+'Scenario Modelling'!$B$4),0)</f>
        <v>14</v>
      </c>
      <c r="AD290">
        <f t="shared" si="43"/>
        <v>11260.756640000001</v>
      </c>
      <c r="AE290">
        <f t="shared" si="44"/>
        <v>-8321.2673600000016</v>
      </c>
    </row>
    <row r="291" spans="1:31" x14ac:dyDescent="0.3">
      <c r="A291" s="31" t="s">
        <v>304</v>
      </c>
      <c r="B291" s="48">
        <v>45897</v>
      </c>
      <c r="C291" s="47" t="str">
        <f t="shared" si="37"/>
        <v>Q3-2025</v>
      </c>
      <c r="D291" s="32">
        <v>45904</v>
      </c>
      <c r="E291" s="17">
        <f t="shared" si="36"/>
        <v>7</v>
      </c>
      <c r="F291" s="33" t="s">
        <v>646</v>
      </c>
      <c r="G291" s="33" t="s">
        <v>651</v>
      </c>
      <c r="H291" s="33" t="s">
        <v>663</v>
      </c>
      <c r="I291" s="33" t="s">
        <v>705</v>
      </c>
      <c r="J291" s="33" t="s">
        <v>707</v>
      </c>
      <c r="K291" s="33" t="s">
        <v>720</v>
      </c>
      <c r="L291" s="33" t="s">
        <v>733</v>
      </c>
      <c r="M291" s="34" t="s">
        <v>1024</v>
      </c>
      <c r="N291" s="35">
        <v>521.05999999999995</v>
      </c>
      <c r="O291" s="35">
        <v>1240.31</v>
      </c>
      <c r="P291" s="30" t="str">
        <f t="shared" si="38"/>
        <v>Medium</v>
      </c>
      <c r="Q291" s="43">
        <v>0.14599999999999999</v>
      </c>
      <c r="R291" s="42" t="str">
        <f t="shared" si="39"/>
        <v>Medium</v>
      </c>
      <c r="S291" s="17">
        <v>18</v>
      </c>
      <c r="T291" s="30">
        <v>19066.045319999997</v>
      </c>
      <c r="U291" s="30">
        <v>9379.0799999999981</v>
      </c>
      <c r="V291" s="30">
        <v>9686.9653199999993</v>
      </c>
      <c r="W291" s="30">
        <v>0.50807417885650974</v>
      </c>
      <c r="X291" t="str">
        <f t="shared" si="40"/>
        <v>On-time</v>
      </c>
      <c r="Y291" t="str">
        <f t="shared" si="41"/>
        <v>Compliant Discount</v>
      </c>
      <c r="Z291" s="9">
        <f>MIN(Q291,'Scenario Modelling'!$B$2)</f>
        <v>0.14599999999999999</v>
      </c>
      <c r="AA291">
        <f t="shared" si="42"/>
        <v>1059.2247399999999</v>
      </c>
      <c r="AB291">
        <f>N291*(1+'Scenario Modelling'!$B$3)</f>
        <v>573.16599999999994</v>
      </c>
      <c r="AC291">
        <f>ROUNDUP(S291*(1+'Scenario Modelling'!$B$4),0)</f>
        <v>19</v>
      </c>
      <c r="AD291">
        <f t="shared" si="43"/>
        <v>20125.270059999999</v>
      </c>
      <c r="AE291">
        <f t="shared" si="44"/>
        <v>9235.1160599999985</v>
      </c>
    </row>
    <row r="292" spans="1:31" x14ac:dyDescent="0.3">
      <c r="A292" s="36" t="s">
        <v>305</v>
      </c>
      <c r="B292" s="49">
        <v>45746</v>
      </c>
      <c r="C292" s="47" t="str">
        <f t="shared" si="37"/>
        <v>Q1-2025</v>
      </c>
      <c r="D292" s="37">
        <v>45754</v>
      </c>
      <c r="E292" s="16">
        <f t="shared" si="36"/>
        <v>8</v>
      </c>
      <c r="F292" s="38" t="s">
        <v>648</v>
      </c>
      <c r="G292" s="38" t="s">
        <v>655</v>
      </c>
      <c r="H292" s="38" t="s">
        <v>670</v>
      </c>
      <c r="I292" s="38" t="s">
        <v>703</v>
      </c>
      <c r="J292" s="38" t="s">
        <v>711</v>
      </c>
      <c r="K292" s="38" t="s">
        <v>716</v>
      </c>
      <c r="L292" s="38" t="s">
        <v>728</v>
      </c>
      <c r="M292" s="39" t="s">
        <v>1025</v>
      </c>
      <c r="N292" s="40">
        <v>71.62</v>
      </c>
      <c r="O292" s="40">
        <v>118.37</v>
      </c>
      <c r="P292" s="30" t="str">
        <f t="shared" si="38"/>
        <v>Low</v>
      </c>
      <c r="Q292" s="44">
        <v>0.156</v>
      </c>
      <c r="R292" s="42" t="str">
        <f t="shared" si="39"/>
        <v>Medium</v>
      </c>
      <c r="S292" s="16">
        <v>11</v>
      </c>
      <c r="T292" s="30">
        <v>1098.9470800000001</v>
      </c>
      <c r="U292" s="30">
        <v>787.82</v>
      </c>
      <c r="V292" s="30">
        <v>311.12708000000009</v>
      </c>
      <c r="W292" s="30">
        <v>0.28311379652603474</v>
      </c>
      <c r="X292" t="str">
        <f t="shared" si="40"/>
        <v>Delayed</v>
      </c>
      <c r="Y292" t="str">
        <f t="shared" si="41"/>
        <v>Compliant Discount</v>
      </c>
      <c r="Z292" s="9">
        <f>MIN(Q292,'Scenario Modelling'!$B$2)</f>
        <v>0.156</v>
      </c>
      <c r="AA292">
        <f t="shared" si="42"/>
        <v>99.90428</v>
      </c>
      <c r="AB292">
        <f>N292*(1+'Scenario Modelling'!$B$3)</f>
        <v>78.782000000000011</v>
      </c>
      <c r="AC292">
        <f>ROUNDUP(S292*(1+'Scenario Modelling'!$B$4),0)</f>
        <v>12</v>
      </c>
      <c r="AD292">
        <f t="shared" si="43"/>
        <v>1198.8513600000001</v>
      </c>
      <c r="AE292">
        <f t="shared" si="44"/>
        <v>253.46735999999987</v>
      </c>
    </row>
    <row r="293" spans="1:31" x14ac:dyDescent="0.3">
      <c r="A293" s="31" t="s">
        <v>306</v>
      </c>
      <c r="B293" s="48">
        <v>45220</v>
      </c>
      <c r="C293" s="47" t="str">
        <f t="shared" si="37"/>
        <v>Q4-2023</v>
      </c>
      <c r="D293" s="32">
        <v>45239</v>
      </c>
      <c r="E293" s="17">
        <f t="shared" si="36"/>
        <v>19</v>
      </c>
      <c r="F293" s="33" t="s">
        <v>649</v>
      </c>
      <c r="G293" s="33" t="s">
        <v>658</v>
      </c>
      <c r="H293" s="33" t="s">
        <v>683</v>
      </c>
      <c r="I293" s="33" t="s">
        <v>703</v>
      </c>
      <c r="J293" s="33" t="s">
        <v>711</v>
      </c>
      <c r="K293" s="33" t="s">
        <v>720</v>
      </c>
      <c r="L293" s="33" t="s">
        <v>733</v>
      </c>
      <c r="M293" s="34" t="s">
        <v>1026</v>
      </c>
      <c r="N293" s="35">
        <v>1142.48</v>
      </c>
      <c r="O293" s="35">
        <v>2105.5300000000002</v>
      </c>
      <c r="P293" s="30" t="str">
        <f t="shared" si="38"/>
        <v>High</v>
      </c>
      <c r="Q293" s="43">
        <v>0.20699999999999999</v>
      </c>
      <c r="R293" s="42" t="str">
        <f t="shared" si="39"/>
        <v>High</v>
      </c>
      <c r="S293" s="17">
        <v>14</v>
      </c>
      <c r="T293" s="30">
        <v>23375.594060000003</v>
      </c>
      <c r="U293" s="30">
        <v>15994.720000000001</v>
      </c>
      <c r="V293" s="30">
        <v>7380.8740600000019</v>
      </c>
      <c r="W293" s="30">
        <v>0.31575129346680658</v>
      </c>
      <c r="X293" t="str">
        <f t="shared" si="40"/>
        <v>Delayed</v>
      </c>
      <c r="Y293" t="str">
        <f t="shared" si="41"/>
        <v>Non-compliant Discount</v>
      </c>
      <c r="Z293" s="9">
        <f>MIN(Q293,'Scenario Modelling'!$B$2)</f>
        <v>0.2</v>
      </c>
      <c r="AA293">
        <f t="shared" si="42"/>
        <v>1684.4240000000002</v>
      </c>
      <c r="AB293">
        <f>N293*(1+'Scenario Modelling'!$B$3)</f>
        <v>1256.7280000000001</v>
      </c>
      <c r="AC293">
        <f>ROUNDUP(S293*(1+'Scenario Modelling'!$B$4),0)</f>
        <v>15</v>
      </c>
      <c r="AD293">
        <f t="shared" si="43"/>
        <v>25266.360000000004</v>
      </c>
      <c r="AE293">
        <f t="shared" si="44"/>
        <v>6415.4400000000023</v>
      </c>
    </row>
    <row r="294" spans="1:31" x14ac:dyDescent="0.3">
      <c r="A294" s="36" t="s">
        <v>307</v>
      </c>
      <c r="B294" s="49">
        <v>45161</v>
      </c>
      <c r="C294" s="47" t="str">
        <f t="shared" si="37"/>
        <v>Q3-2023</v>
      </c>
      <c r="D294" s="37">
        <v>45191</v>
      </c>
      <c r="E294" s="16">
        <f t="shared" si="36"/>
        <v>30</v>
      </c>
      <c r="F294" s="38" t="s">
        <v>649</v>
      </c>
      <c r="G294" s="38" t="s">
        <v>658</v>
      </c>
      <c r="H294" s="38" t="s">
        <v>683</v>
      </c>
      <c r="I294" s="38" t="s">
        <v>704</v>
      </c>
      <c r="J294" s="38" t="s">
        <v>710</v>
      </c>
      <c r="K294" s="38" t="s">
        <v>719</v>
      </c>
      <c r="L294" s="38" t="s">
        <v>733</v>
      </c>
      <c r="M294" s="39" t="s">
        <v>1027</v>
      </c>
      <c r="N294" s="40">
        <v>209.81</v>
      </c>
      <c r="O294" s="40">
        <v>523</v>
      </c>
      <c r="P294" s="30" t="str">
        <f t="shared" si="38"/>
        <v>Low</v>
      </c>
      <c r="Q294" s="44">
        <v>5.8999999999999997E-2</v>
      </c>
      <c r="R294" s="42" t="str">
        <f t="shared" si="39"/>
        <v>Low</v>
      </c>
      <c r="S294" s="16">
        <v>15</v>
      </c>
      <c r="T294" s="30">
        <v>7382.1450000000004</v>
      </c>
      <c r="U294" s="30">
        <v>3147.15</v>
      </c>
      <c r="V294" s="30">
        <v>4234.9950000000008</v>
      </c>
      <c r="W294" s="30">
        <v>0.57368082041195356</v>
      </c>
      <c r="X294" t="str">
        <f t="shared" si="40"/>
        <v>Delayed</v>
      </c>
      <c r="Y294" t="str">
        <f t="shared" si="41"/>
        <v>Compliant Discount</v>
      </c>
      <c r="Z294" s="9">
        <f>MIN(Q294,'Scenario Modelling'!$B$2)</f>
        <v>5.8999999999999997E-2</v>
      </c>
      <c r="AA294">
        <f t="shared" si="42"/>
        <v>492.14300000000003</v>
      </c>
      <c r="AB294">
        <f>N294*(1+'Scenario Modelling'!$B$3)</f>
        <v>230.79100000000003</v>
      </c>
      <c r="AC294">
        <f>ROUNDUP(S294*(1+'Scenario Modelling'!$B$4),0)</f>
        <v>16</v>
      </c>
      <c r="AD294">
        <f t="shared" si="43"/>
        <v>7874.2880000000005</v>
      </c>
      <c r="AE294">
        <f t="shared" si="44"/>
        <v>4181.6319999999996</v>
      </c>
    </row>
    <row r="295" spans="1:31" x14ac:dyDescent="0.3">
      <c r="A295" s="31" t="s">
        <v>308</v>
      </c>
      <c r="B295" s="48">
        <v>45758</v>
      </c>
      <c r="C295" s="47" t="str">
        <f t="shared" si="37"/>
        <v>Q2-2025</v>
      </c>
      <c r="D295" s="32">
        <v>45781</v>
      </c>
      <c r="E295" s="17">
        <f t="shared" si="36"/>
        <v>23</v>
      </c>
      <c r="F295" s="33" t="s">
        <v>647</v>
      </c>
      <c r="G295" s="33" t="s">
        <v>652</v>
      </c>
      <c r="H295" s="33" t="s">
        <v>666</v>
      </c>
      <c r="I295" s="33" t="s">
        <v>705</v>
      </c>
      <c r="J295" s="33" t="s">
        <v>708</v>
      </c>
      <c r="K295" s="33" t="s">
        <v>724</v>
      </c>
      <c r="L295" s="33" t="s">
        <v>727</v>
      </c>
      <c r="M295" s="34" t="s">
        <v>1028</v>
      </c>
      <c r="N295" s="35">
        <v>786.2</v>
      </c>
      <c r="O295" s="35">
        <v>1075.3</v>
      </c>
      <c r="P295" s="30" t="str">
        <f t="shared" si="38"/>
        <v>Medium</v>
      </c>
      <c r="Q295" s="43">
        <v>0.08</v>
      </c>
      <c r="R295" s="42" t="str">
        <f t="shared" si="39"/>
        <v>Low</v>
      </c>
      <c r="S295" s="17">
        <v>9</v>
      </c>
      <c r="T295" s="30">
        <v>8903.4839999999986</v>
      </c>
      <c r="U295" s="30">
        <v>7075.8</v>
      </c>
      <c r="V295" s="30">
        <v>1827.6839999999984</v>
      </c>
      <c r="W295" s="30">
        <v>0.20527739478163815</v>
      </c>
      <c r="X295" t="str">
        <f t="shared" si="40"/>
        <v>Delayed</v>
      </c>
      <c r="Y295" t="str">
        <f t="shared" si="41"/>
        <v>Compliant Discount</v>
      </c>
      <c r="Z295" s="9">
        <f>MIN(Q295,'Scenario Modelling'!$B$2)</f>
        <v>0.08</v>
      </c>
      <c r="AA295">
        <f t="shared" si="42"/>
        <v>989.27599999999995</v>
      </c>
      <c r="AB295">
        <f>N295*(1+'Scenario Modelling'!$B$3)</f>
        <v>864.82000000000016</v>
      </c>
      <c r="AC295">
        <f>ROUNDUP(S295*(1+'Scenario Modelling'!$B$4),0)</f>
        <v>10</v>
      </c>
      <c r="AD295">
        <f t="shared" si="43"/>
        <v>9892.76</v>
      </c>
      <c r="AE295">
        <f t="shared" si="44"/>
        <v>1244.5599999999979</v>
      </c>
    </row>
    <row r="296" spans="1:31" x14ac:dyDescent="0.3">
      <c r="A296" s="36" t="s">
        <v>309</v>
      </c>
      <c r="B296" s="49">
        <v>45809</v>
      </c>
      <c r="C296" s="47" t="str">
        <f t="shared" si="37"/>
        <v>Q2-2025</v>
      </c>
      <c r="D296" s="37">
        <v>45835</v>
      </c>
      <c r="E296" s="16">
        <f t="shared" si="36"/>
        <v>26</v>
      </c>
      <c r="F296" s="38" t="s">
        <v>649</v>
      </c>
      <c r="G296" s="38" t="s">
        <v>656</v>
      </c>
      <c r="H296" s="38" t="s">
        <v>684</v>
      </c>
      <c r="I296" s="38" t="s">
        <v>704</v>
      </c>
      <c r="J296" s="38" t="s">
        <v>710</v>
      </c>
      <c r="K296" s="38" t="s">
        <v>718</v>
      </c>
      <c r="L296" s="38" t="s">
        <v>731</v>
      </c>
      <c r="M296" s="39" t="s">
        <v>1029</v>
      </c>
      <c r="N296" s="40">
        <v>1362.31</v>
      </c>
      <c r="O296" s="40">
        <v>3294.57</v>
      </c>
      <c r="P296" s="30" t="str">
        <f t="shared" si="38"/>
        <v>High</v>
      </c>
      <c r="Q296" s="44">
        <v>0.113</v>
      </c>
      <c r="R296" s="42" t="str">
        <f t="shared" si="39"/>
        <v>Medium</v>
      </c>
      <c r="S296" s="16">
        <v>7</v>
      </c>
      <c r="T296" s="30">
        <v>20455.985130000001</v>
      </c>
      <c r="U296" s="30">
        <v>9536.17</v>
      </c>
      <c r="V296" s="30">
        <v>10919.815130000001</v>
      </c>
      <c r="W296" s="30">
        <v>0.5338200561157721</v>
      </c>
      <c r="X296" t="str">
        <f t="shared" si="40"/>
        <v>Delayed</v>
      </c>
      <c r="Y296" t="str">
        <f t="shared" si="41"/>
        <v>Compliant Discount</v>
      </c>
      <c r="Z296" s="9">
        <f>MIN(Q296,'Scenario Modelling'!$B$2)</f>
        <v>0.113</v>
      </c>
      <c r="AA296">
        <f t="shared" si="42"/>
        <v>2922.28359</v>
      </c>
      <c r="AB296">
        <f>N296*(1+'Scenario Modelling'!$B$3)</f>
        <v>1498.5410000000002</v>
      </c>
      <c r="AC296">
        <f>ROUNDUP(S296*(1+'Scenario Modelling'!$B$4),0)</f>
        <v>8</v>
      </c>
      <c r="AD296">
        <f t="shared" si="43"/>
        <v>23378.26872</v>
      </c>
      <c r="AE296">
        <f t="shared" si="44"/>
        <v>11389.940719999999</v>
      </c>
    </row>
    <row r="297" spans="1:31" x14ac:dyDescent="0.3">
      <c r="A297" s="31" t="s">
        <v>310</v>
      </c>
      <c r="B297" s="48">
        <v>45353</v>
      </c>
      <c r="C297" s="47" t="str">
        <f t="shared" si="37"/>
        <v>Q1-2024</v>
      </c>
      <c r="D297" s="32">
        <v>45367</v>
      </c>
      <c r="E297" s="17">
        <f t="shared" si="36"/>
        <v>14</v>
      </c>
      <c r="F297" s="33" t="s">
        <v>648</v>
      </c>
      <c r="G297" s="33" t="s">
        <v>653</v>
      </c>
      <c r="H297" s="33" t="s">
        <v>688</v>
      </c>
      <c r="I297" s="33" t="s">
        <v>703</v>
      </c>
      <c r="J297" s="33" t="s">
        <v>711</v>
      </c>
      <c r="K297" s="33" t="s">
        <v>719</v>
      </c>
      <c r="L297" s="33" t="s">
        <v>728</v>
      </c>
      <c r="M297" s="34" t="s">
        <v>1030</v>
      </c>
      <c r="N297" s="35">
        <v>248.24</v>
      </c>
      <c r="O297" s="35">
        <v>464.05</v>
      </c>
      <c r="P297" s="30" t="str">
        <f t="shared" si="38"/>
        <v>Low</v>
      </c>
      <c r="Q297" s="43">
        <v>0.16900000000000001</v>
      </c>
      <c r="R297" s="42" t="str">
        <f t="shared" si="39"/>
        <v>Medium</v>
      </c>
      <c r="S297" s="17">
        <v>11</v>
      </c>
      <c r="T297" s="30">
        <v>4241.88105</v>
      </c>
      <c r="U297" s="30">
        <v>2730.6400000000003</v>
      </c>
      <c r="V297" s="30">
        <v>1511.2410499999996</v>
      </c>
      <c r="W297" s="30">
        <v>0.3562667203975462</v>
      </c>
      <c r="X297" t="str">
        <f t="shared" si="40"/>
        <v>Delayed</v>
      </c>
      <c r="Y297" t="str">
        <f t="shared" si="41"/>
        <v>Compliant Discount</v>
      </c>
      <c r="Z297" s="9">
        <f>MIN(Q297,'Scenario Modelling'!$B$2)</f>
        <v>0.16900000000000001</v>
      </c>
      <c r="AA297">
        <f t="shared" si="42"/>
        <v>385.62554999999998</v>
      </c>
      <c r="AB297">
        <f>N297*(1+'Scenario Modelling'!$B$3)</f>
        <v>273.06400000000002</v>
      </c>
      <c r="AC297">
        <f>ROUNDUP(S297*(1+'Scenario Modelling'!$B$4),0)</f>
        <v>12</v>
      </c>
      <c r="AD297">
        <f t="shared" si="43"/>
        <v>4627.5065999999997</v>
      </c>
      <c r="AE297">
        <f t="shared" si="44"/>
        <v>1350.7385999999995</v>
      </c>
    </row>
    <row r="298" spans="1:31" x14ac:dyDescent="0.3">
      <c r="A298" s="36" t="s">
        <v>311</v>
      </c>
      <c r="B298" s="49">
        <v>45097</v>
      </c>
      <c r="C298" s="47" t="str">
        <f t="shared" si="37"/>
        <v>Q2-2023</v>
      </c>
      <c r="D298" s="37">
        <v>45115</v>
      </c>
      <c r="E298" s="16">
        <f t="shared" si="36"/>
        <v>18</v>
      </c>
      <c r="F298" s="38" t="s">
        <v>648</v>
      </c>
      <c r="G298" s="38" t="s">
        <v>660</v>
      </c>
      <c r="H298" s="38" t="s">
        <v>697</v>
      </c>
      <c r="I298" s="38" t="s">
        <v>703</v>
      </c>
      <c r="J298" s="38" t="s">
        <v>711</v>
      </c>
      <c r="K298" s="38" t="s">
        <v>721</v>
      </c>
      <c r="L298" s="38" t="s">
        <v>732</v>
      </c>
      <c r="M298" s="39" t="s">
        <v>1031</v>
      </c>
      <c r="N298" s="40">
        <v>337</v>
      </c>
      <c r="O298" s="40">
        <v>511.03</v>
      </c>
      <c r="P298" s="30" t="str">
        <f t="shared" si="38"/>
        <v>Low</v>
      </c>
      <c r="Q298" s="44">
        <v>0.108</v>
      </c>
      <c r="R298" s="42" t="str">
        <f t="shared" si="39"/>
        <v>Medium</v>
      </c>
      <c r="S298" s="16">
        <v>7</v>
      </c>
      <c r="T298" s="30">
        <v>3190.8713200000002</v>
      </c>
      <c r="U298" s="30">
        <v>2359</v>
      </c>
      <c r="V298" s="30">
        <v>831.8713200000002</v>
      </c>
      <c r="W298" s="30">
        <v>0.26070349963219458</v>
      </c>
      <c r="X298" t="str">
        <f t="shared" si="40"/>
        <v>Delayed</v>
      </c>
      <c r="Y298" t="str">
        <f t="shared" si="41"/>
        <v>Compliant Discount</v>
      </c>
      <c r="Z298" s="9">
        <f>MIN(Q298,'Scenario Modelling'!$B$2)</f>
        <v>0.108</v>
      </c>
      <c r="AA298">
        <f t="shared" si="42"/>
        <v>455.83875999999998</v>
      </c>
      <c r="AB298">
        <f>N298*(1+'Scenario Modelling'!$B$3)</f>
        <v>370.70000000000005</v>
      </c>
      <c r="AC298">
        <f>ROUNDUP(S298*(1+'Scenario Modelling'!$B$4),0)</f>
        <v>8</v>
      </c>
      <c r="AD298">
        <f t="shared" si="43"/>
        <v>3646.7100799999998</v>
      </c>
      <c r="AE298">
        <f t="shared" si="44"/>
        <v>681.11007999999947</v>
      </c>
    </row>
    <row r="299" spans="1:31" x14ac:dyDescent="0.3">
      <c r="A299" s="31" t="s">
        <v>312</v>
      </c>
      <c r="B299" s="48">
        <v>45377</v>
      </c>
      <c r="C299" s="47" t="str">
        <f t="shared" si="37"/>
        <v>Q1-2024</v>
      </c>
      <c r="D299" s="32">
        <v>45387</v>
      </c>
      <c r="E299" s="17">
        <f t="shared" si="36"/>
        <v>10</v>
      </c>
      <c r="F299" s="33" t="s">
        <v>648</v>
      </c>
      <c r="G299" s="33" t="s">
        <v>660</v>
      </c>
      <c r="H299" s="33" t="s">
        <v>697</v>
      </c>
      <c r="I299" s="33" t="s">
        <v>704</v>
      </c>
      <c r="J299" s="33" t="s">
        <v>711</v>
      </c>
      <c r="K299" s="33" t="s">
        <v>713</v>
      </c>
      <c r="L299" s="33" t="s">
        <v>732</v>
      </c>
      <c r="M299" s="34" t="s">
        <v>1032</v>
      </c>
      <c r="N299" s="35">
        <v>5.66</v>
      </c>
      <c r="O299" s="35">
        <v>4.22</v>
      </c>
      <c r="P299" s="30" t="str">
        <f t="shared" si="38"/>
        <v>Low</v>
      </c>
      <c r="Q299" s="43">
        <v>0.11899999999999999</v>
      </c>
      <c r="R299" s="42" t="str">
        <f t="shared" si="39"/>
        <v>Medium</v>
      </c>
      <c r="S299" s="17">
        <v>18</v>
      </c>
      <c r="T299" s="30">
        <v>66.920760000000001</v>
      </c>
      <c r="U299" s="30">
        <v>101.88</v>
      </c>
      <c r="V299" s="30">
        <v>-34.959239999999994</v>
      </c>
      <c r="W299" s="30">
        <v>-0.52239753403876454</v>
      </c>
      <c r="X299" t="str">
        <f t="shared" si="40"/>
        <v>Delayed</v>
      </c>
      <c r="Y299" t="str">
        <f t="shared" si="41"/>
        <v>Compliant Discount</v>
      </c>
      <c r="Z299" s="9">
        <f>MIN(Q299,'Scenario Modelling'!$B$2)</f>
        <v>0.11899999999999999</v>
      </c>
      <c r="AA299">
        <f t="shared" si="42"/>
        <v>3.7178199999999997</v>
      </c>
      <c r="AB299">
        <f>N299*(1+'Scenario Modelling'!$B$3)</f>
        <v>6.2260000000000009</v>
      </c>
      <c r="AC299">
        <f>ROUNDUP(S299*(1+'Scenario Modelling'!$B$4),0)</f>
        <v>19</v>
      </c>
      <c r="AD299">
        <f t="shared" si="43"/>
        <v>70.63857999999999</v>
      </c>
      <c r="AE299">
        <f t="shared" si="44"/>
        <v>-47.655420000000021</v>
      </c>
    </row>
    <row r="300" spans="1:31" x14ac:dyDescent="0.3">
      <c r="A300" s="36" t="s">
        <v>313</v>
      </c>
      <c r="B300" s="49">
        <v>45679</v>
      </c>
      <c r="C300" s="47" t="str">
        <f t="shared" si="37"/>
        <v>Q1-2025</v>
      </c>
      <c r="D300" s="37">
        <v>45679</v>
      </c>
      <c r="E300" s="16">
        <f t="shared" si="36"/>
        <v>0</v>
      </c>
      <c r="F300" s="38" t="s">
        <v>649</v>
      </c>
      <c r="G300" s="38" t="s">
        <v>657</v>
      </c>
      <c r="H300" s="38" t="s">
        <v>679</v>
      </c>
      <c r="I300" s="38" t="s">
        <v>705</v>
      </c>
      <c r="J300" s="38" t="s">
        <v>708</v>
      </c>
      <c r="K300" s="38" t="s">
        <v>717</v>
      </c>
      <c r="L300" s="38" t="s">
        <v>733</v>
      </c>
      <c r="M300" s="39" t="s">
        <v>1033</v>
      </c>
      <c r="N300" s="40">
        <v>591.72</v>
      </c>
      <c r="O300" s="40">
        <v>577.24</v>
      </c>
      <c r="P300" s="30" t="str">
        <f t="shared" si="38"/>
        <v>Low</v>
      </c>
      <c r="Q300" s="44">
        <v>0</v>
      </c>
      <c r="R300" s="42" t="str">
        <f t="shared" si="39"/>
        <v>Low</v>
      </c>
      <c r="S300" s="16">
        <v>22</v>
      </c>
      <c r="T300" s="30">
        <v>12699.28</v>
      </c>
      <c r="U300" s="30">
        <v>13017.84</v>
      </c>
      <c r="V300" s="30">
        <v>-318.55999999999949</v>
      </c>
      <c r="W300" s="30">
        <v>-2.5084886702238195E-2</v>
      </c>
      <c r="X300" t="str">
        <f t="shared" si="40"/>
        <v>On-time</v>
      </c>
      <c r="Y300" t="str">
        <f t="shared" si="41"/>
        <v>Compliant Discount</v>
      </c>
      <c r="Z300" s="9">
        <f>MIN(Q300,'Scenario Modelling'!$B$2)</f>
        <v>0</v>
      </c>
      <c r="AA300">
        <f t="shared" si="42"/>
        <v>577.24</v>
      </c>
      <c r="AB300">
        <f>N300*(1+'Scenario Modelling'!$B$3)</f>
        <v>650.89200000000005</v>
      </c>
      <c r="AC300">
        <f>ROUNDUP(S300*(1+'Scenario Modelling'!$B$4),0)</f>
        <v>24</v>
      </c>
      <c r="AD300">
        <f t="shared" si="43"/>
        <v>13853.76</v>
      </c>
      <c r="AE300">
        <f t="shared" si="44"/>
        <v>-1767.648000000001</v>
      </c>
    </row>
    <row r="301" spans="1:31" x14ac:dyDescent="0.3">
      <c r="A301" s="31" t="s">
        <v>314</v>
      </c>
      <c r="B301" s="48">
        <v>45787</v>
      </c>
      <c r="C301" s="47" t="str">
        <f t="shared" si="37"/>
        <v>Q2-2025</v>
      </c>
      <c r="D301" s="32">
        <v>45804</v>
      </c>
      <c r="E301" s="17">
        <f t="shared" si="36"/>
        <v>17</v>
      </c>
      <c r="F301" s="33" t="s">
        <v>648</v>
      </c>
      <c r="G301" s="33" t="s">
        <v>653</v>
      </c>
      <c r="H301" s="33" t="s">
        <v>688</v>
      </c>
      <c r="I301" s="33" t="s">
        <v>702</v>
      </c>
      <c r="J301" s="33" t="s">
        <v>711</v>
      </c>
      <c r="K301" s="33" t="s">
        <v>712</v>
      </c>
      <c r="L301" s="33" t="s">
        <v>727</v>
      </c>
      <c r="M301" s="34" t="s">
        <v>1034</v>
      </c>
      <c r="N301" s="35">
        <v>862.89</v>
      </c>
      <c r="O301" s="35">
        <v>1426.03</v>
      </c>
      <c r="P301" s="30" t="str">
        <f t="shared" si="38"/>
        <v>Medium</v>
      </c>
      <c r="Q301" s="43">
        <v>5.6000000000000001E-2</v>
      </c>
      <c r="R301" s="42" t="str">
        <f t="shared" si="39"/>
        <v>Low</v>
      </c>
      <c r="S301" s="17">
        <v>19</v>
      </c>
      <c r="T301" s="30">
        <v>25577.274079999999</v>
      </c>
      <c r="U301" s="30">
        <v>16394.91</v>
      </c>
      <c r="V301" s="30">
        <v>9182.3640799999994</v>
      </c>
      <c r="W301" s="30">
        <v>0.35900479665188778</v>
      </c>
      <c r="X301" t="str">
        <f t="shared" si="40"/>
        <v>Delayed</v>
      </c>
      <c r="Y301" t="str">
        <f t="shared" si="41"/>
        <v>Compliant Discount</v>
      </c>
      <c r="Z301" s="9">
        <f>MIN(Q301,'Scenario Modelling'!$B$2)</f>
        <v>5.6000000000000001E-2</v>
      </c>
      <c r="AA301">
        <f t="shared" si="42"/>
        <v>1346.1723199999999</v>
      </c>
      <c r="AB301">
        <f>N301*(1+'Scenario Modelling'!$B$3)</f>
        <v>949.17900000000009</v>
      </c>
      <c r="AC301">
        <f>ROUNDUP(S301*(1+'Scenario Modelling'!$B$4),0)</f>
        <v>20</v>
      </c>
      <c r="AD301">
        <f t="shared" si="43"/>
        <v>26923.446399999997</v>
      </c>
      <c r="AE301">
        <f t="shared" si="44"/>
        <v>7939.8663999999962</v>
      </c>
    </row>
    <row r="302" spans="1:31" x14ac:dyDescent="0.3">
      <c r="A302" s="36" t="s">
        <v>315</v>
      </c>
      <c r="B302" s="49">
        <v>45204</v>
      </c>
      <c r="C302" s="47" t="str">
        <f t="shared" si="37"/>
        <v>Q4-2023</v>
      </c>
      <c r="D302" s="37">
        <v>45230</v>
      </c>
      <c r="E302" s="16">
        <f t="shared" si="36"/>
        <v>26</v>
      </c>
      <c r="F302" s="38" t="s">
        <v>647</v>
      </c>
      <c r="G302" s="38" t="s">
        <v>659</v>
      </c>
      <c r="H302" s="38" t="s">
        <v>685</v>
      </c>
      <c r="I302" s="38" t="s">
        <v>704</v>
      </c>
      <c r="J302" s="38" t="s">
        <v>1424</v>
      </c>
      <c r="K302" s="38" t="s">
        <v>713</v>
      </c>
      <c r="L302" s="38" t="s">
        <v>728</v>
      </c>
      <c r="M302" s="39" t="s">
        <v>1035</v>
      </c>
      <c r="N302" s="40">
        <v>649.91</v>
      </c>
      <c r="O302" s="40">
        <v>1360.12</v>
      </c>
      <c r="P302" s="30" t="str">
        <f t="shared" si="38"/>
        <v>Medium</v>
      </c>
      <c r="Q302" s="44">
        <v>0.19400000000000001</v>
      </c>
      <c r="R302" s="42" t="str">
        <f t="shared" si="39"/>
        <v>Medium</v>
      </c>
      <c r="S302" s="16">
        <v>9</v>
      </c>
      <c r="T302" s="30">
        <v>9866.3104799999983</v>
      </c>
      <c r="U302" s="30">
        <v>5849.19</v>
      </c>
      <c r="V302" s="30">
        <v>4017.1204799999987</v>
      </c>
      <c r="W302" s="30">
        <v>0.40715528749506769</v>
      </c>
      <c r="X302" t="str">
        <f t="shared" si="40"/>
        <v>Delayed</v>
      </c>
      <c r="Y302" t="str">
        <f t="shared" si="41"/>
        <v>Compliant Discount</v>
      </c>
      <c r="Z302" s="9">
        <f>MIN(Q302,'Scenario Modelling'!$B$2)</f>
        <v>0.19400000000000001</v>
      </c>
      <c r="AA302">
        <f t="shared" si="42"/>
        <v>1096.2567200000001</v>
      </c>
      <c r="AB302">
        <f>N302*(1+'Scenario Modelling'!$B$3)</f>
        <v>714.90100000000007</v>
      </c>
      <c r="AC302">
        <f>ROUNDUP(S302*(1+'Scenario Modelling'!$B$4),0)</f>
        <v>10</v>
      </c>
      <c r="AD302">
        <f t="shared" si="43"/>
        <v>10962.567200000001</v>
      </c>
      <c r="AE302">
        <f t="shared" si="44"/>
        <v>3813.5572000000002</v>
      </c>
    </row>
    <row r="303" spans="1:31" x14ac:dyDescent="0.3">
      <c r="A303" s="31" t="s">
        <v>316</v>
      </c>
      <c r="B303" s="48">
        <v>45125</v>
      </c>
      <c r="C303" s="47" t="str">
        <f t="shared" si="37"/>
        <v>Q3-2023</v>
      </c>
      <c r="D303" s="32">
        <v>45129</v>
      </c>
      <c r="E303" s="17">
        <f t="shared" si="36"/>
        <v>4</v>
      </c>
      <c r="F303" s="33" t="s">
        <v>648</v>
      </c>
      <c r="G303" s="33" t="s">
        <v>655</v>
      </c>
      <c r="H303" s="33" t="s">
        <v>670</v>
      </c>
      <c r="I303" s="33" t="s">
        <v>704</v>
      </c>
      <c r="J303" s="33" t="s">
        <v>711</v>
      </c>
      <c r="K303" s="33" t="s">
        <v>721</v>
      </c>
      <c r="L303" s="33" t="s">
        <v>729</v>
      </c>
      <c r="M303" s="34" t="s">
        <v>1036</v>
      </c>
      <c r="N303" s="35">
        <v>1269.55</v>
      </c>
      <c r="O303" s="35">
        <v>2071.1</v>
      </c>
      <c r="P303" s="30" t="str">
        <f t="shared" si="38"/>
        <v>High</v>
      </c>
      <c r="Q303" s="43">
        <v>0.129</v>
      </c>
      <c r="R303" s="42" t="str">
        <f t="shared" si="39"/>
        <v>Medium</v>
      </c>
      <c r="S303" s="17">
        <v>22</v>
      </c>
      <c r="T303" s="30">
        <v>39686.4182</v>
      </c>
      <c r="U303" s="30">
        <v>27930.1</v>
      </c>
      <c r="V303" s="30">
        <v>11756.318200000002</v>
      </c>
      <c r="W303" s="30">
        <v>0.29623026549672354</v>
      </c>
      <c r="X303" t="str">
        <f t="shared" si="40"/>
        <v>On-time</v>
      </c>
      <c r="Y303" t="str">
        <f t="shared" si="41"/>
        <v>Compliant Discount</v>
      </c>
      <c r="Z303" s="9">
        <f>MIN(Q303,'Scenario Modelling'!$B$2)</f>
        <v>0.129</v>
      </c>
      <c r="AA303">
        <f t="shared" si="42"/>
        <v>1803.9280999999999</v>
      </c>
      <c r="AB303">
        <f>N303*(1+'Scenario Modelling'!$B$3)</f>
        <v>1396.5050000000001</v>
      </c>
      <c r="AC303">
        <f>ROUNDUP(S303*(1+'Scenario Modelling'!$B$4),0)</f>
        <v>24</v>
      </c>
      <c r="AD303">
        <f t="shared" si="43"/>
        <v>43294.274399999995</v>
      </c>
      <c r="AE303">
        <f t="shared" si="44"/>
        <v>9778.154399999994</v>
      </c>
    </row>
    <row r="304" spans="1:31" x14ac:dyDescent="0.3">
      <c r="A304" s="36" t="s">
        <v>317</v>
      </c>
      <c r="B304" s="49">
        <v>45830</v>
      </c>
      <c r="C304" s="47" t="str">
        <f t="shared" si="37"/>
        <v>Q2-2025</v>
      </c>
      <c r="D304" s="37">
        <v>45846</v>
      </c>
      <c r="E304" s="16">
        <f t="shared" si="36"/>
        <v>16</v>
      </c>
      <c r="F304" s="38" t="s">
        <v>649</v>
      </c>
      <c r="G304" s="38" t="s">
        <v>658</v>
      </c>
      <c r="H304" s="38" t="s">
        <v>683</v>
      </c>
      <c r="I304" s="38" t="s">
        <v>702</v>
      </c>
      <c r="J304" s="38" t="s">
        <v>711</v>
      </c>
      <c r="K304" s="38" t="s">
        <v>720</v>
      </c>
      <c r="L304" s="38" t="s">
        <v>730</v>
      </c>
      <c r="M304" s="39" t="s">
        <v>1037</v>
      </c>
      <c r="N304" s="40">
        <v>892.73</v>
      </c>
      <c r="O304" s="40">
        <v>979.84</v>
      </c>
      <c r="P304" s="30" t="str">
        <f t="shared" si="38"/>
        <v>Medium</v>
      </c>
      <c r="Q304" s="44">
        <v>0.17399999999999999</v>
      </c>
      <c r="R304" s="42" t="str">
        <f t="shared" si="39"/>
        <v>Medium</v>
      </c>
      <c r="S304" s="16">
        <v>10</v>
      </c>
      <c r="T304" s="30">
        <v>8093.4784</v>
      </c>
      <c r="U304" s="30">
        <v>8927.2999999999993</v>
      </c>
      <c r="V304" s="30">
        <v>-833.82159999999931</v>
      </c>
      <c r="W304" s="30">
        <v>-0.10302388649112838</v>
      </c>
      <c r="X304" t="str">
        <f t="shared" si="40"/>
        <v>Delayed</v>
      </c>
      <c r="Y304" t="str">
        <f t="shared" si="41"/>
        <v>Compliant Discount</v>
      </c>
      <c r="Z304" s="9">
        <f>MIN(Q304,'Scenario Modelling'!$B$2)</f>
        <v>0.17399999999999999</v>
      </c>
      <c r="AA304">
        <f t="shared" si="42"/>
        <v>809.34784000000013</v>
      </c>
      <c r="AB304">
        <f>N304*(1+'Scenario Modelling'!$B$3)</f>
        <v>982.00300000000004</v>
      </c>
      <c r="AC304">
        <f>ROUNDUP(S304*(1+'Scenario Modelling'!$B$4),0)</f>
        <v>11</v>
      </c>
      <c r="AD304">
        <f t="shared" si="43"/>
        <v>8902.8262400000021</v>
      </c>
      <c r="AE304">
        <f t="shared" si="44"/>
        <v>-1899.2067599999991</v>
      </c>
    </row>
    <row r="305" spans="1:31" x14ac:dyDescent="0.3">
      <c r="A305" s="31" t="s">
        <v>318</v>
      </c>
      <c r="B305" s="48">
        <v>45462</v>
      </c>
      <c r="C305" s="47" t="str">
        <f t="shared" si="37"/>
        <v>Q2-2024</v>
      </c>
      <c r="D305" s="32">
        <v>45463</v>
      </c>
      <c r="E305" s="17">
        <f t="shared" si="36"/>
        <v>1</v>
      </c>
      <c r="F305" s="33" t="s">
        <v>646</v>
      </c>
      <c r="G305" s="33" t="s">
        <v>650</v>
      </c>
      <c r="H305" s="33" t="s">
        <v>662</v>
      </c>
      <c r="I305" s="33" t="s">
        <v>705</v>
      </c>
      <c r="J305" s="33" t="s">
        <v>711</v>
      </c>
      <c r="K305" s="33" t="s">
        <v>713</v>
      </c>
      <c r="L305" s="33" t="s">
        <v>731</v>
      </c>
      <c r="M305" s="34" t="s">
        <v>1038</v>
      </c>
      <c r="N305" s="35">
        <v>231.63</v>
      </c>
      <c r="O305" s="35">
        <v>537.39</v>
      </c>
      <c r="P305" s="30" t="str">
        <f t="shared" si="38"/>
        <v>Low</v>
      </c>
      <c r="Q305" s="43">
        <v>0.08</v>
      </c>
      <c r="R305" s="42" t="str">
        <f t="shared" si="39"/>
        <v>Low</v>
      </c>
      <c r="S305" s="17">
        <v>12</v>
      </c>
      <c r="T305" s="30">
        <v>5932.7856000000002</v>
      </c>
      <c r="U305" s="30">
        <v>2779.56</v>
      </c>
      <c r="V305" s="30">
        <v>3153.2256000000002</v>
      </c>
      <c r="W305" s="30">
        <v>0.53149158129024587</v>
      </c>
      <c r="X305" t="str">
        <f t="shared" si="40"/>
        <v>On-time</v>
      </c>
      <c r="Y305" t="str">
        <f t="shared" si="41"/>
        <v>Compliant Discount</v>
      </c>
      <c r="Z305" s="9">
        <f>MIN(Q305,'Scenario Modelling'!$B$2)</f>
        <v>0.08</v>
      </c>
      <c r="AA305">
        <f t="shared" si="42"/>
        <v>494.39879999999999</v>
      </c>
      <c r="AB305">
        <f>N305*(1+'Scenario Modelling'!$B$3)</f>
        <v>254.79300000000001</v>
      </c>
      <c r="AC305">
        <f>ROUNDUP(S305*(1+'Scenario Modelling'!$B$4),0)</f>
        <v>13</v>
      </c>
      <c r="AD305">
        <f t="shared" si="43"/>
        <v>6427.1844000000001</v>
      </c>
      <c r="AE305">
        <f t="shared" si="44"/>
        <v>3114.8753999999999</v>
      </c>
    </row>
    <row r="306" spans="1:31" x14ac:dyDescent="0.3">
      <c r="A306" s="36" t="s">
        <v>319</v>
      </c>
      <c r="B306" s="49">
        <v>45756</v>
      </c>
      <c r="C306" s="47" t="str">
        <f t="shared" si="37"/>
        <v>Q2-2025</v>
      </c>
      <c r="D306" s="37">
        <v>45759</v>
      </c>
      <c r="E306" s="16">
        <f t="shared" si="36"/>
        <v>3</v>
      </c>
      <c r="F306" s="38" t="s">
        <v>649</v>
      </c>
      <c r="G306" s="38" t="s">
        <v>657</v>
      </c>
      <c r="H306" s="38" t="s">
        <v>679</v>
      </c>
      <c r="I306" s="38" t="s">
        <v>705</v>
      </c>
      <c r="J306" s="38" t="s">
        <v>710</v>
      </c>
      <c r="K306" s="38" t="s">
        <v>722</v>
      </c>
      <c r="L306" s="38" t="s">
        <v>732</v>
      </c>
      <c r="M306" s="39" t="s">
        <v>1039</v>
      </c>
      <c r="N306" s="40">
        <v>86.68</v>
      </c>
      <c r="O306" s="40">
        <v>213.32</v>
      </c>
      <c r="P306" s="30" t="str">
        <f t="shared" si="38"/>
        <v>Low</v>
      </c>
      <c r="Q306" s="44">
        <v>3.7999999999999999E-2</v>
      </c>
      <c r="R306" s="42" t="str">
        <f t="shared" si="39"/>
        <v>Low</v>
      </c>
      <c r="S306" s="16">
        <v>8</v>
      </c>
      <c r="T306" s="30">
        <v>1641.7107199999998</v>
      </c>
      <c r="U306" s="30">
        <v>693.44</v>
      </c>
      <c r="V306" s="30">
        <v>948.27071999999976</v>
      </c>
      <c r="W306" s="30">
        <v>0.57761133459614611</v>
      </c>
      <c r="X306" t="str">
        <f t="shared" si="40"/>
        <v>On-time</v>
      </c>
      <c r="Y306" t="str">
        <f t="shared" si="41"/>
        <v>Compliant Discount</v>
      </c>
      <c r="Z306" s="9">
        <f>MIN(Q306,'Scenario Modelling'!$B$2)</f>
        <v>3.7999999999999999E-2</v>
      </c>
      <c r="AA306">
        <f t="shared" si="42"/>
        <v>205.21383999999998</v>
      </c>
      <c r="AB306">
        <f>N306*(1+'Scenario Modelling'!$B$3)</f>
        <v>95.348000000000013</v>
      </c>
      <c r="AC306">
        <f>ROUNDUP(S306*(1+'Scenario Modelling'!$B$4),0)</f>
        <v>9</v>
      </c>
      <c r="AD306">
        <f t="shared" si="43"/>
        <v>1846.9245599999997</v>
      </c>
      <c r="AE306">
        <f t="shared" si="44"/>
        <v>988.79255999999964</v>
      </c>
    </row>
    <row r="307" spans="1:31" x14ac:dyDescent="0.3">
      <c r="A307" s="31" t="s">
        <v>320</v>
      </c>
      <c r="B307" s="48">
        <v>45741</v>
      </c>
      <c r="C307" s="47" t="str">
        <f t="shared" si="37"/>
        <v>Q1-2025</v>
      </c>
      <c r="D307" s="32">
        <v>45742</v>
      </c>
      <c r="E307" s="17">
        <f t="shared" si="36"/>
        <v>1</v>
      </c>
      <c r="F307" s="33" t="s">
        <v>646</v>
      </c>
      <c r="G307" s="33" t="s">
        <v>651</v>
      </c>
      <c r="H307" s="33" t="s">
        <v>665</v>
      </c>
      <c r="I307" s="33" t="s">
        <v>702</v>
      </c>
      <c r="J307" s="33" t="s">
        <v>710</v>
      </c>
      <c r="K307" s="33" t="s">
        <v>715</v>
      </c>
      <c r="L307" s="33" t="s">
        <v>733</v>
      </c>
      <c r="M307" s="34" t="s">
        <v>1040</v>
      </c>
      <c r="N307" s="35">
        <v>1450.43</v>
      </c>
      <c r="O307" s="35">
        <v>1994.67</v>
      </c>
      <c r="P307" s="30" t="str">
        <f t="shared" si="38"/>
        <v>High</v>
      </c>
      <c r="Q307" s="43">
        <v>0.1</v>
      </c>
      <c r="R307" s="42" t="str">
        <f t="shared" si="39"/>
        <v>Low</v>
      </c>
      <c r="S307" s="17">
        <v>24</v>
      </c>
      <c r="T307" s="30">
        <v>43084.872000000003</v>
      </c>
      <c r="U307" s="30">
        <v>34810.32</v>
      </c>
      <c r="V307" s="30">
        <v>8274.5520000000033</v>
      </c>
      <c r="W307" s="30">
        <v>0.19205237513529116</v>
      </c>
      <c r="X307" t="str">
        <f t="shared" si="40"/>
        <v>On-time</v>
      </c>
      <c r="Y307" t="str">
        <f t="shared" si="41"/>
        <v>Compliant Discount</v>
      </c>
      <c r="Z307" s="9">
        <f>MIN(Q307,'Scenario Modelling'!$B$2)</f>
        <v>0.1</v>
      </c>
      <c r="AA307">
        <f t="shared" si="42"/>
        <v>1795.2030000000002</v>
      </c>
      <c r="AB307">
        <f>N307*(1+'Scenario Modelling'!$B$3)</f>
        <v>1595.4730000000002</v>
      </c>
      <c r="AC307">
        <f>ROUNDUP(S307*(1+'Scenario Modelling'!$B$4),0)</f>
        <v>26</v>
      </c>
      <c r="AD307">
        <f t="shared" si="43"/>
        <v>46675.278000000006</v>
      </c>
      <c r="AE307">
        <f t="shared" si="44"/>
        <v>5192.9800000000005</v>
      </c>
    </row>
    <row r="308" spans="1:31" x14ac:dyDescent="0.3">
      <c r="A308" s="36" t="s">
        <v>321</v>
      </c>
      <c r="B308" s="49">
        <v>45795</v>
      </c>
      <c r="C308" s="47" t="str">
        <f t="shared" si="37"/>
        <v>Q2-2025</v>
      </c>
      <c r="D308" s="37">
        <v>45817</v>
      </c>
      <c r="E308" s="16">
        <f t="shared" si="36"/>
        <v>22</v>
      </c>
      <c r="F308" s="38" t="s">
        <v>648</v>
      </c>
      <c r="G308" s="38" t="s">
        <v>660</v>
      </c>
      <c r="H308" s="38" t="s">
        <v>700</v>
      </c>
      <c r="I308" s="38" t="s">
        <v>704</v>
      </c>
      <c r="J308" s="38" t="s">
        <v>707</v>
      </c>
      <c r="K308" s="38" t="s">
        <v>722</v>
      </c>
      <c r="L308" s="38" t="s">
        <v>729</v>
      </c>
      <c r="M308" s="39" t="s">
        <v>1041</v>
      </c>
      <c r="N308" s="40">
        <v>382.96</v>
      </c>
      <c r="O308" s="40">
        <v>552.84</v>
      </c>
      <c r="P308" s="30" t="str">
        <f t="shared" si="38"/>
        <v>Low</v>
      </c>
      <c r="Q308" s="44">
        <v>0.17599999999999999</v>
      </c>
      <c r="R308" s="42" t="str">
        <f t="shared" si="39"/>
        <v>Medium</v>
      </c>
      <c r="S308" s="16">
        <v>8</v>
      </c>
      <c r="T308" s="30">
        <v>3644.3212800000006</v>
      </c>
      <c r="U308" s="30">
        <v>3063.68</v>
      </c>
      <c r="V308" s="30">
        <v>580.64128000000073</v>
      </c>
      <c r="W308" s="30">
        <v>0.15932768693763483</v>
      </c>
      <c r="X308" t="str">
        <f t="shared" si="40"/>
        <v>Delayed</v>
      </c>
      <c r="Y308" t="str">
        <f t="shared" si="41"/>
        <v>Compliant Discount</v>
      </c>
      <c r="Z308" s="9">
        <f>MIN(Q308,'Scenario Modelling'!$B$2)</f>
        <v>0.17599999999999999</v>
      </c>
      <c r="AA308">
        <f t="shared" si="42"/>
        <v>455.54016000000007</v>
      </c>
      <c r="AB308">
        <f>N308*(1+'Scenario Modelling'!$B$3)</f>
        <v>421.25600000000003</v>
      </c>
      <c r="AC308">
        <f>ROUNDUP(S308*(1+'Scenario Modelling'!$B$4),0)</f>
        <v>9</v>
      </c>
      <c r="AD308">
        <f t="shared" si="43"/>
        <v>4099.8614400000006</v>
      </c>
      <c r="AE308">
        <f t="shared" si="44"/>
        <v>308.55744000000038</v>
      </c>
    </row>
    <row r="309" spans="1:31" x14ac:dyDescent="0.3">
      <c r="A309" s="31" t="s">
        <v>322</v>
      </c>
      <c r="B309" s="48">
        <v>45679</v>
      </c>
      <c r="C309" s="47" t="str">
        <f t="shared" si="37"/>
        <v>Q1-2025</v>
      </c>
      <c r="D309" s="32">
        <v>45692</v>
      </c>
      <c r="E309" s="17">
        <f t="shared" si="36"/>
        <v>13</v>
      </c>
      <c r="F309" s="33" t="s">
        <v>647</v>
      </c>
      <c r="G309" s="33" t="s">
        <v>652</v>
      </c>
      <c r="H309" s="33" t="s">
        <v>689</v>
      </c>
      <c r="I309" s="33" t="s">
        <v>705</v>
      </c>
      <c r="J309" s="33" t="s">
        <v>710</v>
      </c>
      <c r="K309" s="33" t="s">
        <v>716</v>
      </c>
      <c r="L309" s="33" t="s">
        <v>728</v>
      </c>
      <c r="M309" s="34" t="s">
        <v>1042</v>
      </c>
      <c r="N309" s="35">
        <v>122.29</v>
      </c>
      <c r="O309" s="35">
        <v>224.95</v>
      </c>
      <c r="P309" s="30" t="str">
        <f t="shared" si="38"/>
        <v>Low</v>
      </c>
      <c r="Q309" s="43">
        <v>0.153</v>
      </c>
      <c r="R309" s="42" t="str">
        <f t="shared" si="39"/>
        <v>Medium</v>
      </c>
      <c r="S309" s="17">
        <v>28</v>
      </c>
      <c r="T309" s="30">
        <v>5334.9141999999993</v>
      </c>
      <c r="U309" s="30">
        <v>3424.1200000000003</v>
      </c>
      <c r="V309" s="30">
        <v>1910.7941999999989</v>
      </c>
      <c r="W309" s="30">
        <v>0.3581677471026618</v>
      </c>
      <c r="X309" t="str">
        <f t="shared" si="40"/>
        <v>Delayed</v>
      </c>
      <c r="Y309" t="str">
        <f t="shared" si="41"/>
        <v>Compliant Discount</v>
      </c>
      <c r="Z309" s="9">
        <f>MIN(Q309,'Scenario Modelling'!$B$2)</f>
        <v>0.153</v>
      </c>
      <c r="AA309">
        <f t="shared" si="42"/>
        <v>190.53264999999999</v>
      </c>
      <c r="AB309">
        <f>N309*(1+'Scenario Modelling'!$B$3)</f>
        <v>134.51900000000001</v>
      </c>
      <c r="AC309">
        <f>ROUNDUP(S309*(1+'Scenario Modelling'!$B$4),0)</f>
        <v>30</v>
      </c>
      <c r="AD309">
        <f t="shared" si="43"/>
        <v>5715.9794999999995</v>
      </c>
      <c r="AE309">
        <f t="shared" si="44"/>
        <v>1680.4094999999995</v>
      </c>
    </row>
    <row r="310" spans="1:31" x14ac:dyDescent="0.3">
      <c r="A310" s="36" t="s">
        <v>323</v>
      </c>
      <c r="B310" s="49">
        <v>44936</v>
      </c>
      <c r="C310" s="47" t="str">
        <f t="shared" si="37"/>
        <v>Q1-2023</v>
      </c>
      <c r="D310" s="37">
        <v>44955</v>
      </c>
      <c r="E310" s="16">
        <f t="shared" si="36"/>
        <v>19</v>
      </c>
      <c r="F310" s="38" t="s">
        <v>649</v>
      </c>
      <c r="G310" s="38" t="s">
        <v>657</v>
      </c>
      <c r="H310" s="38" t="s">
        <v>679</v>
      </c>
      <c r="I310" s="38" t="s">
        <v>703</v>
      </c>
      <c r="J310" s="38" t="s">
        <v>711</v>
      </c>
      <c r="K310" s="38" t="s">
        <v>726</v>
      </c>
      <c r="L310" s="38" t="s">
        <v>731</v>
      </c>
      <c r="M310" s="39" t="s">
        <v>1043</v>
      </c>
      <c r="N310" s="40">
        <v>401.66</v>
      </c>
      <c r="O310" s="40">
        <v>772.09</v>
      </c>
      <c r="P310" s="30" t="str">
        <f t="shared" si="38"/>
        <v>Low</v>
      </c>
      <c r="Q310" s="44">
        <v>8.8999999999999996E-2</v>
      </c>
      <c r="R310" s="42" t="str">
        <f t="shared" si="39"/>
        <v>Low</v>
      </c>
      <c r="S310" s="16">
        <v>14</v>
      </c>
      <c r="T310" s="30">
        <v>9847.2358600000007</v>
      </c>
      <c r="U310" s="30">
        <v>5623.2400000000007</v>
      </c>
      <c r="V310" s="30">
        <v>4223.99586</v>
      </c>
      <c r="W310" s="30">
        <v>0.42895244107619046</v>
      </c>
      <c r="X310" t="str">
        <f t="shared" si="40"/>
        <v>Delayed</v>
      </c>
      <c r="Y310" t="str">
        <f t="shared" si="41"/>
        <v>Compliant Discount</v>
      </c>
      <c r="Z310" s="9">
        <f>MIN(Q310,'Scenario Modelling'!$B$2)</f>
        <v>8.8999999999999996E-2</v>
      </c>
      <c r="AA310">
        <f t="shared" si="42"/>
        <v>703.37399000000005</v>
      </c>
      <c r="AB310">
        <f>N310*(1+'Scenario Modelling'!$B$3)</f>
        <v>441.82600000000008</v>
      </c>
      <c r="AC310">
        <f>ROUNDUP(S310*(1+'Scenario Modelling'!$B$4),0)</f>
        <v>15</v>
      </c>
      <c r="AD310">
        <f t="shared" si="43"/>
        <v>10550.609850000001</v>
      </c>
      <c r="AE310">
        <f t="shared" si="44"/>
        <v>3923.2198499999995</v>
      </c>
    </row>
    <row r="311" spans="1:31" x14ac:dyDescent="0.3">
      <c r="A311" s="31" t="s">
        <v>324</v>
      </c>
      <c r="B311" s="48">
        <v>45655</v>
      </c>
      <c r="C311" s="47" t="str">
        <f t="shared" si="37"/>
        <v>Q4-2024</v>
      </c>
      <c r="D311" s="32">
        <v>45669</v>
      </c>
      <c r="E311" s="17">
        <f t="shared" si="36"/>
        <v>14</v>
      </c>
      <c r="F311" s="33" t="s">
        <v>649</v>
      </c>
      <c r="G311" s="33" t="s">
        <v>658</v>
      </c>
      <c r="H311" s="33" t="s">
        <v>693</v>
      </c>
      <c r="I311" s="33" t="s">
        <v>701</v>
      </c>
      <c r="J311" s="33" t="s">
        <v>711</v>
      </c>
      <c r="K311" s="33" t="s">
        <v>717</v>
      </c>
      <c r="L311" s="33" t="s">
        <v>732</v>
      </c>
      <c r="M311" s="34" t="s">
        <v>1044</v>
      </c>
      <c r="N311" s="35">
        <v>1399.72</v>
      </c>
      <c r="O311" s="35">
        <v>3149.21</v>
      </c>
      <c r="P311" s="30" t="str">
        <f t="shared" si="38"/>
        <v>High</v>
      </c>
      <c r="Q311" s="43">
        <v>0.185</v>
      </c>
      <c r="R311" s="42" t="str">
        <f t="shared" si="39"/>
        <v>Medium</v>
      </c>
      <c r="S311" s="17">
        <v>12</v>
      </c>
      <c r="T311" s="30">
        <v>30799.273800000003</v>
      </c>
      <c r="U311" s="30">
        <v>16796.64</v>
      </c>
      <c r="V311" s="30">
        <v>14002.633800000003</v>
      </c>
      <c r="W311" s="30">
        <v>0.45464168703873797</v>
      </c>
      <c r="X311" t="str">
        <f t="shared" si="40"/>
        <v>Delayed</v>
      </c>
      <c r="Y311" t="str">
        <f t="shared" si="41"/>
        <v>Compliant Discount</v>
      </c>
      <c r="Z311" s="9">
        <f>MIN(Q311,'Scenario Modelling'!$B$2)</f>
        <v>0.185</v>
      </c>
      <c r="AA311">
        <f t="shared" si="42"/>
        <v>2566.6061500000001</v>
      </c>
      <c r="AB311">
        <f>N311*(1+'Scenario Modelling'!$B$3)</f>
        <v>1539.6920000000002</v>
      </c>
      <c r="AC311">
        <f>ROUNDUP(S311*(1+'Scenario Modelling'!$B$4),0)</f>
        <v>13</v>
      </c>
      <c r="AD311">
        <f t="shared" si="43"/>
        <v>33365.879950000002</v>
      </c>
      <c r="AE311">
        <f t="shared" si="44"/>
        <v>13349.883949999998</v>
      </c>
    </row>
    <row r="312" spans="1:31" x14ac:dyDescent="0.3">
      <c r="A312" s="36" t="s">
        <v>325</v>
      </c>
      <c r="B312" s="49">
        <v>45435</v>
      </c>
      <c r="C312" s="47" t="str">
        <f t="shared" si="37"/>
        <v>Q2-2024</v>
      </c>
      <c r="D312" s="37">
        <v>45449</v>
      </c>
      <c r="E312" s="16">
        <f t="shared" si="36"/>
        <v>14</v>
      </c>
      <c r="F312" s="38" t="s">
        <v>648</v>
      </c>
      <c r="G312" s="38" t="s">
        <v>655</v>
      </c>
      <c r="H312" s="38" t="s">
        <v>692</v>
      </c>
      <c r="I312" s="38" t="s">
        <v>703</v>
      </c>
      <c r="J312" s="38" t="s">
        <v>708</v>
      </c>
      <c r="K312" s="38" t="s">
        <v>714</v>
      </c>
      <c r="L312" s="38" t="s">
        <v>729</v>
      </c>
      <c r="M312" s="39" t="s">
        <v>1045</v>
      </c>
      <c r="N312" s="40">
        <v>51.13</v>
      </c>
      <c r="O312" s="40">
        <v>57.53</v>
      </c>
      <c r="P312" s="30" t="str">
        <f t="shared" si="38"/>
        <v>Low</v>
      </c>
      <c r="Q312" s="44">
        <v>4.4999999999999998E-2</v>
      </c>
      <c r="R312" s="42" t="str">
        <f t="shared" si="39"/>
        <v>Low</v>
      </c>
      <c r="S312" s="16">
        <v>16</v>
      </c>
      <c r="T312" s="30">
        <v>879.05840000000001</v>
      </c>
      <c r="U312" s="30">
        <v>818.08</v>
      </c>
      <c r="V312" s="30">
        <v>60.978399999999965</v>
      </c>
      <c r="W312" s="30">
        <v>6.9367859973808302E-2</v>
      </c>
      <c r="X312" t="str">
        <f t="shared" si="40"/>
        <v>Delayed</v>
      </c>
      <c r="Y312" t="str">
        <f t="shared" si="41"/>
        <v>Compliant Discount</v>
      </c>
      <c r="Z312" s="9">
        <f>MIN(Q312,'Scenario Modelling'!$B$2)</f>
        <v>4.4999999999999998E-2</v>
      </c>
      <c r="AA312">
        <f t="shared" si="42"/>
        <v>54.94115</v>
      </c>
      <c r="AB312">
        <f>N312*(1+'Scenario Modelling'!$B$3)</f>
        <v>56.243000000000009</v>
      </c>
      <c r="AC312">
        <f>ROUNDUP(S312*(1+'Scenario Modelling'!$B$4),0)</f>
        <v>17</v>
      </c>
      <c r="AD312">
        <f t="shared" si="43"/>
        <v>933.99955</v>
      </c>
      <c r="AE312">
        <f t="shared" si="44"/>
        <v>-22.13145000000015</v>
      </c>
    </row>
    <row r="313" spans="1:31" x14ac:dyDescent="0.3">
      <c r="A313" s="31" t="s">
        <v>326</v>
      </c>
      <c r="B313" s="48">
        <v>45101</v>
      </c>
      <c r="C313" s="47" t="str">
        <f t="shared" si="37"/>
        <v>Q2-2023</v>
      </c>
      <c r="D313" s="32">
        <v>45108</v>
      </c>
      <c r="E313" s="17">
        <f t="shared" si="36"/>
        <v>7</v>
      </c>
      <c r="F313" s="33" t="s">
        <v>648</v>
      </c>
      <c r="G313" s="33" t="s">
        <v>653</v>
      </c>
      <c r="H313" s="33" t="s">
        <v>667</v>
      </c>
      <c r="I313" s="33" t="s">
        <v>703</v>
      </c>
      <c r="J313" s="33" t="s">
        <v>707</v>
      </c>
      <c r="K313" s="33" t="s">
        <v>724</v>
      </c>
      <c r="L313" s="33" t="s">
        <v>733</v>
      </c>
      <c r="M313" s="34" t="s">
        <v>1046</v>
      </c>
      <c r="N313" s="35">
        <v>471.42</v>
      </c>
      <c r="O313" s="35">
        <v>824.81</v>
      </c>
      <c r="P313" s="30" t="str">
        <f t="shared" si="38"/>
        <v>Low</v>
      </c>
      <c r="Q313" s="43">
        <v>8.7999999999999995E-2</v>
      </c>
      <c r="R313" s="42" t="str">
        <f t="shared" si="39"/>
        <v>Low</v>
      </c>
      <c r="S313" s="17">
        <v>15</v>
      </c>
      <c r="T313" s="30">
        <v>11283.400799999999</v>
      </c>
      <c r="U313" s="30">
        <v>7071.3</v>
      </c>
      <c r="V313" s="30">
        <v>4212.1007999999993</v>
      </c>
      <c r="W313" s="30">
        <v>0.37330064531608231</v>
      </c>
      <c r="X313" t="str">
        <f t="shared" si="40"/>
        <v>On-time</v>
      </c>
      <c r="Y313" t="str">
        <f t="shared" si="41"/>
        <v>Compliant Discount</v>
      </c>
      <c r="Z313" s="9">
        <f>MIN(Q313,'Scenario Modelling'!$B$2)</f>
        <v>8.7999999999999995E-2</v>
      </c>
      <c r="AA313">
        <f t="shared" si="42"/>
        <v>752.22672</v>
      </c>
      <c r="AB313">
        <f>N313*(1+'Scenario Modelling'!$B$3)</f>
        <v>518.56200000000001</v>
      </c>
      <c r="AC313">
        <f>ROUNDUP(S313*(1+'Scenario Modelling'!$B$4),0)</f>
        <v>16</v>
      </c>
      <c r="AD313">
        <f t="shared" si="43"/>
        <v>12035.62752</v>
      </c>
      <c r="AE313">
        <f t="shared" si="44"/>
        <v>3738.6355199999998</v>
      </c>
    </row>
    <row r="314" spans="1:31" x14ac:dyDescent="0.3">
      <c r="A314" s="36" t="s">
        <v>327</v>
      </c>
      <c r="B314" s="49">
        <v>45600</v>
      </c>
      <c r="C314" s="47" t="str">
        <f t="shared" si="37"/>
        <v>Q4-2024</v>
      </c>
      <c r="D314" s="37">
        <v>45601</v>
      </c>
      <c r="E314" s="16">
        <f t="shared" si="36"/>
        <v>1</v>
      </c>
      <c r="F314" s="38" t="s">
        <v>649</v>
      </c>
      <c r="G314" s="38" t="s">
        <v>658</v>
      </c>
      <c r="H314" s="38" t="s">
        <v>683</v>
      </c>
      <c r="I314" s="38" t="s">
        <v>701</v>
      </c>
      <c r="J314" s="38" t="s">
        <v>707</v>
      </c>
      <c r="K314" s="38" t="s">
        <v>724</v>
      </c>
      <c r="L314" s="38" t="s">
        <v>728</v>
      </c>
      <c r="M314" s="39" t="s">
        <v>1047</v>
      </c>
      <c r="N314" s="40">
        <v>840.68</v>
      </c>
      <c r="O314" s="40">
        <v>1493.53</v>
      </c>
      <c r="P314" s="30" t="str">
        <f t="shared" si="38"/>
        <v>Medium</v>
      </c>
      <c r="Q314" s="44">
        <v>0</v>
      </c>
      <c r="R314" s="42" t="str">
        <f t="shared" si="39"/>
        <v>Low</v>
      </c>
      <c r="S314" s="16">
        <v>27</v>
      </c>
      <c r="T314" s="30">
        <v>40325.31</v>
      </c>
      <c r="U314" s="30">
        <v>22698.359999999997</v>
      </c>
      <c r="V314" s="30">
        <v>17626.95</v>
      </c>
      <c r="W314" s="30">
        <v>0.43711877230454027</v>
      </c>
      <c r="X314" t="str">
        <f t="shared" si="40"/>
        <v>On-time</v>
      </c>
      <c r="Y314" t="str">
        <f t="shared" si="41"/>
        <v>Compliant Discount</v>
      </c>
      <c r="Z314" s="9">
        <f>MIN(Q314,'Scenario Modelling'!$B$2)</f>
        <v>0</v>
      </c>
      <c r="AA314">
        <f t="shared" si="42"/>
        <v>1493.53</v>
      </c>
      <c r="AB314">
        <f>N314*(1+'Scenario Modelling'!$B$3)</f>
        <v>924.74800000000005</v>
      </c>
      <c r="AC314">
        <f>ROUNDUP(S314*(1+'Scenario Modelling'!$B$4),0)</f>
        <v>29</v>
      </c>
      <c r="AD314">
        <f t="shared" si="43"/>
        <v>43312.37</v>
      </c>
      <c r="AE314">
        <f t="shared" si="44"/>
        <v>16494.677999999996</v>
      </c>
    </row>
    <row r="315" spans="1:31" x14ac:dyDescent="0.3">
      <c r="A315" s="31" t="s">
        <v>328</v>
      </c>
      <c r="B315" s="48">
        <v>45451</v>
      </c>
      <c r="C315" s="47" t="str">
        <f t="shared" si="37"/>
        <v>Q2-2024</v>
      </c>
      <c r="D315" s="32">
        <v>45467</v>
      </c>
      <c r="E315" s="17">
        <f t="shared" si="36"/>
        <v>16</v>
      </c>
      <c r="F315" s="33" t="s">
        <v>646</v>
      </c>
      <c r="G315" s="33" t="s">
        <v>661</v>
      </c>
      <c r="H315" s="33" t="s">
        <v>687</v>
      </c>
      <c r="I315" s="33" t="s">
        <v>702</v>
      </c>
      <c r="J315" s="33" t="s">
        <v>710</v>
      </c>
      <c r="K315" s="33" t="s">
        <v>722</v>
      </c>
      <c r="L315" s="33" t="s">
        <v>732</v>
      </c>
      <c r="M315" s="34" t="s">
        <v>1048</v>
      </c>
      <c r="N315" s="35">
        <v>597.85</v>
      </c>
      <c r="O315" s="35">
        <v>741.92</v>
      </c>
      <c r="P315" s="30" t="str">
        <f t="shared" si="38"/>
        <v>Low</v>
      </c>
      <c r="Q315" s="43">
        <v>3.1E-2</v>
      </c>
      <c r="R315" s="42" t="str">
        <f t="shared" si="39"/>
        <v>Low</v>
      </c>
      <c r="S315" s="17">
        <v>7</v>
      </c>
      <c r="T315" s="30">
        <v>5032.4433599999993</v>
      </c>
      <c r="U315" s="30">
        <v>4184.95</v>
      </c>
      <c r="V315" s="30">
        <v>847.49335999999948</v>
      </c>
      <c r="W315" s="30">
        <v>0.16840594108544515</v>
      </c>
      <c r="X315" t="str">
        <f t="shared" si="40"/>
        <v>Delayed</v>
      </c>
      <c r="Y315" t="str">
        <f t="shared" si="41"/>
        <v>Compliant Discount</v>
      </c>
      <c r="Z315" s="9">
        <f>MIN(Q315,'Scenario Modelling'!$B$2)</f>
        <v>3.1E-2</v>
      </c>
      <c r="AA315">
        <f t="shared" si="42"/>
        <v>718.92047999999988</v>
      </c>
      <c r="AB315">
        <f>N315*(1+'Scenario Modelling'!$B$3)</f>
        <v>657.6350000000001</v>
      </c>
      <c r="AC315">
        <f>ROUNDUP(S315*(1+'Scenario Modelling'!$B$4),0)</f>
        <v>8</v>
      </c>
      <c r="AD315">
        <f t="shared" si="43"/>
        <v>5751.3638399999991</v>
      </c>
      <c r="AE315">
        <f t="shared" si="44"/>
        <v>490.28383999999824</v>
      </c>
    </row>
    <row r="316" spans="1:31" x14ac:dyDescent="0.3">
      <c r="A316" s="36" t="s">
        <v>329</v>
      </c>
      <c r="B316" s="49">
        <v>45809</v>
      </c>
      <c r="C316" s="47" t="str">
        <f t="shared" si="37"/>
        <v>Q2-2025</v>
      </c>
      <c r="D316" s="37">
        <v>45814</v>
      </c>
      <c r="E316" s="16">
        <f t="shared" si="36"/>
        <v>5</v>
      </c>
      <c r="F316" s="38" t="s">
        <v>649</v>
      </c>
      <c r="G316" s="38" t="s">
        <v>657</v>
      </c>
      <c r="H316" s="38" t="s">
        <v>690</v>
      </c>
      <c r="I316" s="38" t="s">
        <v>704</v>
      </c>
      <c r="J316" s="38" t="s">
        <v>710</v>
      </c>
      <c r="K316" s="38" t="s">
        <v>715</v>
      </c>
      <c r="L316" s="38" t="s">
        <v>727</v>
      </c>
      <c r="M316" s="39" t="s">
        <v>1049</v>
      </c>
      <c r="N316" s="40">
        <v>379.45</v>
      </c>
      <c r="O316" s="40">
        <v>742.23</v>
      </c>
      <c r="P316" s="30" t="str">
        <f t="shared" si="38"/>
        <v>Low</v>
      </c>
      <c r="Q316" s="44">
        <v>0.09</v>
      </c>
      <c r="R316" s="42" t="str">
        <f t="shared" si="39"/>
        <v>Low</v>
      </c>
      <c r="S316" s="16">
        <v>13</v>
      </c>
      <c r="T316" s="30">
        <v>8780.5809000000008</v>
      </c>
      <c r="U316" s="30">
        <v>4932.8499999999995</v>
      </c>
      <c r="V316" s="30">
        <v>3847.7309000000014</v>
      </c>
      <c r="W316" s="30">
        <v>0.43820915083192286</v>
      </c>
      <c r="X316" t="str">
        <f t="shared" si="40"/>
        <v>On-time</v>
      </c>
      <c r="Y316" t="str">
        <f t="shared" si="41"/>
        <v>Compliant Discount</v>
      </c>
      <c r="Z316" s="9">
        <f>MIN(Q316,'Scenario Modelling'!$B$2)</f>
        <v>0.09</v>
      </c>
      <c r="AA316">
        <f t="shared" si="42"/>
        <v>675.42930000000001</v>
      </c>
      <c r="AB316">
        <f>N316*(1+'Scenario Modelling'!$B$3)</f>
        <v>417.39500000000004</v>
      </c>
      <c r="AC316">
        <f>ROUNDUP(S316*(1+'Scenario Modelling'!$B$4),0)</f>
        <v>14</v>
      </c>
      <c r="AD316">
        <f t="shared" si="43"/>
        <v>9456.0102000000006</v>
      </c>
      <c r="AE316">
        <f t="shared" si="44"/>
        <v>3612.4801999999995</v>
      </c>
    </row>
    <row r="317" spans="1:31" x14ac:dyDescent="0.3">
      <c r="A317" s="31" t="s">
        <v>330</v>
      </c>
      <c r="B317" s="48">
        <v>45052</v>
      </c>
      <c r="C317" s="47" t="str">
        <f t="shared" si="37"/>
        <v>Q2-2023</v>
      </c>
      <c r="D317" s="32">
        <v>45060</v>
      </c>
      <c r="E317" s="17">
        <f t="shared" si="36"/>
        <v>8</v>
      </c>
      <c r="F317" s="33" t="s">
        <v>647</v>
      </c>
      <c r="G317" s="33" t="s">
        <v>652</v>
      </c>
      <c r="H317" s="33" t="s">
        <v>666</v>
      </c>
      <c r="I317" s="33" t="s">
        <v>706</v>
      </c>
      <c r="J317" s="33" t="s">
        <v>709</v>
      </c>
      <c r="K317" s="33" t="s">
        <v>717</v>
      </c>
      <c r="L317" s="33" t="s">
        <v>730</v>
      </c>
      <c r="M317" s="34" t="s">
        <v>1050</v>
      </c>
      <c r="N317" s="35">
        <v>291.18</v>
      </c>
      <c r="O317" s="35">
        <v>479.54</v>
      </c>
      <c r="P317" s="30" t="str">
        <f t="shared" si="38"/>
        <v>Low</v>
      </c>
      <c r="Q317" s="43">
        <v>0.14099999999999999</v>
      </c>
      <c r="R317" s="42" t="str">
        <f t="shared" si="39"/>
        <v>Medium</v>
      </c>
      <c r="S317" s="17">
        <v>22</v>
      </c>
      <c r="T317" s="30">
        <v>9062.34692</v>
      </c>
      <c r="U317" s="30">
        <v>6405.96</v>
      </c>
      <c r="V317" s="30">
        <v>2656.3869199999999</v>
      </c>
      <c r="W317" s="30">
        <v>0.29312350801066001</v>
      </c>
      <c r="X317" t="str">
        <f t="shared" si="40"/>
        <v>Delayed</v>
      </c>
      <c r="Y317" t="str">
        <f t="shared" si="41"/>
        <v>Compliant Discount</v>
      </c>
      <c r="Z317" s="9">
        <f>MIN(Q317,'Scenario Modelling'!$B$2)</f>
        <v>0.14099999999999999</v>
      </c>
      <c r="AA317">
        <f t="shared" si="42"/>
        <v>411.92486000000002</v>
      </c>
      <c r="AB317">
        <f>N317*(1+'Scenario Modelling'!$B$3)</f>
        <v>320.29800000000006</v>
      </c>
      <c r="AC317">
        <f>ROUNDUP(S317*(1+'Scenario Modelling'!$B$4),0)</f>
        <v>24</v>
      </c>
      <c r="AD317">
        <f t="shared" si="43"/>
        <v>9886.1966400000001</v>
      </c>
      <c r="AE317">
        <f t="shared" si="44"/>
        <v>2199.0446399999992</v>
      </c>
    </row>
    <row r="318" spans="1:31" x14ac:dyDescent="0.3">
      <c r="A318" s="36" t="s">
        <v>331</v>
      </c>
      <c r="B318" s="49">
        <v>45244</v>
      </c>
      <c r="C318" s="47" t="str">
        <f t="shared" si="37"/>
        <v>Q4-2023</v>
      </c>
      <c r="D318" s="37">
        <v>45260</v>
      </c>
      <c r="E318" s="16">
        <f t="shared" si="36"/>
        <v>16</v>
      </c>
      <c r="F318" s="38" t="s">
        <v>648</v>
      </c>
      <c r="G318" s="38" t="s">
        <v>655</v>
      </c>
      <c r="H318" s="38" t="s">
        <v>670</v>
      </c>
      <c r="I318" s="38" t="s">
        <v>706</v>
      </c>
      <c r="J318" s="38" t="s">
        <v>711</v>
      </c>
      <c r="K318" s="38" t="s">
        <v>723</v>
      </c>
      <c r="L318" s="38" t="s">
        <v>729</v>
      </c>
      <c r="M318" s="39" t="s">
        <v>1051</v>
      </c>
      <c r="N318" s="40">
        <v>1017.92</v>
      </c>
      <c r="O318" s="40">
        <v>1175.25</v>
      </c>
      <c r="P318" s="30" t="str">
        <f t="shared" si="38"/>
        <v>Medium</v>
      </c>
      <c r="Q318" s="44">
        <v>7.4999999999999997E-2</v>
      </c>
      <c r="R318" s="42" t="str">
        <f t="shared" si="39"/>
        <v>Low</v>
      </c>
      <c r="S318" s="16">
        <v>15</v>
      </c>
      <c r="T318" s="30">
        <v>16306.59375</v>
      </c>
      <c r="U318" s="30">
        <v>15268.8</v>
      </c>
      <c r="V318" s="30">
        <v>1037.7937500000007</v>
      </c>
      <c r="W318" s="30">
        <v>6.3642583234159542E-2</v>
      </c>
      <c r="X318" t="str">
        <f t="shared" si="40"/>
        <v>Delayed</v>
      </c>
      <c r="Y318" t="str">
        <f t="shared" si="41"/>
        <v>Compliant Discount</v>
      </c>
      <c r="Z318" s="9">
        <f>MIN(Q318,'Scenario Modelling'!$B$2)</f>
        <v>7.4999999999999997E-2</v>
      </c>
      <c r="AA318">
        <f t="shared" si="42"/>
        <v>1087.10625</v>
      </c>
      <c r="AB318">
        <f>N318*(1+'Scenario Modelling'!$B$3)</f>
        <v>1119.712</v>
      </c>
      <c r="AC318">
        <f>ROUNDUP(S318*(1+'Scenario Modelling'!$B$4),0)</f>
        <v>16</v>
      </c>
      <c r="AD318">
        <f t="shared" si="43"/>
        <v>17393.7</v>
      </c>
      <c r="AE318">
        <f t="shared" si="44"/>
        <v>-521.6919999999991</v>
      </c>
    </row>
    <row r="319" spans="1:31" x14ac:dyDescent="0.3">
      <c r="A319" s="31" t="s">
        <v>332</v>
      </c>
      <c r="B319" s="48">
        <v>45748</v>
      </c>
      <c r="C319" s="47" t="str">
        <f t="shared" si="37"/>
        <v>Q2-2025</v>
      </c>
      <c r="D319" s="32">
        <v>45774</v>
      </c>
      <c r="E319" s="17">
        <f t="shared" si="36"/>
        <v>26</v>
      </c>
      <c r="F319" s="33" t="s">
        <v>648</v>
      </c>
      <c r="G319" s="33" t="s">
        <v>660</v>
      </c>
      <c r="H319" s="33" t="s">
        <v>686</v>
      </c>
      <c r="I319" s="33" t="s">
        <v>701</v>
      </c>
      <c r="J319" s="33" t="s">
        <v>711</v>
      </c>
      <c r="K319" s="33" t="s">
        <v>714</v>
      </c>
      <c r="L319" s="33" t="s">
        <v>732</v>
      </c>
      <c r="M319" s="34" t="s">
        <v>1052</v>
      </c>
      <c r="N319" s="35">
        <v>156.55000000000001</v>
      </c>
      <c r="O319" s="35">
        <v>227.45</v>
      </c>
      <c r="P319" s="30" t="str">
        <f t="shared" si="38"/>
        <v>Low</v>
      </c>
      <c r="Q319" s="43">
        <v>1.4E-2</v>
      </c>
      <c r="R319" s="42" t="str">
        <f t="shared" si="39"/>
        <v>Low</v>
      </c>
      <c r="S319" s="17">
        <v>13</v>
      </c>
      <c r="T319" s="30">
        <v>2915.4540999999999</v>
      </c>
      <c r="U319" s="30">
        <v>2035.15</v>
      </c>
      <c r="V319" s="30">
        <v>880.30409999999983</v>
      </c>
      <c r="W319" s="30">
        <v>0.3019440779396938</v>
      </c>
      <c r="X319" t="str">
        <f t="shared" si="40"/>
        <v>Delayed</v>
      </c>
      <c r="Y319" t="str">
        <f t="shared" si="41"/>
        <v>Compliant Discount</v>
      </c>
      <c r="Z319" s="9">
        <f>MIN(Q319,'Scenario Modelling'!$B$2)</f>
        <v>1.4E-2</v>
      </c>
      <c r="AA319">
        <f t="shared" si="42"/>
        <v>224.26569999999998</v>
      </c>
      <c r="AB319">
        <f>N319*(1+'Scenario Modelling'!$B$3)</f>
        <v>172.20500000000001</v>
      </c>
      <c r="AC319">
        <f>ROUNDUP(S319*(1+'Scenario Modelling'!$B$4),0)</f>
        <v>14</v>
      </c>
      <c r="AD319">
        <f t="shared" si="43"/>
        <v>3139.7197999999999</v>
      </c>
      <c r="AE319">
        <f t="shared" si="44"/>
        <v>728.8497999999995</v>
      </c>
    </row>
    <row r="320" spans="1:31" x14ac:dyDescent="0.3">
      <c r="A320" s="36" t="s">
        <v>333</v>
      </c>
      <c r="B320" s="49">
        <v>45008</v>
      </c>
      <c r="C320" s="47" t="str">
        <f t="shared" si="37"/>
        <v>Q1-2023</v>
      </c>
      <c r="D320" s="37">
        <v>45031</v>
      </c>
      <c r="E320" s="16">
        <f t="shared" si="36"/>
        <v>23</v>
      </c>
      <c r="F320" s="38" t="s">
        <v>646</v>
      </c>
      <c r="G320" s="38" t="s">
        <v>650</v>
      </c>
      <c r="H320" s="38" t="s">
        <v>675</v>
      </c>
      <c r="I320" s="38" t="s">
        <v>705</v>
      </c>
      <c r="J320" s="38" t="s">
        <v>707</v>
      </c>
      <c r="K320" s="38" t="s">
        <v>712</v>
      </c>
      <c r="L320" s="38" t="s">
        <v>733</v>
      </c>
      <c r="M320" s="39" t="s">
        <v>1053</v>
      </c>
      <c r="N320" s="40">
        <v>875.36</v>
      </c>
      <c r="O320" s="40">
        <v>1178.6199999999999</v>
      </c>
      <c r="P320" s="30" t="str">
        <f t="shared" si="38"/>
        <v>Medium</v>
      </c>
      <c r="Q320" s="44">
        <v>0.151</v>
      </c>
      <c r="R320" s="42" t="str">
        <f t="shared" si="39"/>
        <v>Medium</v>
      </c>
      <c r="S320" s="16">
        <v>53</v>
      </c>
      <c r="T320" s="30">
        <v>53034.364139999991</v>
      </c>
      <c r="U320" s="30">
        <v>46394.080000000002</v>
      </c>
      <c r="V320" s="30">
        <v>6640.2841399999888</v>
      </c>
      <c r="W320" s="30">
        <v>0.12520719815685888</v>
      </c>
      <c r="X320" t="str">
        <f t="shared" si="40"/>
        <v>Delayed</v>
      </c>
      <c r="Y320" t="str">
        <f t="shared" si="41"/>
        <v>Compliant Discount</v>
      </c>
      <c r="Z320" s="9">
        <f>MIN(Q320,'Scenario Modelling'!$B$2)</f>
        <v>0.151</v>
      </c>
      <c r="AA320">
        <f t="shared" si="42"/>
        <v>1000.6483799999999</v>
      </c>
      <c r="AB320">
        <f>N320*(1+'Scenario Modelling'!$B$3)</f>
        <v>962.89600000000007</v>
      </c>
      <c r="AC320">
        <f>ROUNDUP(S320*(1+'Scenario Modelling'!$B$4),0)</f>
        <v>56</v>
      </c>
      <c r="AD320">
        <f t="shared" si="43"/>
        <v>56036.309279999994</v>
      </c>
      <c r="AE320">
        <f t="shared" si="44"/>
        <v>2114.1332799999882</v>
      </c>
    </row>
    <row r="321" spans="1:31" x14ac:dyDescent="0.3">
      <c r="A321" s="31" t="s">
        <v>334</v>
      </c>
      <c r="B321" s="48">
        <v>45440</v>
      </c>
      <c r="C321" s="47" t="str">
        <f t="shared" si="37"/>
        <v>Q2-2024</v>
      </c>
      <c r="D321" s="32">
        <v>45461</v>
      </c>
      <c r="E321" s="17">
        <f t="shared" si="36"/>
        <v>21</v>
      </c>
      <c r="F321" s="33" t="s">
        <v>649</v>
      </c>
      <c r="G321" s="33" t="s">
        <v>656</v>
      </c>
      <c r="H321" s="33" t="s">
        <v>698</v>
      </c>
      <c r="I321" s="33" t="s">
        <v>705</v>
      </c>
      <c r="J321" s="33" t="s">
        <v>708</v>
      </c>
      <c r="K321" s="33" t="s">
        <v>718</v>
      </c>
      <c r="L321" s="33" t="s">
        <v>730</v>
      </c>
      <c r="M321" s="34" t="s">
        <v>1054</v>
      </c>
      <c r="N321" s="35">
        <v>986.85</v>
      </c>
      <c r="O321" s="35">
        <v>2422.1</v>
      </c>
      <c r="P321" s="30" t="str">
        <f t="shared" si="38"/>
        <v>High</v>
      </c>
      <c r="Q321" s="43">
        <v>7.5999999999999998E-2</v>
      </c>
      <c r="R321" s="42" t="str">
        <f t="shared" si="39"/>
        <v>Low</v>
      </c>
      <c r="S321" s="17">
        <v>10</v>
      </c>
      <c r="T321" s="30">
        <v>22380.204000000002</v>
      </c>
      <c r="U321" s="30">
        <v>9868.5</v>
      </c>
      <c r="V321" s="30">
        <v>12511.704000000002</v>
      </c>
      <c r="W321" s="30">
        <v>0.55905227673527913</v>
      </c>
      <c r="X321" t="str">
        <f t="shared" si="40"/>
        <v>Delayed</v>
      </c>
      <c r="Y321" t="str">
        <f t="shared" si="41"/>
        <v>Compliant Discount</v>
      </c>
      <c r="Z321" s="9">
        <f>MIN(Q321,'Scenario Modelling'!$B$2)</f>
        <v>7.5999999999999998E-2</v>
      </c>
      <c r="AA321">
        <f t="shared" si="42"/>
        <v>2238.0203999999999</v>
      </c>
      <c r="AB321">
        <f>N321*(1+'Scenario Modelling'!$B$3)</f>
        <v>1085.5350000000001</v>
      </c>
      <c r="AC321">
        <f>ROUNDUP(S321*(1+'Scenario Modelling'!$B$4),0)</f>
        <v>11</v>
      </c>
      <c r="AD321">
        <f t="shared" si="43"/>
        <v>24618.224399999999</v>
      </c>
      <c r="AE321">
        <f t="shared" si="44"/>
        <v>12677.339399999997</v>
      </c>
    </row>
    <row r="322" spans="1:31" x14ac:dyDescent="0.3">
      <c r="A322" s="36" t="s">
        <v>335</v>
      </c>
      <c r="B322" s="49">
        <v>45293</v>
      </c>
      <c r="C322" s="47" t="str">
        <f t="shared" si="37"/>
        <v>Q1-2024</v>
      </c>
      <c r="D322" s="37">
        <v>45300</v>
      </c>
      <c r="E322" s="16">
        <f t="shared" ref="E322:E385" si="45">D322-B322</f>
        <v>7</v>
      </c>
      <c r="F322" s="38" t="s">
        <v>648</v>
      </c>
      <c r="G322" s="38" t="s">
        <v>660</v>
      </c>
      <c r="H322" s="38" t="s">
        <v>677</v>
      </c>
      <c r="I322" s="38" t="s">
        <v>702</v>
      </c>
      <c r="J322" s="38" t="s">
        <v>709</v>
      </c>
      <c r="K322" s="38" t="s">
        <v>717</v>
      </c>
      <c r="L322" s="38" t="s">
        <v>729</v>
      </c>
      <c r="M322" s="39" t="s">
        <v>1055</v>
      </c>
      <c r="N322" s="40">
        <v>404.77</v>
      </c>
      <c r="O322" s="40">
        <v>433.88</v>
      </c>
      <c r="P322" s="30" t="str">
        <f t="shared" si="38"/>
        <v>Low</v>
      </c>
      <c r="Q322" s="44">
        <v>0.215</v>
      </c>
      <c r="R322" s="42" t="str">
        <f t="shared" si="39"/>
        <v>High</v>
      </c>
      <c r="S322" s="16">
        <v>22</v>
      </c>
      <c r="T322" s="30">
        <v>7493.1076000000012</v>
      </c>
      <c r="U322" s="30">
        <v>8904.9399999999987</v>
      </c>
      <c r="V322" s="30">
        <v>-1411.8323999999975</v>
      </c>
      <c r="W322" s="30">
        <v>-0.18841747314558746</v>
      </c>
      <c r="X322" t="str">
        <f t="shared" si="40"/>
        <v>On-time</v>
      </c>
      <c r="Y322" t="str">
        <f t="shared" si="41"/>
        <v>Non-compliant Discount</v>
      </c>
      <c r="Z322" s="9">
        <f>MIN(Q322,'Scenario Modelling'!$B$2)</f>
        <v>0.2</v>
      </c>
      <c r="AA322">
        <f t="shared" si="42"/>
        <v>347.10400000000004</v>
      </c>
      <c r="AB322">
        <f>N322*(1+'Scenario Modelling'!$B$3)</f>
        <v>445.24700000000001</v>
      </c>
      <c r="AC322">
        <f>ROUNDUP(S322*(1+'Scenario Modelling'!$B$4),0)</f>
        <v>24</v>
      </c>
      <c r="AD322">
        <f t="shared" si="43"/>
        <v>8330.496000000001</v>
      </c>
      <c r="AE322">
        <f t="shared" si="44"/>
        <v>-2355.4319999999993</v>
      </c>
    </row>
    <row r="323" spans="1:31" x14ac:dyDescent="0.3">
      <c r="A323" s="31" t="s">
        <v>336</v>
      </c>
      <c r="B323" s="48">
        <v>44985</v>
      </c>
      <c r="C323" s="47" t="str">
        <f t="shared" ref="C323:C386" si="46">"Q"&amp;ROUNDUP(MONTH(B323)/3,0)&amp;"-"&amp;YEAR(B323)</f>
        <v>Q1-2023</v>
      </c>
      <c r="D323" s="32">
        <v>44992</v>
      </c>
      <c r="E323" s="17">
        <f t="shared" si="45"/>
        <v>7</v>
      </c>
      <c r="F323" s="33" t="s">
        <v>649</v>
      </c>
      <c r="G323" s="33" t="s">
        <v>657</v>
      </c>
      <c r="H323" s="33" t="s">
        <v>673</v>
      </c>
      <c r="I323" s="33" t="s">
        <v>701</v>
      </c>
      <c r="J323" s="33" t="s">
        <v>707</v>
      </c>
      <c r="K323" s="33" t="s">
        <v>723</v>
      </c>
      <c r="L323" s="33" t="s">
        <v>729</v>
      </c>
      <c r="M323" s="34" t="s">
        <v>1056</v>
      </c>
      <c r="N323" s="35">
        <v>1299.81</v>
      </c>
      <c r="O323" s="35">
        <v>3149.13</v>
      </c>
      <c r="P323" s="30" t="str">
        <f t="shared" ref="P323:P386" si="47">IF(O323&lt;=_xlfn.PERCENTILE.INC(IF(L323:L953=L323, O323:O953), 0.33), "Low", IF(O323&lt;=_xlfn.PERCENTILE.INC(IF(L323:L953=L323, O323:O953), 0.66), "Medium", IF(O323 &gt; _xlfn.PERCENTILE.INC(IF(L323:L953=L323, O323:O953), 0.66), "High")))</f>
        <v>High</v>
      </c>
      <c r="Q323" s="43">
        <v>0.10299999999999999</v>
      </c>
      <c r="R323" s="42" t="str">
        <f t="shared" ref="R323:R386" si="48">IF(Q323&lt;=0.1,"Low",IF(Q323&gt;0.2,"High","Medium"))</f>
        <v>Medium</v>
      </c>
      <c r="S323" s="17">
        <v>14</v>
      </c>
      <c r="T323" s="30">
        <v>39546.774539999999</v>
      </c>
      <c r="U323" s="30">
        <v>18197.34</v>
      </c>
      <c r="V323" s="30">
        <v>21349.434539999998</v>
      </c>
      <c r="W323" s="30">
        <v>0.53985273864511729</v>
      </c>
      <c r="X323" t="str">
        <f t="shared" ref="X323:X386" si="49">IF(E323&lt;=7,"On-time","Delayed")</f>
        <v>On-time</v>
      </c>
      <c r="Y323" t="str">
        <f t="shared" ref="Y323:Y386" si="50">IF(Q323&lt;=0.2, "Compliant Discount", "Non-compliant Discount")</f>
        <v>Compliant Discount</v>
      </c>
      <c r="Z323" s="9">
        <f>MIN(Q323,'Scenario Modelling'!$B$2)</f>
        <v>0.10299999999999999</v>
      </c>
      <c r="AA323">
        <f t="shared" ref="AA323:AA386" si="51">O323*(1-Z323)</f>
        <v>2824.7696100000003</v>
      </c>
      <c r="AB323">
        <f>N323*(1+'Scenario Modelling'!$B$3)</f>
        <v>1429.7910000000002</v>
      </c>
      <c r="AC323">
        <f>ROUNDUP(S323*(1+'Scenario Modelling'!$B$4),0)</f>
        <v>15</v>
      </c>
      <c r="AD323">
        <f t="shared" ref="AD323:AD386" si="52">AA323*AC323</f>
        <v>42371.544150000002</v>
      </c>
      <c r="AE323">
        <f t="shared" ref="AE323:AE386" si="53">(AA323-AB323)*AC323</f>
        <v>20924.679150000004</v>
      </c>
    </row>
    <row r="324" spans="1:31" x14ac:dyDescent="0.3">
      <c r="A324" s="36" t="s">
        <v>337</v>
      </c>
      <c r="B324" s="49">
        <v>45340</v>
      </c>
      <c r="C324" s="47" t="str">
        <f t="shared" si="46"/>
        <v>Q1-2024</v>
      </c>
      <c r="D324" s="37">
        <v>45362</v>
      </c>
      <c r="E324" s="16">
        <f t="shared" si="45"/>
        <v>22</v>
      </c>
      <c r="F324" s="38" t="s">
        <v>648</v>
      </c>
      <c r="G324" s="38" t="s">
        <v>655</v>
      </c>
      <c r="H324" s="38" t="s">
        <v>670</v>
      </c>
      <c r="I324" s="38" t="s">
        <v>704</v>
      </c>
      <c r="J324" s="38" t="s">
        <v>708</v>
      </c>
      <c r="K324" s="38" t="s">
        <v>720</v>
      </c>
      <c r="L324" s="38" t="s">
        <v>727</v>
      </c>
      <c r="M324" s="39" t="s">
        <v>1057</v>
      </c>
      <c r="N324" s="40">
        <v>80.48</v>
      </c>
      <c r="O324" s="40">
        <v>65.650000000000006</v>
      </c>
      <c r="P324" s="30" t="str">
        <f t="shared" si="47"/>
        <v>Low</v>
      </c>
      <c r="Q324" s="44">
        <v>0.17599999999999999</v>
      </c>
      <c r="R324" s="42" t="str">
        <f t="shared" si="48"/>
        <v>Medium</v>
      </c>
      <c r="S324" s="16">
        <v>13</v>
      </c>
      <c r="T324" s="30">
        <v>703.2428000000001</v>
      </c>
      <c r="U324" s="30">
        <v>1046.24</v>
      </c>
      <c r="V324" s="30">
        <v>-342.99719999999991</v>
      </c>
      <c r="W324" s="30">
        <v>-0.48773652570634191</v>
      </c>
      <c r="X324" t="str">
        <f t="shared" si="49"/>
        <v>Delayed</v>
      </c>
      <c r="Y324" t="str">
        <f t="shared" si="50"/>
        <v>Compliant Discount</v>
      </c>
      <c r="Z324" s="9">
        <f>MIN(Q324,'Scenario Modelling'!$B$2)</f>
        <v>0.17599999999999999</v>
      </c>
      <c r="AA324">
        <f t="shared" si="51"/>
        <v>54.095600000000012</v>
      </c>
      <c r="AB324">
        <f>N324*(1+'Scenario Modelling'!$B$3)</f>
        <v>88.528000000000006</v>
      </c>
      <c r="AC324">
        <f>ROUNDUP(S324*(1+'Scenario Modelling'!$B$4),0)</f>
        <v>14</v>
      </c>
      <c r="AD324">
        <f t="shared" si="52"/>
        <v>757.33840000000021</v>
      </c>
      <c r="AE324">
        <f t="shared" si="53"/>
        <v>-482.0535999999999</v>
      </c>
    </row>
    <row r="325" spans="1:31" x14ac:dyDescent="0.3">
      <c r="A325" s="31" t="s">
        <v>338</v>
      </c>
      <c r="B325" s="48">
        <v>45544</v>
      </c>
      <c r="C325" s="47" t="str">
        <f t="shared" si="46"/>
        <v>Q3-2024</v>
      </c>
      <c r="D325" s="32">
        <v>45573</v>
      </c>
      <c r="E325" s="17">
        <f t="shared" si="45"/>
        <v>29</v>
      </c>
      <c r="F325" s="33" t="s">
        <v>648</v>
      </c>
      <c r="G325" s="33" t="s">
        <v>655</v>
      </c>
      <c r="H325" s="33" t="s">
        <v>670</v>
      </c>
      <c r="I325" s="33" t="s">
        <v>702</v>
      </c>
      <c r="J325" s="33" t="s">
        <v>711</v>
      </c>
      <c r="K325" s="33" t="s">
        <v>713</v>
      </c>
      <c r="L325" s="33" t="s">
        <v>727</v>
      </c>
      <c r="M325" s="34" t="s">
        <v>1058</v>
      </c>
      <c r="N325" s="35">
        <v>1010.33</v>
      </c>
      <c r="O325" s="35">
        <v>2492.14</v>
      </c>
      <c r="P325" s="30" t="str">
        <f t="shared" si="47"/>
        <v>High</v>
      </c>
      <c r="Q325" s="43">
        <v>5.0999999999999997E-2</v>
      </c>
      <c r="R325" s="42" t="str">
        <f t="shared" si="48"/>
        <v>Low</v>
      </c>
      <c r="S325" s="17">
        <v>11</v>
      </c>
      <c r="T325" s="30">
        <v>26015.449459999996</v>
      </c>
      <c r="U325" s="30">
        <v>11113.630000000001</v>
      </c>
      <c r="V325" s="30">
        <v>14901.819459999995</v>
      </c>
      <c r="W325" s="30">
        <v>0.57280653493656752</v>
      </c>
      <c r="X325" t="str">
        <f t="shared" si="49"/>
        <v>Delayed</v>
      </c>
      <c r="Y325" t="str">
        <f t="shared" si="50"/>
        <v>Compliant Discount</v>
      </c>
      <c r="Z325" s="9">
        <f>MIN(Q325,'Scenario Modelling'!$B$2)</f>
        <v>5.0999999999999997E-2</v>
      </c>
      <c r="AA325">
        <f t="shared" si="51"/>
        <v>2365.0408599999996</v>
      </c>
      <c r="AB325">
        <f>N325*(1+'Scenario Modelling'!$B$3)</f>
        <v>1111.3630000000001</v>
      </c>
      <c r="AC325">
        <f>ROUNDUP(S325*(1+'Scenario Modelling'!$B$4),0)</f>
        <v>12</v>
      </c>
      <c r="AD325">
        <f t="shared" si="52"/>
        <v>28380.490319999997</v>
      </c>
      <c r="AE325">
        <f t="shared" si="53"/>
        <v>15044.134319999994</v>
      </c>
    </row>
    <row r="326" spans="1:31" x14ac:dyDescent="0.3">
      <c r="A326" s="36" t="s">
        <v>339</v>
      </c>
      <c r="B326" s="49">
        <v>45053</v>
      </c>
      <c r="C326" s="47" t="str">
        <f t="shared" si="46"/>
        <v>Q2-2023</v>
      </c>
      <c r="D326" s="37">
        <v>45075</v>
      </c>
      <c r="E326" s="16">
        <f t="shared" si="45"/>
        <v>22</v>
      </c>
      <c r="F326" s="38" t="s">
        <v>646</v>
      </c>
      <c r="G326" s="38" t="s">
        <v>661</v>
      </c>
      <c r="H326" s="38" t="s">
        <v>687</v>
      </c>
      <c r="I326" s="38" t="s">
        <v>702</v>
      </c>
      <c r="J326" s="38" t="s">
        <v>710</v>
      </c>
      <c r="K326" s="38" t="s">
        <v>723</v>
      </c>
      <c r="L326" s="38" t="s">
        <v>733</v>
      </c>
      <c r="M326" s="39" t="s">
        <v>1059</v>
      </c>
      <c r="N326" s="40">
        <v>653.86</v>
      </c>
      <c r="O326" s="40">
        <v>931.84</v>
      </c>
      <c r="P326" s="30" t="str">
        <f t="shared" si="47"/>
        <v>Medium</v>
      </c>
      <c r="Q326" s="44">
        <v>0.121</v>
      </c>
      <c r="R326" s="42" t="str">
        <f t="shared" si="48"/>
        <v>Medium</v>
      </c>
      <c r="S326" s="16">
        <v>12</v>
      </c>
      <c r="T326" s="30">
        <v>9829.0483199999999</v>
      </c>
      <c r="U326" s="30">
        <v>7846.32</v>
      </c>
      <c r="V326" s="30">
        <v>1982.7283200000002</v>
      </c>
      <c r="W326" s="30">
        <v>0.20172129136506273</v>
      </c>
      <c r="X326" t="str">
        <f t="shared" si="49"/>
        <v>Delayed</v>
      </c>
      <c r="Y326" t="str">
        <f t="shared" si="50"/>
        <v>Compliant Discount</v>
      </c>
      <c r="Z326" s="9">
        <f>MIN(Q326,'Scenario Modelling'!$B$2)</f>
        <v>0.121</v>
      </c>
      <c r="AA326">
        <f t="shared" si="51"/>
        <v>819.08735999999999</v>
      </c>
      <c r="AB326">
        <f>N326*(1+'Scenario Modelling'!$B$3)</f>
        <v>719.24600000000009</v>
      </c>
      <c r="AC326">
        <f>ROUNDUP(S326*(1+'Scenario Modelling'!$B$4),0)</f>
        <v>13</v>
      </c>
      <c r="AD326">
        <f t="shared" si="52"/>
        <v>10648.135679999999</v>
      </c>
      <c r="AE326">
        <f t="shared" si="53"/>
        <v>1297.9376799999986</v>
      </c>
    </row>
    <row r="327" spans="1:31" x14ac:dyDescent="0.3">
      <c r="A327" s="31" t="s">
        <v>340</v>
      </c>
      <c r="B327" s="48">
        <v>45303</v>
      </c>
      <c r="C327" s="47" t="str">
        <f t="shared" si="46"/>
        <v>Q1-2024</v>
      </c>
      <c r="D327" s="32">
        <v>45320</v>
      </c>
      <c r="E327" s="17">
        <f t="shared" si="45"/>
        <v>17</v>
      </c>
      <c r="F327" s="33" t="s">
        <v>647</v>
      </c>
      <c r="G327" s="33" t="s">
        <v>654</v>
      </c>
      <c r="H327" s="33" t="s">
        <v>696</v>
      </c>
      <c r="I327" s="33" t="s">
        <v>705</v>
      </c>
      <c r="J327" s="33" t="s">
        <v>711</v>
      </c>
      <c r="K327" s="33" t="s">
        <v>717</v>
      </c>
      <c r="L327" s="33" t="s">
        <v>727</v>
      </c>
      <c r="M327" s="34" t="s">
        <v>1060</v>
      </c>
      <c r="N327" s="35">
        <v>310.02</v>
      </c>
      <c r="O327" s="35">
        <v>619.51</v>
      </c>
      <c r="P327" s="30" t="str">
        <f t="shared" si="47"/>
        <v>Low</v>
      </c>
      <c r="Q327" s="43">
        <v>4.2000000000000003E-2</v>
      </c>
      <c r="R327" s="42" t="str">
        <f t="shared" si="48"/>
        <v>Low</v>
      </c>
      <c r="S327" s="17">
        <v>4</v>
      </c>
      <c r="T327" s="30">
        <v>2373.9623200000001</v>
      </c>
      <c r="U327" s="30">
        <v>1240.08</v>
      </c>
      <c r="V327" s="30">
        <v>1133.8823200000002</v>
      </c>
      <c r="W327" s="30">
        <v>0.47763282106347843</v>
      </c>
      <c r="X327" t="str">
        <f t="shared" si="49"/>
        <v>Delayed</v>
      </c>
      <c r="Y327" t="str">
        <f t="shared" si="50"/>
        <v>Compliant Discount</v>
      </c>
      <c r="Z327" s="9">
        <f>MIN(Q327,'Scenario Modelling'!$B$2)</f>
        <v>4.2000000000000003E-2</v>
      </c>
      <c r="AA327">
        <f t="shared" si="51"/>
        <v>593.49058000000002</v>
      </c>
      <c r="AB327">
        <f>N327*(1+'Scenario Modelling'!$B$3)</f>
        <v>341.02199999999999</v>
      </c>
      <c r="AC327">
        <f>ROUNDUP(S327*(1+'Scenario Modelling'!$B$4),0)</f>
        <v>5</v>
      </c>
      <c r="AD327">
        <f t="shared" si="52"/>
        <v>2967.4529000000002</v>
      </c>
      <c r="AE327">
        <f t="shared" si="53"/>
        <v>1262.3429000000001</v>
      </c>
    </row>
    <row r="328" spans="1:31" x14ac:dyDescent="0.3">
      <c r="A328" s="36" t="s">
        <v>341</v>
      </c>
      <c r="B328" s="49">
        <v>45087</v>
      </c>
      <c r="C328" s="47" t="str">
        <f t="shared" si="46"/>
        <v>Q2-2023</v>
      </c>
      <c r="D328" s="37">
        <v>45095</v>
      </c>
      <c r="E328" s="16">
        <f t="shared" si="45"/>
        <v>8</v>
      </c>
      <c r="F328" s="38" t="s">
        <v>646</v>
      </c>
      <c r="G328" s="38" t="s">
        <v>650</v>
      </c>
      <c r="H328" s="38" t="s">
        <v>678</v>
      </c>
      <c r="I328" s="38" t="s">
        <v>706</v>
      </c>
      <c r="J328" s="38" t="s">
        <v>711</v>
      </c>
      <c r="K328" s="38" t="s">
        <v>722</v>
      </c>
      <c r="L328" s="38" t="s">
        <v>730</v>
      </c>
      <c r="M328" s="39" t="s">
        <v>1061</v>
      </c>
      <c r="N328" s="40">
        <v>894.23</v>
      </c>
      <c r="O328" s="40">
        <v>1421.55</v>
      </c>
      <c r="P328" s="30" t="str">
        <f t="shared" si="47"/>
        <v>Medium</v>
      </c>
      <c r="Q328" s="44">
        <v>0.109</v>
      </c>
      <c r="R328" s="42" t="str">
        <f t="shared" si="48"/>
        <v>Medium</v>
      </c>
      <c r="S328" s="16">
        <v>3</v>
      </c>
      <c r="T328" s="30">
        <v>3799.8031499999997</v>
      </c>
      <c r="U328" s="30">
        <v>2682.69</v>
      </c>
      <c r="V328" s="30">
        <v>1117.1131499999997</v>
      </c>
      <c r="W328" s="30">
        <v>0.29399237431549574</v>
      </c>
      <c r="X328" t="str">
        <f t="shared" si="49"/>
        <v>Delayed</v>
      </c>
      <c r="Y328" t="str">
        <f t="shared" si="50"/>
        <v>Compliant Discount</v>
      </c>
      <c r="Z328" s="9">
        <f>MIN(Q328,'Scenario Modelling'!$B$2)</f>
        <v>0.109</v>
      </c>
      <c r="AA328">
        <f t="shared" si="51"/>
        <v>1266.60105</v>
      </c>
      <c r="AB328">
        <f>N328*(1+'Scenario Modelling'!$B$3)</f>
        <v>983.65300000000013</v>
      </c>
      <c r="AC328">
        <f>ROUNDUP(S328*(1+'Scenario Modelling'!$B$4),0)</f>
        <v>4</v>
      </c>
      <c r="AD328">
        <f t="shared" si="52"/>
        <v>5066.4041999999999</v>
      </c>
      <c r="AE328">
        <f t="shared" si="53"/>
        <v>1131.7921999999994</v>
      </c>
    </row>
    <row r="329" spans="1:31" x14ac:dyDescent="0.3">
      <c r="A329" s="31" t="s">
        <v>342</v>
      </c>
      <c r="B329" s="48">
        <v>45796</v>
      </c>
      <c r="C329" s="47" t="str">
        <f t="shared" si="46"/>
        <v>Q2-2025</v>
      </c>
      <c r="D329" s="32">
        <v>45803</v>
      </c>
      <c r="E329" s="17">
        <f t="shared" si="45"/>
        <v>7</v>
      </c>
      <c r="F329" s="33" t="s">
        <v>648</v>
      </c>
      <c r="G329" s="33" t="s">
        <v>655</v>
      </c>
      <c r="H329" s="33" t="s">
        <v>670</v>
      </c>
      <c r="I329" s="33" t="s">
        <v>705</v>
      </c>
      <c r="J329" s="33" t="s">
        <v>710</v>
      </c>
      <c r="K329" s="33" t="s">
        <v>716</v>
      </c>
      <c r="L329" s="33" t="s">
        <v>732</v>
      </c>
      <c r="M329" s="34" t="s">
        <v>1062</v>
      </c>
      <c r="N329" s="35">
        <v>383.77</v>
      </c>
      <c r="O329" s="35">
        <v>952.56</v>
      </c>
      <c r="P329" s="30" t="str">
        <f t="shared" si="47"/>
        <v>Medium</v>
      </c>
      <c r="Q329" s="43">
        <v>0.3</v>
      </c>
      <c r="R329" s="42" t="str">
        <f t="shared" si="48"/>
        <v>High</v>
      </c>
      <c r="S329" s="17">
        <v>10</v>
      </c>
      <c r="T329" s="30">
        <v>6667.9199999999983</v>
      </c>
      <c r="U329" s="30">
        <v>3837.7</v>
      </c>
      <c r="V329" s="30">
        <v>2830.2199999999984</v>
      </c>
      <c r="W329" s="30">
        <v>0.42445320279787385</v>
      </c>
      <c r="X329" t="str">
        <f t="shared" si="49"/>
        <v>On-time</v>
      </c>
      <c r="Y329" t="str">
        <f t="shared" si="50"/>
        <v>Non-compliant Discount</v>
      </c>
      <c r="Z329" s="9">
        <f>MIN(Q329,'Scenario Modelling'!$B$2)</f>
        <v>0.2</v>
      </c>
      <c r="AA329">
        <f t="shared" si="51"/>
        <v>762.048</v>
      </c>
      <c r="AB329">
        <f>N329*(1+'Scenario Modelling'!$B$3)</f>
        <v>422.14699999999999</v>
      </c>
      <c r="AC329">
        <f>ROUNDUP(S329*(1+'Scenario Modelling'!$B$4),0)</f>
        <v>11</v>
      </c>
      <c r="AD329">
        <f t="shared" si="52"/>
        <v>8382.5280000000002</v>
      </c>
      <c r="AE329">
        <f t="shared" si="53"/>
        <v>3738.9110000000001</v>
      </c>
    </row>
    <row r="330" spans="1:31" x14ac:dyDescent="0.3">
      <c r="A330" s="36" t="s">
        <v>343</v>
      </c>
      <c r="B330" s="49">
        <v>45221</v>
      </c>
      <c r="C330" s="47" t="str">
        <f t="shared" si="46"/>
        <v>Q4-2023</v>
      </c>
      <c r="D330" s="37">
        <v>45246</v>
      </c>
      <c r="E330" s="16">
        <f t="shared" si="45"/>
        <v>25</v>
      </c>
      <c r="F330" s="38" t="s">
        <v>648</v>
      </c>
      <c r="G330" s="38" t="s">
        <v>653</v>
      </c>
      <c r="H330" s="38" t="s">
        <v>667</v>
      </c>
      <c r="I330" s="38" t="s">
        <v>705</v>
      </c>
      <c r="J330" s="38" t="s">
        <v>709</v>
      </c>
      <c r="K330" s="38" t="s">
        <v>714</v>
      </c>
      <c r="L330" s="38" t="s">
        <v>731</v>
      </c>
      <c r="M330" s="39" t="s">
        <v>1063</v>
      </c>
      <c r="N330" s="40">
        <v>1373.31</v>
      </c>
      <c r="O330" s="40">
        <v>3154.14</v>
      </c>
      <c r="P330" s="30" t="str">
        <f t="shared" si="47"/>
        <v>High</v>
      </c>
      <c r="Q330" s="44">
        <v>0.2</v>
      </c>
      <c r="R330" s="42" t="str">
        <f t="shared" si="48"/>
        <v>Medium</v>
      </c>
      <c r="S330" s="16">
        <v>11</v>
      </c>
      <c r="T330" s="30">
        <v>27756.432000000001</v>
      </c>
      <c r="U330" s="30">
        <v>15106.41</v>
      </c>
      <c r="V330" s="30">
        <v>12650.022000000001</v>
      </c>
      <c r="W330" s="30">
        <v>0.45575101295440279</v>
      </c>
      <c r="X330" t="str">
        <f t="shared" si="49"/>
        <v>Delayed</v>
      </c>
      <c r="Y330" t="str">
        <f t="shared" si="50"/>
        <v>Compliant Discount</v>
      </c>
      <c r="Z330" s="9">
        <f>MIN(Q330,'Scenario Modelling'!$B$2)</f>
        <v>0.2</v>
      </c>
      <c r="AA330">
        <f t="shared" si="51"/>
        <v>2523.3119999999999</v>
      </c>
      <c r="AB330">
        <f>N330*(1+'Scenario Modelling'!$B$3)</f>
        <v>1510.6410000000001</v>
      </c>
      <c r="AC330">
        <f>ROUNDUP(S330*(1+'Scenario Modelling'!$B$4),0)</f>
        <v>12</v>
      </c>
      <c r="AD330">
        <f t="shared" si="52"/>
        <v>30279.743999999999</v>
      </c>
      <c r="AE330">
        <f t="shared" si="53"/>
        <v>12152.051999999998</v>
      </c>
    </row>
    <row r="331" spans="1:31" x14ac:dyDescent="0.3">
      <c r="A331" s="31" t="s">
        <v>344</v>
      </c>
      <c r="B331" s="48">
        <v>45668</v>
      </c>
      <c r="C331" s="47" t="str">
        <f t="shared" si="46"/>
        <v>Q1-2025</v>
      </c>
      <c r="D331" s="32">
        <v>45680</v>
      </c>
      <c r="E331" s="17">
        <f t="shared" si="45"/>
        <v>12</v>
      </c>
      <c r="F331" s="33" t="s">
        <v>648</v>
      </c>
      <c r="G331" s="33" t="s">
        <v>660</v>
      </c>
      <c r="H331" s="33" t="s">
        <v>697</v>
      </c>
      <c r="I331" s="33" t="s">
        <v>704</v>
      </c>
      <c r="J331" s="33" t="s">
        <v>710</v>
      </c>
      <c r="K331" s="33" t="s">
        <v>722</v>
      </c>
      <c r="L331" s="33" t="s">
        <v>730</v>
      </c>
      <c r="M331" s="34" t="s">
        <v>1064</v>
      </c>
      <c r="N331" s="35">
        <v>100.69</v>
      </c>
      <c r="O331" s="35">
        <v>226.14</v>
      </c>
      <c r="P331" s="30" t="str">
        <f t="shared" si="47"/>
        <v>Low</v>
      </c>
      <c r="Q331" s="43">
        <v>6.5000000000000002E-2</v>
      </c>
      <c r="R331" s="42" t="str">
        <f t="shared" si="48"/>
        <v>Low</v>
      </c>
      <c r="S331" s="17">
        <v>12</v>
      </c>
      <c r="T331" s="30">
        <v>2537.2908000000002</v>
      </c>
      <c r="U331" s="30">
        <v>1208.28</v>
      </c>
      <c r="V331" s="30">
        <v>1329.0108000000002</v>
      </c>
      <c r="W331" s="30">
        <v>0.52379128162999689</v>
      </c>
      <c r="X331" t="str">
        <f t="shared" si="49"/>
        <v>Delayed</v>
      </c>
      <c r="Y331" t="str">
        <f t="shared" si="50"/>
        <v>Compliant Discount</v>
      </c>
      <c r="Z331" s="9">
        <f>MIN(Q331,'Scenario Modelling'!$B$2)</f>
        <v>6.5000000000000002E-2</v>
      </c>
      <c r="AA331">
        <f t="shared" si="51"/>
        <v>211.4409</v>
      </c>
      <c r="AB331">
        <f>N331*(1+'Scenario Modelling'!$B$3)</f>
        <v>110.759</v>
      </c>
      <c r="AC331">
        <f>ROUNDUP(S331*(1+'Scenario Modelling'!$B$4),0)</f>
        <v>13</v>
      </c>
      <c r="AD331">
        <f t="shared" si="52"/>
        <v>2748.7316999999998</v>
      </c>
      <c r="AE331">
        <f t="shared" si="53"/>
        <v>1308.8647000000001</v>
      </c>
    </row>
    <row r="332" spans="1:31" x14ac:dyDescent="0.3">
      <c r="A332" s="36" t="s">
        <v>345</v>
      </c>
      <c r="B332" s="49">
        <v>45914</v>
      </c>
      <c r="C332" s="47" t="str">
        <f t="shared" si="46"/>
        <v>Q3-2025</v>
      </c>
      <c r="D332" s="37">
        <v>45926</v>
      </c>
      <c r="E332" s="16">
        <f t="shared" si="45"/>
        <v>12</v>
      </c>
      <c r="F332" s="38" t="s">
        <v>649</v>
      </c>
      <c r="G332" s="38" t="s">
        <v>658</v>
      </c>
      <c r="H332" s="38" t="s">
        <v>683</v>
      </c>
      <c r="I332" s="38" t="s">
        <v>705</v>
      </c>
      <c r="J332" s="38" t="s">
        <v>711</v>
      </c>
      <c r="K332" s="38" t="s">
        <v>725</v>
      </c>
      <c r="L332" s="38" t="s">
        <v>729</v>
      </c>
      <c r="M332" s="39" t="s">
        <v>1065</v>
      </c>
      <c r="N332" s="40">
        <v>425.15</v>
      </c>
      <c r="O332" s="40">
        <v>885.92</v>
      </c>
      <c r="P332" s="30" t="str">
        <f t="shared" si="47"/>
        <v>Low</v>
      </c>
      <c r="Q332" s="44">
        <v>0.23899999999999999</v>
      </c>
      <c r="R332" s="42" t="str">
        <f t="shared" si="48"/>
        <v>High</v>
      </c>
      <c r="S332" s="16">
        <v>13</v>
      </c>
      <c r="T332" s="30">
        <v>8764.4065599999994</v>
      </c>
      <c r="U332" s="30">
        <v>5526.95</v>
      </c>
      <c r="V332" s="30">
        <v>3237.4565599999996</v>
      </c>
      <c r="W332" s="30">
        <v>0.3693868532725848</v>
      </c>
      <c r="X332" t="str">
        <f t="shared" si="49"/>
        <v>Delayed</v>
      </c>
      <c r="Y332" t="str">
        <f t="shared" si="50"/>
        <v>Non-compliant Discount</v>
      </c>
      <c r="Z332" s="9">
        <f>MIN(Q332,'Scenario Modelling'!$B$2)</f>
        <v>0.2</v>
      </c>
      <c r="AA332">
        <f t="shared" si="51"/>
        <v>708.73599999999999</v>
      </c>
      <c r="AB332">
        <f>N332*(1+'Scenario Modelling'!$B$3)</f>
        <v>467.66500000000002</v>
      </c>
      <c r="AC332">
        <f>ROUNDUP(S332*(1+'Scenario Modelling'!$B$4),0)</f>
        <v>14</v>
      </c>
      <c r="AD332">
        <f t="shared" si="52"/>
        <v>9922.3040000000001</v>
      </c>
      <c r="AE332">
        <f t="shared" si="53"/>
        <v>3374.9939999999997</v>
      </c>
    </row>
    <row r="333" spans="1:31" x14ac:dyDescent="0.3">
      <c r="A333" s="31" t="s">
        <v>346</v>
      </c>
      <c r="B333" s="48">
        <v>45168</v>
      </c>
      <c r="C333" s="47" t="str">
        <f t="shared" si="46"/>
        <v>Q3-2023</v>
      </c>
      <c r="D333" s="32">
        <v>45172</v>
      </c>
      <c r="E333" s="17">
        <f t="shared" si="45"/>
        <v>4</v>
      </c>
      <c r="F333" s="33" t="s">
        <v>647</v>
      </c>
      <c r="G333" s="33" t="s">
        <v>654</v>
      </c>
      <c r="H333" s="33" t="s">
        <v>680</v>
      </c>
      <c r="I333" s="33" t="s">
        <v>705</v>
      </c>
      <c r="J333" s="33" t="s">
        <v>709</v>
      </c>
      <c r="K333" s="33" t="s">
        <v>716</v>
      </c>
      <c r="L333" s="33" t="s">
        <v>733</v>
      </c>
      <c r="M333" s="34" t="s">
        <v>1066</v>
      </c>
      <c r="N333" s="35">
        <v>1082.25</v>
      </c>
      <c r="O333" s="35">
        <v>2433.34</v>
      </c>
      <c r="P333" s="30" t="str">
        <f t="shared" si="47"/>
        <v>High</v>
      </c>
      <c r="Q333" s="43">
        <v>0.27</v>
      </c>
      <c r="R333" s="42" t="str">
        <f t="shared" si="48"/>
        <v>High</v>
      </c>
      <c r="S333" s="17">
        <v>4</v>
      </c>
      <c r="T333" s="30">
        <v>7105.3528000000006</v>
      </c>
      <c r="U333" s="30">
        <v>4329</v>
      </c>
      <c r="V333" s="30">
        <v>2776.3528000000006</v>
      </c>
      <c r="W333" s="30">
        <v>0.3907410199251472</v>
      </c>
      <c r="X333" t="str">
        <f t="shared" si="49"/>
        <v>On-time</v>
      </c>
      <c r="Y333" t="str">
        <f t="shared" si="50"/>
        <v>Non-compliant Discount</v>
      </c>
      <c r="Z333" s="9">
        <f>MIN(Q333,'Scenario Modelling'!$B$2)</f>
        <v>0.2</v>
      </c>
      <c r="AA333">
        <f t="shared" si="51"/>
        <v>1946.6720000000003</v>
      </c>
      <c r="AB333">
        <f>N333*(1+'Scenario Modelling'!$B$3)</f>
        <v>1190.4750000000001</v>
      </c>
      <c r="AC333">
        <f>ROUNDUP(S333*(1+'Scenario Modelling'!$B$4),0)</f>
        <v>5</v>
      </c>
      <c r="AD333">
        <f t="shared" si="52"/>
        <v>9733.36</v>
      </c>
      <c r="AE333">
        <f t="shared" si="53"/>
        <v>3780.9850000000006</v>
      </c>
    </row>
    <row r="334" spans="1:31" x14ac:dyDescent="0.3">
      <c r="A334" s="36" t="s">
        <v>347</v>
      </c>
      <c r="B334" s="49">
        <v>45245</v>
      </c>
      <c r="C334" s="47" t="str">
        <f t="shared" si="46"/>
        <v>Q4-2023</v>
      </c>
      <c r="D334" s="37">
        <v>45266</v>
      </c>
      <c r="E334" s="16">
        <f t="shared" si="45"/>
        <v>21</v>
      </c>
      <c r="F334" s="38" t="s">
        <v>649</v>
      </c>
      <c r="G334" s="38" t="s">
        <v>658</v>
      </c>
      <c r="H334" s="38" t="s">
        <v>693</v>
      </c>
      <c r="I334" s="38" t="s">
        <v>702</v>
      </c>
      <c r="J334" s="38" t="s">
        <v>711</v>
      </c>
      <c r="K334" s="38" t="s">
        <v>722</v>
      </c>
      <c r="L334" s="38" t="s">
        <v>733</v>
      </c>
      <c r="M334" s="39" t="s">
        <v>1067</v>
      </c>
      <c r="N334" s="40">
        <v>1184.99</v>
      </c>
      <c r="O334" s="40">
        <v>1154.3399999999999</v>
      </c>
      <c r="P334" s="30" t="str">
        <f t="shared" si="47"/>
        <v>Medium</v>
      </c>
      <c r="Q334" s="44">
        <v>2.8000000000000001E-2</v>
      </c>
      <c r="R334" s="42" t="str">
        <f t="shared" si="48"/>
        <v>Low</v>
      </c>
      <c r="S334" s="16">
        <v>5</v>
      </c>
      <c r="T334" s="30">
        <v>5610.0923999999995</v>
      </c>
      <c r="U334" s="30">
        <v>5924.95</v>
      </c>
      <c r="V334" s="30">
        <v>-314.85760000000028</v>
      </c>
      <c r="W334" s="30">
        <v>-5.6123424990290764E-2</v>
      </c>
      <c r="X334" t="str">
        <f t="shared" si="49"/>
        <v>Delayed</v>
      </c>
      <c r="Y334" t="str">
        <f t="shared" si="50"/>
        <v>Compliant Discount</v>
      </c>
      <c r="Z334" s="9">
        <f>MIN(Q334,'Scenario Modelling'!$B$2)</f>
        <v>2.8000000000000001E-2</v>
      </c>
      <c r="AA334">
        <f t="shared" si="51"/>
        <v>1122.01848</v>
      </c>
      <c r="AB334">
        <f>N334*(1+'Scenario Modelling'!$B$3)</f>
        <v>1303.489</v>
      </c>
      <c r="AC334">
        <f>ROUNDUP(S334*(1+'Scenario Modelling'!$B$4),0)</f>
        <v>6</v>
      </c>
      <c r="AD334">
        <f t="shared" si="52"/>
        <v>6732.1108800000002</v>
      </c>
      <c r="AE334">
        <f t="shared" si="53"/>
        <v>-1088.8231200000005</v>
      </c>
    </row>
    <row r="335" spans="1:31" x14ac:dyDescent="0.3">
      <c r="A335" s="31" t="s">
        <v>348</v>
      </c>
      <c r="B335" s="48">
        <v>45774</v>
      </c>
      <c r="C335" s="47" t="str">
        <f t="shared" si="46"/>
        <v>Q2-2025</v>
      </c>
      <c r="D335" s="32">
        <v>45804</v>
      </c>
      <c r="E335" s="17">
        <f t="shared" si="45"/>
        <v>30</v>
      </c>
      <c r="F335" s="33" t="s">
        <v>647</v>
      </c>
      <c r="G335" s="33" t="s">
        <v>654</v>
      </c>
      <c r="H335" s="33" t="s">
        <v>1424</v>
      </c>
      <c r="I335" s="33" t="s">
        <v>706</v>
      </c>
      <c r="J335" s="33" t="s">
        <v>709</v>
      </c>
      <c r="K335" s="33" t="s">
        <v>722</v>
      </c>
      <c r="L335" s="33" t="s">
        <v>730</v>
      </c>
      <c r="M335" s="34" t="s">
        <v>1068</v>
      </c>
      <c r="N335" s="35">
        <v>481.32</v>
      </c>
      <c r="O335" s="35">
        <v>1135.99</v>
      </c>
      <c r="P335" s="30" t="str">
        <f t="shared" si="47"/>
        <v>Medium</v>
      </c>
      <c r="Q335" s="43">
        <v>0.14499999999999999</v>
      </c>
      <c r="R335" s="42" t="str">
        <f t="shared" si="48"/>
        <v>Medium</v>
      </c>
      <c r="S335" s="17">
        <v>5</v>
      </c>
      <c r="T335" s="30">
        <v>4856.35725</v>
      </c>
      <c r="U335" s="30">
        <v>2406.6</v>
      </c>
      <c r="V335" s="30">
        <v>2449.7572500000001</v>
      </c>
      <c r="W335" s="30">
        <v>0.50444337677175621</v>
      </c>
      <c r="X335" t="str">
        <f t="shared" si="49"/>
        <v>Delayed</v>
      </c>
      <c r="Y335" t="str">
        <f t="shared" si="50"/>
        <v>Compliant Discount</v>
      </c>
      <c r="Z335" s="9">
        <f>MIN(Q335,'Scenario Modelling'!$B$2)</f>
        <v>0.14499999999999999</v>
      </c>
      <c r="AA335">
        <f t="shared" si="51"/>
        <v>971.27144999999996</v>
      </c>
      <c r="AB335">
        <f>N335*(1+'Scenario Modelling'!$B$3)</f>
        <v>529.452</v>
      </c>
      <c r="AC335">
        <f>ROUNDUP(S335*(1+'Scenario Modelling'!$B$4),0)</f>
        <v>6</v>
      </c>
      <c r="AD335">
        <f t="shared" si="52"/>
        <v>5827.6286999999993</v>
      </c>
      <c r="AE335">
        <f t="shared" si="53"/>
        <v>2650.9166999999998</v>
      </c>
    </row>
    <row r="336" spans="1:31" x14ac:dyDescent="0.3">
      <c r="A336" s="36" t="s">
        <v>349</v>
      </c>
      <c r="B336" s="49">
        <v>45391</v>
      </c>
      <c r="C336" s="47" t="str">
        <f t="shared" si="46"/>
        <v>Q2-2024</v>
      </c>
      <c r="D336" s="37">
        <v>45400</v>
      </c>
      <c r="E336" s="16">
        <f t="shared" si="45"/>
        <v>9</v>
      </c>
      <c r="F336" s="38" t="s">
        <v>649</v>
      </c>
      <c r="G336" s="38" t="s">
        <v>657</v>
      </c>
      <c r="H336" s="38" t="s">
        <v>679</v>
      </c>
      <c r="I336" s="38" t="s">
        <v>704</v>
      </c>
      <c r="J336" s="38" t="s">
        <v>708</v>
      </c>
      <c r="K336" s="38" t="s">
        <v>718</v>
      </c>
      <c r="L336" s="38" t="s">
        <v>728</v>
      </c>
      <c r="M336" s="39" t="s">
        <v>1069</v>
      </c>
      <c r="N336" s="40">
        <v>1288.8499999999999</v>
      </c>
      <c r="O336" s="40">
        <v>2751.84</v>
      </c>
      <c r="P336" s="30" t="str">
        <f t="shared" si="47"/>
        <v>High</v>
      </c>
      <c r="Q336" s="44">
        <v>0.158</v>
      </c>
      <c r="R336" s="42" t="str">
        <f t="shared" si="48"/>
        <v>Medium</v>
      </c>
      <c r="S336" s="16">
        <v>7</v>
      </c>
      <c r="T336" s="30">
        <v>16219.34496</v>
      </c>
      <c r="U336" s="30">
        <v>9021.9499999999989</v>
      </c>
      <c r="V336" s="30">
        <v>7197.3949600000014</v>
      </c>
      <c r="W336" s="30">
        <v>0.44375373837538756</v>
      </c>
      <c r="X336" t="str">
        <f t="shared" si="49"/>
        <v>Delayed</v>
      </c>
      <c r="Y336" t="str">
        <f t="shared" si="50"/>
        <v>Compliant Discount</v>
      </c>
      <c r="Z336" s="9">
        <f>MIN(Q336,'Scenario Modelling'!$B$2)</f>
        <v>0.158</v>
      </c>
      <c r="AA336">
        <f t="shared" si="51"/>
        <v>2317.0492800000002</v>
      </c>
      <c r="AB336">
        <f>N336*(1+'Scenario Modelling'!$B$3)</f>
        <v>1417.7350000000001</v>
      </c>
      <c r="AC336">
        <f>ROUNDUP(S336*(1+'Scenario Modelling'!$B$4),0)</f>
        <v>8</v>
      </c>
      <c r="AD336">
        <f t="shared" si="52"/>
        <v>18536.394240000001</v>
      </c>
      <c r="AE336">
        <f t="shared" si="53"/>
        <v>7194.5142400000004</v>
      </c>
    </row>
    <row r="337" spans="1:31" x14ac:dyDescent="0.3">
      <c r="A337" s="31" t="s">
        <v>350</v>
      </c>
      <c r="B337" s="48">
        <v>45484</v>
      </c>
      <c r="C337" s="47" t="str">
        <f t="shared" si="46"/>
        <v>Q3-2024</v>
      </c>
      <c r="D337" s="32">
        <v>45504</v>
      </c>
      <c r="E337" s="17">
        <f t="shared" si="45"/>
        <v>20</v>
      </c>
      <c r="F337" s="33" t="s">
        <v>647</v>
      </c>
      <c r="G337" s="33" t="s">
        <v>659</v>
      </c>
      <c r="H337" s="33" t="s">
        <v>676</v>
      </c>
      <c r="I337" s="33" t="s">
        <v>704</v>
      </c>
      <c r="J337" s="33" t="s">
        <v>708</v>
      </c>
      <c r="K337" s="33" t="s">
        <v>715</v>
      </c>
      <c r="L337" s="33" t="s">
        <v>730</v>
      </c>
      <c r="M337" s="34" t="s">
        <v>1070</v>
      </c>
      <c r="N337" s="35">
        <v>647.26</v>
      </c>
      <c r="O337" s="35">
        <v>1374.72</v>
      </c>
      <c r="P337" s="30" t="str">
        <f t="shared" si="47"/>
        <v>Medium</v>
      </c>
      <c r="Q337" s="43">
        <v>6.6000000000000003E-2</v>
      </c>
      <c r="R337" s="42" t="str">
        <f t="shared" si="48"/>
        <v>Low</v>
      </c>
      <c r="S337" s="17">
        <v>22</v>
      </c>
      <c r="T337" s="30">
        <v>28247.74656</v>
      </c>
      <c r="U337" s="30">
        <v>14239.72</v>
      </c>
      <c r="V337" s="30">
        <v>14008.02656</v>
      </c>
      <c r="W337" s="30">
        <v>0.49589890401508901</v>
      </c>
      <c r="X337" t="str">
        <f t="shared" si="49"/>
        <v>Delayed</v>
      </c>
      <c r="Y337" t="str">
        <f t="shared" si="50"/>
        <v>Compliant Discount</v>
      </c>
      <c r="Z337" s="9">
        <f>MIN(Q337,'Scenario Modelling'!$B$2)</f>
        <v>6.6000000000000003E-2</v>
      </c>
      <c r="AA337">
        <f t="shared" si="51"/>
        <v>1283.98848</v>
      </c>
      <c r="AB337">
        <f>N337*(1+'Scenario Modelling'!$B$3)</f>
        <v>711.9860000000001</v>
      </c>
      <c r="AC337">
        <f>ROUNDUP(S337*(1+'Scenario Modelling'!$B$4),0)</f>
        <v>24</v>
      </c>
      <c r="AD337">
        <f t="shared" si="52"/>
        <v>30815.72352</v>
      </c>
      <c r="AE337">
        <f t="shared" si="53"/>
        <v>13728.059519999997</v>
      </c>
    </row>
    <row r="338" spans="1:31" x14ac:dyDescent="0.3">
      <c r="A338" s="36" t="s">
        <v>351</v>
      </c>
      <c r="B338" s="49">
        <v>45340</v>
      </c>
      <c r="C338" s="47" t="str">
        <f t="shared" si="46"/>
        <v>Q1-2024</v>
      </c>
      <c r="D338" s="37">
        <v>45354</v>
      </c>
      <c r="E338" s="16">
        <f t="shared" si="45"/>
        <v>14</v>
      </c>
      <c r="F338" s="38" t="s">
        <v>648</v>
      </c>
      <c r="G338" s="38" t="s">
        <v>655</v>
      </c>
      <c r="H338" s="38" t="s">
        <v>1424</v>
      </c>
      <c r="I338" s="38" t="s">
        <v>706</v>
      </c>
      <c r="J338" s="38" t="s">
        <v>710</v>
      </c>
      <c r="K338" s="38" t="s">
        <v>720</v>
      </c>
      <c r="L338" s="38" t="s">
        <v>728</v>
      </c>
      <c r="M338" s="39" t="s">
        <v>1071</v>
      </c>
      <c r="N338" s="40">
        <v>624.23</v>
      </c>
      <c r="O338" s="40">
        <v>1318.37</v>
      </c>
      <c r="P338" s="30" t="str">
        <f t="shared" si="47"/>
        <v>Medium</v>
      </c>
      <c r="Q338" s="44">
        <v>0.21</v>
      </c>
      <c r="R338" s="42" t="str">
        <f t="shared" si="48"/>
        <v>High</v>
      </c>
      <c r="S338" s="16">
        <v>37</v>
      </c>
      <c r="T338" s="30">
        <v>38535.955099999999</v>
      </c>
      <c r="U338" s="30">
        <v>23096.510000000002</v>
      </c>
      <c r="V338" s="30">
        <v>15439.445099999997</v>
      </c>
      <c r="W338" s="30">
        <v>0.40065038118128793</v>
      </c>
      <c r="X338" t="str">
        <f t="shared" si="49"/>
        <v>Delayed</v>
      </c>
      <c r="Y338" t="str">
        <f t="shared" si="50"/>
        <v>Non-compliant Discount</v>
      </c>
      <c r="Z338" s="9">
        <f>MIN(Q338,'Scenario Modelling'!$B$2)</f>
        <v>0.2</v>
      </c>
      <c r="AA338">
        <f t="shared" si="51"/>
        <v>1054.6959999999999</v>
      </c>
      <c r="AB338">
        <f>N338*(1+'Scenario Modelling'!$B$3)</f>
        <v>686.65300000000002</v>
      </c>
      <c r="AC338">
        <f>ROUNDUP(S338*(1+'Scenario Modelling'!$B$4),0)</f>
        <v>39</v>
      </c>
      <c r="AD338">
        <f t="shared" si="52"/>
        <v>41133.144</v>
      </c>
      <c r="AE338">
        <f t="shared" si="53"/>
        <v>14353.676999999996</v>
      </c>
    </row>
    <row r="339" spans="1:31" x14ac:dyDescent="0.3">
      <c r="A339" s="31" t="s">
        <v>352</v>
      </c>
      <c r="B339" s="48">
        <v>45132</v>
      </c>
      <c r="C339" s="47" t="str">
        <f t="shared" si="46"/>
        <v>Q3-2023</v>
      </c>
      <c r="D339" s="32">
        <v>45148</v>
      </c>
      <c r="E339" s="17">
        <f t="shared" si="45"/>
        <v>16</v>
      </c>
      <c r="F339" s="33" t="s">
        <v>646</v>
      </c>
      <c r="G339" s="33" t="s">
        <v>651</v>
      </c>
      <c r="H339" s="33" t="s">
        <v>663</v>
      </c>
      <c r="I339" s="33" t="s">
        <v>701</v>
      </c>
      <c r="J339" s="33" t="s">
        <v>710</v>
      </c>
      <c r="K339" s="33" t="s">
        <v>714</v>
      </c>
      <c r="L339" s="33" t="s">
        <v>733</v>
      </c>
      <c r="M339" s="34" t="s">
        <v>1072</v>
      </c>
      <c r="N339" s="35">
        <v>506.83</v>
      </c>
      <c r="O339" s="35">
        <v>441.74</v>
      </c>
      <c r="P339" s="30" t="str">
        <f t="shared" si="47"/>
        <v>Low</v>
      </c>
      <c r="Q339" s="43">
        <v>0.24</v>
      </c>
      <c r="R339" s="42" t="str">
        <f t="shared" si="48"/>
        <v>High</v>
      </c>
      <c r="S339" s="17">
        <v>9</v>
      </c>
      <c r="T339" s="30">
        <v>3021.5016000000001</v>
      </c>
      <c r="U339" s="30">
        <v>4561.47</v>
      </c>
      <c r="V339" s="30">
        <v>-1539.9684000000002</v>
      </c>
      <c r="W339" s="30">
        <v>-0.50966989393618067</v>
      </c>
      <c r="X339" t="str">
        <f t="shared" si="49"/>
        <v>Delayed</v>
      </c>
      <c r="Y339" t="str">
        <f t="shared" si="50"/>
        <v>Non-compliant Discount</v>
      </c>
      <c r="Z339" s="9">
        <f>MIN(Q339,'Scenario Modelling'!$B$2)</f>
        <v>0.2</v>
      </c>
      <c r="AA339">
        <f t="shared" si="51"/>
        <v>353.39200000000005</v>
      </c>
      <c r="AB339">
        <f>N339*(1+'Scenario Modelling'!$B$3)</f>
        <v>557.51300000000003</v>
      </c>
      <c r="AC339">
        <f>ROUNDUP(S339*(1+'Scenario Modelling'!$B$4),0)</f>
        <v>10</v>
      </c>
      <c r="AD339">
        <f t="shared" si="52"/>
        <v>3533.9200000000005</v>
      </c>
      <c r="AE339">
        <f t="shared" si="53"/>
        <v>-2041.2099999999998</v>
      </c>
    </row>
    <row r="340" spans="1:31" x14ac:dyDescent="0.3">
      <c r="A340" s="36" t="s">
        <v>353</v>
      </c>
      <c r="B340" s="49">
        <v>45121</v>
      </c>
      <c r="C340" s="47" t="str">
        <f t="shared" si="46"/>
        <v>Q3-2023</v>
      </c>
      <c r="D340" s="37">
        <v>45128</v>
      </c>
      <c r="E340" s="16">
        <f t="shared" si="45"/>
        <v>7</v>
      </c>
      <c r="F340" s="38" t="s">
        <v>646</v>
      </c>
      <c r="G340" s="38" t="s">
        <v>661</v>
      </c>
      <c r="H340" s="38" t="s">
        <v>687</v>
      </c>
      <c r="I340" s="38" t="s">
        <v>706</v>
      </c>
      <c r="J340" s="38" t="s">
        <v>709</v>
      </c>
      <c r="K340" s="38" t="s">
        <v>1424</v>
      </c>
      <c r="L340" s="38" t="s">
        <v>732</v>
      </c>
      <c r="M340" s="39" t="s">
        <v>1073</v>
      </c>
      <c r="N340" s="40">
        <v>620.74</v>
      </c>
      <c r="O340" s="40">
        <v>1330.07</v>
      </c>
      <c r="P340" s="30" t="str">
        <f t="shared" si="47"/>
        <v>Medium</v>
      </c>
      <c r="Q340" s="44">
        <v>0.29899999999999999</v>
      </c>
      <c r="R340" s="42" t="str">
        <f t="shared" si="48"/>
        <v>High</v>
      </c>
      <c r="S340" s="16">
        <v>28</v>
      </c>
      <c r="T340" s="30">
        <v>26106.613960000002</v>
      </c>
      <c r="U340" s="30">
        <v>17380.72</v>
      </c>
      <c r="V340" s="30">
        <v>8725.8939600000012</v>
      </c>
      <c r="W340" s="30">
        <v>0.33424073965967516</v>
      </c>
      <c r="X340" t="str">
        <f t="shared" si="49"/>
        <v>On-time</v>
      </c>
      <c r="Y340" t="str">
        <f t="shared" si="50"/>
        <v>Non-compliant Discount</v>
      </c>
      <c r="Z340" s="9">
        <f>MIN(Q340,'Scenario Modelling'!$B$2)</f>
        <v>0.2</v>
      </c>
      <c r="AA340">
        <f t="shared" si="51"/>
        <v>1064.056</v>
      </c>
      <c r="AB340">
        <f>N340*(1+'Scenario Modelling'!$B$3)</f>
        <v>682.81400000000008</v>
      </c>
      <c r="AC340">
        <f>ROUNDUP(S340*(1+'Scenario Modelling'!$B$4),0)</f>
        <v>30</v>
      </c>
      <c r="AD340">
        <f t="shared" si="52"/>
        <v>31921.68</v>
      </c>
      <c r="AE340">
        <f t="shared" si="53"/>
        <v>11437.259999999998</v>
      </c>
    </row>
    <row r="341" spans="1:31" x14ac:dyDescent="0.3">
      <c r="A341" s="31" t="s">
        <v>354</v>
      </c>
      <c r="B341" s="48">
        <v>45131</v>
      </c>
      <c r="C341" s="47" t="str">
        <f t="shared" si="46"/>
        <v>Q3-2023</v>
      </c>
      <c r="D341" s="32">
        <v>45157</v>
      </c>
      <c r="E341" s="17">
        <f t="shared" si="45"/>
        <v>26</v>
      </c>
      <c r="F341" s="33" t="s">
        <v>646</v>
      </c>
      <c r="G341" s="33" t="s">
        <v>650</v>
      </c>
      <c r="H341" s="33" t="s">
        <v>664</v>
      </c>
      <c r="I341" s="33" t="s">
        <v>706</v>
      </c>
      <c r="J341" s="33" t="s">
        <v>710</v>
      </c>
      <c r="K341" s="33" t="s">
        <v>724</v>
      </c>
      <c r="L341" s="33" t="s">
        <v>733</v>
      </c>
      <c r="M341" s="34" t="s">
        <v>1074</v>
      </c>
      <c r="N341" s="35">
        <v>661.45</v>
      </c>
      <c r="O341" s="35">
        <v>1634.86</v>
      </c>
      <c r="P341" s="30" t="str">
        <f t="shared" si="47"/>
        <v>Medium</v>
      </c>
      <c r="Q341" s="43">
        <v>0.3</v>
      </c>
      <c r="R341" s="42" t="str">
        <f t="shared" si="48"/>
        <v>High</v>
      </c>
      <c r="S341" s="17">
        <v>24</v>
      </c>
      <c r="T341" s="30">
        <v>27465.647999999997</v>
      </c>
      <c r="U341" s="30">
        <v>15874.800000000001</v>
      </c>
      <c r="V341" s="30">
        <v>11590.847999999996</v>
      </c>
      <c r="W341" s="30">
        <v>0.42201254454291404</v>
      </c>
      <c r="X341" t="str">
        <f t="shared" si="49"/>
        <v>Delayed</v>
      </c>
      <c r="Y341" t="str">
        <f t="shared" si="50"/>
        <v>Non-compliant Discount</v>
      </c>
      <c r="Z341" s="9">
        <f>MIN(Q341,'Scenario Modelling'!$B$2)</f>
        <v>0.2</v>
      </c>
      <c r="AA341">
        <f t="shared" si="51"/>
        <v>1307.8879999999999</v>
      </c>
      <c r="AB341">
        <f>N341*(1+'Scenario Modelling'!$B$3)</f>
        <v>727.59500000000014</v>
      </c>
      <c r="AC341">
        <f>ROUNDUP(S341*(1+'Scenario Modelling'!$B$4),0)</f>
        <v>26</v>
      </c>
      <c r="AD341">
        <f t="shared" si="52"/>
        <v>34005.087999999996</v>
      </c>
      <c r="AE341">
        <f t="shared" si="53"/>
        <v>15087.617999999995</v>
      </c>
    </row>
    <row r="342" spans="1:31" x14ac:dyDescent="0.3">
      <c r="A342" s="36" t="s">
        <v>355</v>
      </c>
      <c r="B342" s="49">
        <v>45029</v>
      </c>
      <c r="C342" s="47" t="str">
        <f t="shared" si="46"/>
        <v>Q2-2023</v>
      </c>
      <c r="D342" s="37">
        <v>45036</v>
      </c>
      <c r="E342" s="16">
        <f t="shared" si="45"/>
        <v>7</v>
      </c>
      <c r="F342" s="38" t="s">
        <v>648</v>
      </c>
      <c r="G342" s="38" t="s">
        <v>660</v>
      </c>
      <c r="H342" s="38" t="s">
        <v>686</v>
      </c>
      <c r="I342" s="38" t="s">
        <v>702</v>
      </c>
      <c r="J342" s="38" t="s">
        <v>709</v>
      </c>
      <c r="K342" s="38" t="s">
        <v>715</v>
      </c>
      <c r="L342" s="38" t="s">
        <v>729</v>
      </c>
      <c r="M342" s="39" t="s">
        <v>1075</v>
      </c>
      <c r="N342" s="40">
        <v>32.1</v>
      </c>
      <c r="O342" s="40">
        <v>70.599999999999994</v>
      </c>
      <c r="P342" s="30" t="str">
        <f t="shared" si="47"/>
        <v>Low</v>
      </c>
      <c r="Q342" s="44">
        <v>0.28199999999999997</v>
      </c>
      <c r="R342" s="42" t="str">
        <f t="shared" si="48"/>
        <v>High</v>
      </c>
      <c r="S342" s="16">
        <v>22</v>
      </c>
      <c r="T342" s="30">
        <v>1115.1975999999997</v>
      </c>
      <c r="U342" s="30">
        <v>706.2</v>
      </c>
      <c r="V342" s="30">
        <v>408.99759999999969</v>
      </c>
      <c r="W342" s="30">
        <v>0.36674899587301818</v>
      </c>
      <c r="X342" t="str">
        <f t="shared" si="49"/>
        <v>On-time</v>
      </c>
      <c r="Y342" t="str">
        <f t="shared" si="50"/>
        <v>Non-compliant Discount</v>
      </c>
      <c r="Z342" s="9">
        <f>MIN(Q342,'Scenario Modelling'!$B$2)</f>
        <v>0.2</v>
      </c>
      <c r="AA342">
        <f t="shared" si="51"/>
        <v>56.48</v>
      </c>
      <c r="AB342">
        <f>N342*(1+'Scenario Modelling'!$B$3)</f>
        <v>35.31</v>
      </c>
      <c r="AC342">
        <f>ROUNDUP(S342*(1+'Scenario Modelling'!$B$4),0)</f>
        <v>24</v>
      </c>
      <c r="AD342">
        <f t="shared" si="52"/>
        <v>1355.52</v>
      </c>
      <c r="AE342">
        <f t="shared" si="53"/>
        <v>508.07999999999987</v>
      </c>
    </row>
    <row r="343" spans="1:31" x14ac:dyDescent="0.3">
      <c r="A343" s="31" t="s">
        <v>356</v>
      </c>
      <c r="B343" s="48">
        <v>45594</v>
      </c>
      <c r="C343" s="47" t="str">
        <f t="shared" si="46"/>
        <v>Q4-2024</v>
      </c>
      <c r="D343" s="32">
        <v>45600</v>
      </c>
      <c r="E343" s="17">
        <f t="shared" si="45"/>
        <v>6</v>
      </c>
      <c r="F343" s="33" t="s">
        <v>646</v>
      </c>
      <c r="G343" s="33" t="s">
        <v>650</v>
      </c>
      <c r="H343" s="33" t="s">
        <v>664</v>
      </c>
      <c r="I343" s="33" t="s">
        <v>701</v>
      </c>
      <c r="J343" s="33" t="s">
        <v>710</v>
      </c>
      <c r="K343" s="33" t="s">
        <v>724</v>
      </c>
      <c r="L343" s="33" t="s">
        <v>728</v>
      </c>
      <c r="M343" s="34" t="s">
        <v>1076</v>
      </c>
      <c r="N343" s="35">
        <v>805.81</v>
      </c>
      <c r="O343" s="35">
        <v>1823.04</v>
      </c>
      <c r="P343" s="30" t="str">
        <f t="shared" si="47"/>
        <v>High</v>
      </c>
      <c r="Q343" s="43">
        <v>0</v>
      </c>
      <c r="R343" s="42" t="str">
        <f t="shared" si="48"/>
        <v>Low</v>
      </c>
      <c r="S343" s="17">
        <v>11</v>
      </c>
      <c r="T343" s="30">
        <v>20053.439999999999</v>
      </c>
      <c r="U343" s="30">
        <v>8863.91</v>
      </c>
      <c r="V343" s="30">
        <v>11189.529999999999</v>
      </c>
      <c r="W343" s="30">
        <v>0.55798556257679477</v>
      </c>
      <c r="X343" t="str">
        <f t="shared" si="49"/>
        <v>On-time</v>
      </c>
      <c r="Y343" t="str">
        <f t="shared" si="50"/>
        <v>Compliant Discount</v>
      </c>
      <c r="Z343" s="9">
        <f>MIN(Q343,'Scenario Modelling'!$B$2)</f>
        <v>0</v>
      </c>
      <c r="AA343">
        <f t="shared" si="51"/>
        <v>1823.04</v>
      </c>
      <c r="AB343">
        <f>N343*(1+'Scenario Modelling'!$B$3)</f>
        <v>886.39099999999996</v>
      </c>
      <c r="AC343">
        <f>ROUNDUP(S343*(1+'Scenario Modelling'!$B$4),0)</f>
        <v>12</v>
      </c>
      <c r="AD343">
        <f t="shared" si="52"/>
        <v>21876.48</v>
      </c>
      <c r="AE343">
        <f t="shared" si="53"/>
        <v>11239.788</v>
      </c>
    </row>
    <row r="344" spans="1:31" x14ac:dyDescent="0.3">
      <c r="A344" s="36" t="s">
        <v>357</v>
      </c>
      <c r="B344" s="49">
        <v>45339</v>
      </c>
      <c r="C344" s="47" t="str">
        <f t="shared" si="46"/>
        <v>Q1-2024</v>
      </c>
      <c r="D344" s="37">
        <v>45355</v>
      </c>
      <c r="E344" s="16">
        <f t="shared" si="45"/>
        <v>16</v>
      </c>
      <c r="F344" s="38" t="s">
        <v>647</v>
      </c>
      <c r="G344" s="38" t="s">
        <v>654</v>
      </c>
      <c r="H344" s="38" t="s">
        <v>680</v>
      </c>
      <c r="I344" s="38" t="s">
        <v>705</v>
      </c>
      <c r="J344" s="38" t="s">
        <v>709</v>
      </c>
      <c r="K344" s="38" t="s">
        <v>721</v>
      </c>
      <c r="L344" s="38" t="s">
        <v>730</v>
      </c>
      <c r="M344" s="39" t="s">
        <v>1077</v>
      </c>
      <c r="N344" s="40">
        <v>1231.8</v>
      </c>
      <c r="O344" s="40">
        <v>2015.99</v>
      </c>
      <c r="P344" s="30" t="str">
        <f t="shared" si="47"/>
        <v>High</v>
      </c>
      <c r="Q344" s="44">
        <v>0.26100000000000001</v>
      </c>
      <c r="R344" s="42" t="str">
        <f t="shared" si="48"/>
        <v>High</v>
      </c>
      <c r="S344" s="16">
        <v>6</v>
      </c>
      <c r="T344" s="30">
        <v>8938.8996600000009</v>
      </c>
      <c r="U344" s="30">
        <v>7390.7999999999993</v>
      </c>
      <c r="V344" s="30">
        <v>1548.0996600000017</v>
      </c>
      <c r="W344" s="30">
        <v>0.17318682599464391</v>
      </c>
      <c r="X344" t="str">
        <f t="shared" si="49"/>
        <v>Delayed</v>
      </c>
      <c r="Y344" t="str">
        <f t="shared" si="50"/>
        <v>Non-compliant Discount</v>
      </c>
      <c r="Z344" s="9">
        <f>MIN(Q344,'Scenario Modelling'!$B$2)</f>
        <v>0.2</v>
      </c>
      <c r="AA344">
        <f t="shared" si="51"/>
        <v>1612.7920000000001</v>
      </c>
      <c r="AB344">
        <f>N344*(1+'Scenario Modelling'!$B$3)</f>
        <v>1354.98</v>
      </c>
      <c r="AC344">
        <f>ROUNDUP(S344*(1+'Scenario Modelling'!$B$4),0)</f>
        <v>7</v>
      </c>
      <c r="AD344">
        <f t="shared" si="52"/>
        <v>11289.544000000002</v>
      </c>
      <c r="AE344">
        <f t="shared" si="53"/>
        <v>1804.6840000000009</v>
      </c>
    </row>
    <row r="345" spans="1:31" x14ac:dyDescent="0.3">
      <c r="A345" s="31" t="s">
        <v>358</v>
      </c>
      <c r="B345" s="48">
        <v>45486</v>
      </c>
      <c r="C345" s="47" t="str">
        <f t="shared" si="46"/>
        <v>Q3-2024</v>
      </c>
      <c r="D345" s="32">
        <v>45493</v>
      </c>
      <c r="E345" s="17">
        <f t="shared" si="45"/>
        <v>7</v>
      </c>
      <c r="F345" s="33" t="s">
        <v>647</v>
      </c>
      <c r="G345" s="33" t="s">
        <v>652</v>
      </c>
      <c r="H345" s="33" t="s">
        <v>694</v>
      </c>
      <c r="I345" s="33" t="s">
        <v>705</v>
      </c>
      <c r="J345" s="33" t="s">
        <v>709</v>
      </c>
      <c r="K345" s="33" t="s">
        <v>721</v>
      </c>
      <c r="L345" s="33" t="s">
        <v>729</v>
      </c>
      <c r="M345" s="34" t="s">
        <v>1078</v>
      </c>
      <c r="N345" s="35">
        <v>105.13</v>
      </c>
      <c r="O345" s="35">
        <v>244.13</v>
      </c>
      <c r="P345" s="30" t="str">
        <f t="shared" si="47"/>
        <v>Low</v>
      </c>
      <c r="Q345" s="43">
        <v>7.0999999999999994E-2</v>
      </c>
      <c r="R345" s="42" t="str">
        <f t="shared" si="48"/>
        <v>Low</v>
      </c>
      <c r="S345" s="17">
        <v>14</v>
      </c>
      <c r="T345" s="30">
        <v>3175.1547799999998</v>
      </c>
      <c r="U345" s="30">
        <v>1471.82</v>
      </c>
      <c r="V345" s="30">
        <v>1703.3347799999999</v>
      </c>
      <c r="W345" s="30">
        <v>0.53645724319618837</v>
      </c>
      <c r="X345" t="str">
        <f t="shared" si="49"/>
        <v>On-time</v>
      </c>
      <c r="Y345" t="str">
        <f t="shared" si="50"/>
        <v>Compliant Discount</v>
      </c>
      <c r="Z345" s="9">
        <f>MIN(Q345,'Scenario Modelling'!$B$2)</f>
        <v>7.0999999999999994E-2</v>
      </c>
      <c r="AA345">
        <f t="shared" si="51"/>
        <v>226.79677000000001</v>
      </c>
      <c r="AB345">
        <f>N345*(1+'Scenario Modelling'!$B$3)</f>
        <v>115.643</v>
      </c>
      <c r="AC345">
        <f>ROUNDUP(S345*(1+'Scenario Modelling'!$B$4),0)</f>
        <v>15</v>
      </c>
      <c r="AD345">
        <f t="shared" si="52"/>
        <v>3401.9515500000002</v>
      </c>
      <c r="AE345">
        <f t="shared" si="53"/>
        <v>1667.3065500000002</v>
      </c>
    </row>
    <row r="346" spans="1:31" x14ac:dyDescent="0.3">
      <c r="A346" s="36" t="s">
        <v>359</v>
      </c>
      <c r="B346" s="49">
        <v>45261</v>
      </c>
      <c r="C346" s="47" t="str">
        <f t="shared" si="46"/>
        <v>Q4-2023</v>
      </c>
      <c r="D346" s="37">
        <v>45278</v>
      </c>
      <c r="E346" s="16">
        <f t="shared" si="45"/>
        <v>17</v>
      </c>
      <c r="F346" s="38" t="s">
        <v>647</v>
      </c>
      <c r="G346" s="38" t="s">
        <v>652</v>
      </c>
      <c r="H346" s="38" t="s">
        <v>694</v>
      </c>
      <c r="I346" s="38" t="s">
        <v>705</v>
      </c>
      <c r="J346" s="38" t="s">
        <v>711</v>
      </c>
      <c r="K346" s="38" t="s">
        <v>725</v>
      </c>
      <c r="L346" s="38" t="s">
        <v>731</v>
      </c>
      <c r="M346" s="39" t="s">
        <v>1079</v>
      </c>
      <c r="N346" s="40">
        <v>1495.79</v>
      </c>
      <c r="O346" s="40">
        <v>2783.12</v>
      </c>
      <c r="P346" s="30" t="str">
        <f t="shared" si="47"/>
        <v>High</v>
      </c>
      <c r="Q346" s="44">
        <v>0.02</v>
      </c>
      <c r="R346" s="42" t="str">
        <f t="shared" si="48"/>
        <v>Low</v>
      </c>
      <c r="S346" s="16">
        <v>5</v>
      </c>
      <c r="T346" s="30">
        <v>13637.287999999999</v>
      </c>
      <c r="U346" s="30">
        <v>7478.95</v>
      </c>
      <c r="V346" s="30">
        <v>6158.3379999999988</v>
      </c>
      <c r="W346" s="30">
        <v>0.45158084217331185</v>
      </c>
      <c r="X346" t="str">
        <f t="shared" si="49"/>
        <v>Delayed</v>
      </c>
      <c r="Y346" t="str">
        <f t="shared" si="50"/>
        <v>Compliant Discount</v>
      </c>
      <c r="Z346" s="9">
        <f>MIN(Q346,'Scenario Modelling'!$B$2)</f>
        <v>0.02</v>
      </c>
      <c r="AA346">
        <f t="shared" si="51"/>
        <v>2727.4575999999997</v>
      </c>
      <c r="AB346">
        <f>N346*(1+'Scenario Modelling'!$B$3)</f>
        <v>1645.3690000000001</v>
      </c>
      <c r="AC346">
        <f>ROUNDUP(S346*(1+'Scenario Modelling'!$B$4),0)</f>
        <v>6</v>
      </c>
      <c r="AD346">
        <f t="shared" si="52"/>
        <v>16364.745599999998</v>
      </c>
      <c r="AE346">
        <f t="shared" si="53"/>
        <v>6492.5315999999975</v>
      </c>
    </row>
    <row r="347" spans="1:31" x14ac:dyDescent="0.3">
      <c r="A347" s="31" t="s">
        <v>360</v>
      </c>
      <c r="B347" s="48">
        <v>45498</v>
      </c>
      <c r="C347" s="47" t="str">
        <f t="shared" si="46"/>
        <v>Q3-2024</v>
      </c>
      <c r="D347" s="32">
        <v>45506</v>
      </c>
      <c r="E347" s="17">
        <f t="shared" si="45"/>
        <v>8</v>
      </c>
      <c r="F347" s="33" t="s">
        <v>648</v>
      </c>
      <c r="G347" s="33" t="s">
        <v>653</v>
      </c>
      <c r="H347" s="33" t="s">
        <v>681</v>
      </c>
      <c r="I347" s="33" t="s">
        <v>704</v>
      </c>
      <c r="J347" s="33" t="s">
        <v>711</v>
      </c>
      <c r="K347" s="33" t="s">
        <v>713</v>
      </c>
      <c r="L347" s="33" t="s">
        <v>733</v>
      </c>
      <c r="M347" s="34" t="s">
        <v>1080</v>
      </c>
      <c r="N347" s="35">
        <v>986.81</v>
      </c>
      <c r="O347" s="35">
        <v>2050.31</v>
      </c>
      <c r="P347" s="30" t="str">
        <f t="shared" si="47"/>
        <v>High</v>
      </c>
      <c r="Q347" s="43">
        <v>0.10299999999999999</v>
      </c>
      <c r="R347" s="42" t="str">
        <f t="shared" si="48"/>
        <v>Medium</v>
      </c>
      <c r="S347" s="17">
        <v>43</v>
      </c>
      <c r="T347" s="30">
        <v>79082.507010000001</v>
      </c>
      <c r="U347" s="30">
        <v>42432.829999999994</v>
      </c>
      <c r="V347" s="30">
        <v>36649.677010000007</v>
      </c>
      <c r="W347" s="30">
        <v>0.46343595310358138</v>
      </c>
      <c r="X347" t="str">
        <f t="shared" si="49"/>
        <v>Delayed</v>
      </c>
      <c r="Y347" t="str">
        <f t="shared" si="50"/>
        <v>Compliant Discount</v>
      </c>
      <c r="Z347" s="9">
        <f>MIN(Q347,'Scenario Modelling'!$B$2)</f>
        <v>0.10299999999999999</v>
      </c>
      <c r="AA347">
        <f t="shared" si="51"/>
        <v>1839.12807</v>
      </c>
      <c r="AB347">
        <f>N347*(1+'Scenario Modelling'!$B$3)</f>
        <v>1085.491</v>
      </c>
      <c r="AC347">
        <f>ROUNDUP(S347*(1+'Scenario Modelling'!$B$4),0)</f>
        <v>46</v>
      </c>
      <c r="AD347">
        <f t="shared" si="52"/>
        <v>84599.891220000005</v>
      </c>
      <c r="AE347">
        <f t="shared" si="53"/>
        <v>34667.305220000002</v>
      </c>
    </row>
    <row r="348" spans="1:31" x14ac:dyDescent="0.3">
      <c r="A348" s="36" t="s">
        <v>361</v>
      </c>
      <c r="B348" s="49">
        <v>45050</v>
      </c>
      <c r="C348" s="47" t="str">
        <f t="shared" si="46"/>
        <v>Q2-2023</v>
      </c>
      <c r="D348" s="37">
        <v>45062</v>
      </c>
      <c r="E348" s="16">
        <f t="shared" si="45"/>
        <v>12</v>
      </c>
      <c r="F348" s="38" t="s">
        <v>646</v>
      </c>
      <c r="G348" s="38" t="s">
        <v>651</v>
      </c>
      <c r="H348" s="38" t="s">
        <v>669</v>
      </c>
      <c r="I348" s="38" t="s">
        <v>705</v>
      </c>
      <c r="J348" s="38" t="s">
        <v>709</v>
      </c>
      <c r="K348" s="38" t="s">
        <v>713</v>
      </c>
      <c r="L348" s="38" t="s">
        <v>730</v>
      </c>
      <c r="M348" s="39" t="s">
        <v>1081</v>
      </c>
      <c r="N348" s="40">
        <v>77.739999999999995</v>
      </c>
      <c r="O348" s="40">
        <v>147.12</v>
      </c>
      <c r="P348" s="30" t="str">
        <f t="shared" si="47"/>
        <v>Low</v>
      </c>
      <c r="Q348" s="44">
        <v>0</v>
      </c>
      <c r="R348" s="42" t="str">
        <f t="shared" si="48"/>
        <v>Low</v>
      </c>
      <c r="S348" s="16">
        <v>15</v>
      </c>
      <c r="T348" s="30">
        <v>2206.8000000000002</v>
      </c>
      <c r="U348" s="30">
        <v>1166.0999999999999</v>
      </c>
      <c r="V348" s="30">
        <v>1040.7000000000003</v>
      </c>
      <c r="W348" s="30">
        <v>0.47158781946710177</v>
      </c>
      <c r="X348" t="str">
        <f t="shared" si="49"/>
        <v>Delayed</v>
      </c>
      <c r="Y348" t="str">
        <f t="shared" si="50"/>
        <v>Compliant Discount</v>
      </c>
      <c r="Z348" s="9">
        <f>MIN(Q348,'Scenario Modelling'!$B$2)</f>
        <v>0</v>
      </c>
      <c r="AA348">
        <f t="shared" si="51"/>
        <v>147.12</v>
      </c>
      <c r="AB348">
        <f>N348*(1+'Scenario Modelling'!$B$3)</f>
        <v>85.513999999999996</v>
      </c>
      <c r="AC348">
        <f>ROUNDUP(S348*(1+'Scenario Modelling'!$B$4),0)</f>
        <v>16</v>
      </c>
      <c r="AD348">
        <f t="shared" si="52"/>
        <v>2353.92</v>
      </c>
      <c r="AE348">
        <f t="shared" si="53"/>
        <v>985.69600000000014</v>
      </c>
    </row>
    <row r="349" spans="1:31" x14ac:dyDescent="0.3">
      <c r="A349" s="31" t="s">
        <v>362</v>
      </c>
      <c r="B349" s="48">
        <v>45281</v>
      </c>
      <c r="C349" s="47" t="str">
        <f t="shared" si="46"/>
        <v>Q4-2023</v>
      </c>
      <c r="D349" s="32">
        <v>45297</v>
      </c>
      <c r="E349" s="17">
        <f t="shared" si="45"/>
        <v>16</v>
      </c>
      <c r="F349" s="33" t="s">
        <v>646</v>
      </c>
      <c r="G349" s="33" t="s">
        <v>651</v>
      </c>
      <c r="H349" s="33" t="s">
        <v>1424</v>
      </c>
      <c r="I349" s="33" t="s">
        <v>701</v>
      </c>
      <c r="J349" s="33" t="s">
        <v>709</v>
      </c>
      <c r="K349" s="33" t="s">
        <v>723</v>
      </c>
      <c r="L349" s="33" t="s">
        <v>727</v>
      </c>
      <c r="M349" s="34" t="s">
        <v>1082</v>
      </c>
      <c r="N349" s="35">
        <v>932.61</v>
      </c>
      <c r="O349" s="35">
        <v>1982.98</v>
      </c>
      <c r="P349" s="30" t="str">
        <f t="shared" si="47"/>
        <v>High</v>
      </c>
      <c r="Q349" s="43">
        <v>0.14399999999999999</v>
      </c>
      <c r="R349" s="42" t="str">
        <f t="shared" si="48"/>
        <v>Medium</v>
      </c>
      <c r="S349" s="17">
        <v>16</v>
      </c>
      <c r="T349" s="30">
        <v>27158.894079999998</v>
      </c>
      <c r="U349" s="30">
        <v>14921.76</v>
      </c>
      <c r="V349" s="30">
        <v>12237.134079999998</v>
      </c>
      <c r="W349" s="30">
        <v>0.45057556629345635</v>
      </c>
      <c r="X349" t="str">
        <f t="shared" si="49"/>
        <v>Delayed</v>
      </c>
      <c r="Y349" t="str">
        <f t="shared" si="50"/>
        <v>Compliant Discount</v>
      </c>
      <c r="Z349" s="9">
        <f>MIN(Q349,'Scenario Modelling'!$B$2)</f>
        <v>0.14399999999999999</v>
      </c>
      <c r="AA349">
        <f t="shared" si="51"/>
        <v>1697.4308799999999</v>
      </c>
      <c r="AB349">
        <f>N349*(1+'Scenario Modelling'!$B$3)</f>
        <v>1025.8710000000001</v>
      </c>
      <c r="AC349">
        <f>ROUNDUP(S349*(1+'Scenario Modelling'!$B$4),0)</f>
        <v>17</v>
      </c>
      <c r="AD349">
        <f t="shared" si="52"/>
        <v>28856.324959999998</v>
      </c>
      <c r="AE349">
        <f t="shared" si="53"/>
        <v>11416.517959999997</v>
      </c>
    </row>
    <row r="350" spans="1:31" x14ac:dyDescent="0.3">
      <c r="A350" s="36" t="s">
        <v>363</v>
      </c>
      <c r="B350" s="49">
        <v>45825</v>
      </c>
      <c r="C350" s="47" t="str">
        <f t="shared" si="46"/>
        <v>Q2-2025</v>
      </c>
      <c r="D350" s="37">
        <v>45843</v>
      </c>
      <c r="E350" s="16">
        <f t="shared" si="45"/>
        <v>18</v>
      </c>
      <c r="F350" s="38" t="s">
        <v>647</v>
      </c>
      <c r="G350" s="38" t="s">
        <v>654</v>
      </c>
      <c r="H350" s="38" t="s">
        <v>680</v>
      </c>
      <c r="I350" s="38" t="s">
        <v>704</v>
      </c>
      <c r="J350" s="38" t="s">
        <v>709</v>
      </c>
      <c r="K350" s="38" t="s">
        <v>716</v>
      </c>
      <c r="L350" s="38" t="s">
        <v>731</v>
      </c>
      <c r="M350" s="39" t="s">
        <v>1083</v>
      </c>
      <c r="N350" s="40">
        <v>982.93</v>
      </c>
      <c r="O350" s="40">
        <v>2299.3000000000002</v>
      </c>
      <c r="P350" s="30" t="str">
        <f t="shared" si="47"/>
        <v>High</v>
      </c>
      <c r="Q350" s="44">
        <v>0.113</v>
      </c>
      <c r="R350" s="42" t="str">
        <f t="shared" si="48"/>
        <v>Medium</v>
      </c>
      <c r="S350" s="16">
        <v>6</v>
      </c>
      <c r="T350" s="30">
        <v>12236.874600000001</v>
      </c>
      <c r="U350" s="30">
        <v>5897.58</v>
      </c>
      <c r="V350" s="30">
        <v>6339.2946000000011</v>
      </c>
      <c r="W350" s="30">
        <v>0.51804850562087157</v>
      </c>
      <c r="X350" t="str">
        <f t="shared" si="49"/>
        <v>Delayed</v>
      </c>
      <c r="Y350" t="str">
        <f t="shared" si="50"/>
        <v>Compliant Discount</v>
      </c>
      <c r="Z350" s="9">
        <f>MIN(Q350,'Scenario Modelling'!$B$2)</f>
        <v>0.113</v>
      </c>
      <c r="AA350">
        <f t="shared" si="51"/>
        <v>2039.4791000000002</v>
      </c>
      <c r="AB350">
        <f>N350*(1+'Scenario Modelling'!$B$3)</f>
        <v>1081.223</v>
      </c>
      <c r="AC350">
        <f>ROUNDUP(S350*(1+'Scenario Modelling'!$B$4),0)</f>
        <v>7</v>
      </c>
      <c r="AD350">
        <f t="shared" si="52"/>
        <v>14276.353700000001</v>
      </c>
      <c r="AE350">
        <f t="shared" si="53"/>
        <v>6707.7927000000018</v>
      </c>
    </row>
    <row r="351" spans="1:31" x14ac:dyDescent="0.3">
      <c r="A351" s="31" t="s">
        <v>364</v>
      </c>
      <c r="B351" s="48">
        <v>44980</v>
      </c>
      <c r="C351" s="47" t="str">
        <f t="shared" si="46"/>
        <v>Q1-2023</v>
      </c>
      <c r="D351" s="32">
        <v>44993</v>
      </c>
      <c r="E351" s="17">
        <f t="shared" si="45"/>
        <v>13</v>
      </c>
      <c r="F351" s="33" t="s">
        <v>649</v>
      </c>
      <c r="G351" s="33" t="s">
        <v>658</v>
      </c>
      <c r="H351" s="33" t="s">
        <v>693</v>
      </c>
      <c r="I351" s="33" t="s">
        <v>705</v>
      </c>
      <c r="J351" s="33" t="s">
        <v>711</v>
      </c>
      <c r="K351" s="33" t="s">
        <v>712</v>
      </c>
      <c r="L351" s="33" t="s">
        <v>728</v>
      </c>
      <c r="M351" s="34" t="s">
        <v>1084</v>
      </c>
      <c r="N351" s="35">
        <v>307.37</v>
      </c>
      <c r="O351" s="35">
        <v>462.61</v>
      </c>
      <c r="P351" s="30" t="str">
        <f t="shared" si="47"/>
        <v>Low</v>
      </c>
      <c r="Q351" s="43">
        <v>0.188</v>
      </c>
      <c r="R351" s="42" t="str">
        <f t="shared" si="48"/>
        <v>Medium</v>
      </c>
      <c r="S351" s="17">
        <v>11</v>
      </c>
      <c r="T351" s="30">
        <v>4132.0325200000007</v>
      </c>
      <c r="U351" s="30">
        <v>3381.07</v>
      </c>
      <c r="V351" s="30">
        <v>750.9625200000005</v>
      </c>
      <c r="W351" s="30">
        <v>0.18174167709599739</v>
      </c>
      <c r="X351" t="str">
        <f t="shared" si="49"/>
        <v>Delayed</v>
      </c>
      <c r="Y351" t="str">
        <f t="shared" si="50"/>
        <v>Compliant Discount</v>
      </c>
      <c r="Z351" s="9">
        <f>MIN(Q351,'Scenario Modelling'!$B$2)</f>
        <v>0.188</v>
      </c>
      <c r="AA351">
        <f t="shared" si="51"/>
        <v>375.63932000000005</v>
      </c>
      <c r="AB351">
        <f>N351*(1+'Scenario Modelling'!$B$3)</f>
        <v>338.10700000000003</v>
      </c>
      <c r="AC351">
        <f>ROUNDUP(S351*(1+'Scenario Modelling'!$B$4),0)</f>
        <v>12</v>
      </c>
      <c r="AD351">
        <f t="shared" si="52"/>
        <v>4507.6718400000009</v>
      </c>
      <c r="AE351">
        <f t="shared" si="53"/>
        <v>450.38784000000032</v>
      </c>
    </row>
    <row r="352" spans="1:31" x14ac:dyDescent="0.3">
      <c r="A352" s="36" t="s">
        <v>365</v>
      </c>
      <c r="B352" s="49">
        <v>45262</v>
      </c>
      <c r="C352" s="47" t="str">
        <f t="shared" si="46"/>
        <v>Q4-2023</v>
      </c>
      <c r="D352" s="37">
        <v>45276</v>
      </c>
      <c r="E352" s="16">
        <f t="shared" si="45"/>
        <v>14</v>
      </c>
      <c r="F352" s="38" t="s">
        <v>649</v>
      </c>
      <c r="G352" s="38" t="s">
        <v>656</v>
      </c>
      <c r="H352" s="38" t="s">
        <v>698</v>
      </c>
      <c r="I352" s="38" t="s">
        <v>702</v>
      </c>
      <c r="J352" s="38" t="s">
        <v>711</v>
      </c>
      <c r="K352" s="38" t="s">
        <v>725</v>
      </c>
      <c r="L352" s="38" t="s">
        <v>732</v>
      </c>
      <c r="M352" s="39" t="s">
        <v>1085</v>
      </c>
      <c r="N352" s="40">
        <v>879.08</v>
      </c>
      <c r="O352" s="40">
        <v>1093.3900000000001</v>
      </c>
      <c r="P352" s="30" t="str">
        <f t="shared" si="47"/>
        <v>Medium</v>
      </c>
      <c r="Q352" s="44">
        <v>0.113</v>
      </c>
      <c r="R352" s="42" t="str">
        <f t="shared" si="48"/>
        <v>Medium</v>
      </c>
      <c r="S352" s="16">
        <v>17</v>
      </c>
      <c r="T352" s="30">
        <v>16487.22781</v>
      </c>
      <c r="U352" s="30">
        <v>14944.36</v>
      </c>
      <c r="V352" s="30">
        <v>1542.8678099999997</v>
      </c>
      <c r="W352" s="30">
        <v>9.3579577341935186E-2</v>
      </c>
      <c r="X352" t="str">
        <f t="shared" si="49"/>
        <v>Delayed</v>
      </c>
      <c r="Y352" t="str">
        <f t="shared" si="50"/>
        <v>Compliant Discount</v>
      </c>
      <c r="Z352" s="9">
        <f>MIN(Q352,'Scenario Modelling'!$B$2)</f>
        <v>0.113</v>
      </c>
      <c r="AA352">
        <f t="shared" si="51"/>
        <v>969.83693000000005</v>
      </c>
      <c r="AB352">
        <f>N352*(1+'Scenario Modelling'!$B$3)</f>
        <v>966.98800000000017</v>
      </c>
      <c r="AC352">
        <f>ROUNDUP(S352*(1+'Scenario Modelling'!$B$4),0)</f>
        <v>18</v>
      </c>
      <c r="AD352">
        <f t="shared" si="52"/>
        <v>17457.064740000002</v>
      </c>
      <c r="AE352">
        <f t="shared" si="53"/>
        <v>51.280739999997877</v>
      </c>
    </row>
    <row r="353" spans="1:31" x14ac:dyDescent="0.3">
      <c r="A353" s="31" t="s">
        <v>366</v>
      </c>
      <c r="B353" s="48">
        <v>45121</v>
      </c>
      <c r="C353" s="47" t="str">
        <f t="shared" si="46"/>
        <v>Q3-2023</v>
      </c>
      <c r="D353" s="32">
        <v>45121</v>
      </c>
      <c r="E353" s="17">
        <f t="shared" si="45"/>
        <v>0</v>
      </c>
      <c r="F353" s="33" t="s">
        <v>646</v>
      </c>
      <c r="G353" s="33" t="s">
        <v>651</v>
      </c>
      <c r="H353" s="33" t="s">
        <v>665</v>
      </c>
      <c r="I353" s="33" t="s">
        <v>702</v>
      </c>
      <c r="J353" s="33" t="s">
        <v>707</v>
      </c>
      <c r="K353" s="33" t="s">
        <v>714</v>
      </c>
      <c r="L353" s="33" t="s">
        <v>733</v>
      </c>
      <c r="M353" s="34" t="s">
        <v>1086</v>
      </c>
      <c r="N353" s="35">
        <v>956.38</v>
      </c>
      <c r="O353" s="35">
        <v>1454.22</v>
      </c>
      <c r="P353" s="30" t="str">
        <f t="shared" si="47"/>
        <v>Medium</v>
      </c>
      <c r="Q353" s="43">
        <v>3.9E-2</v>
      </c>
      <c r="R353" s="42" t="str">
        <f t="shared" si="48"/>
        <v>Low</v>
      </c>
      <c r="S353" s="17">
        <v>19</v>
      </c>
      <c r="T353" s="30">
        <v>26552.60298</v>
      </c>
      <c r="U353" s="30">
        <v>18171.22</v>
      </c>
      <c r="V353" s="30">
        <v>8381.3829799999985</v>
      </c>
      <c r="W353" s="30">
        <v>0.31565202802576603</v>
      </c>
      <c r="X353" t="str">
        <f t="shared" si="49"/>
        <v>On-time</v>
      </c>
      <c r="Y353" t="str">
        <f t="shared" si="50"/>
        <v>Compliant Discount</v>
      </c>
      <c r="Z353" s="9">
        <f>MIN(Q353,'Scenario Modelling'!$B$2)</f>
        <v>3.9E-2</v>
      </c>
      <c r="AA353">
        <f t="shared" si="51"/>
        <v>1397.50542</v>
      </c>
      <c r="AB353">
        <f>N353*(1+'Scenario Modelling'!$B$3)</f>
        <v>1052.018</v>
      </c>
      <c r="AC353">
        <f>ROUNDUP(S353*(1+'Scenario Modelling'!$B$4),0)</f>
        <v>20</v>
      </c>
      <c r="AD353">
        <f t="shared" si="52"/>
        <v>27950.108399999997</v>
      </c>
      <c r="AE353">
        <f t="shared" si="53"/>
        <v>6909.7483999999986</v>
      </c>
    </row>
    <row r="354" spans="1:31" x14ac:dyDescent="0.3">
      <c r="A354" s="36" t="s">
        <v>367</v>
      </c>
      <c r="B354" s="49">
        <v>45512</v>
      </c>
      <c r="C354" s="47" t="str">
        <f t="shared" si="46"/>
        <v>Q3-2024</v>
      </c>
      <c r="D354" s="37">
        <v>45524</v>
      </c>
      <c r="E354" s="16">
        <f t="shared" si="45"/>
        <v>12</v>
      </c>
      <c r="F354" s="38" t="s">
        <v>647</v>
      </c>
      <c r="G354" s="38" t="s">
        <v>652</v>
      </c>
      <c r="H354" s="38" t="s">
        <v>666</v>
      </c>
      <c r="I354" s="38" t="s">
        <v>705</v>
      </c>
      <c r="J354" s="38" t="s">
        <v>707</v>
      </c>
      <c r="K354" s="38" t="s">
        <v>722</v>
      </c>
      <c r="L354" s="38" t="s">
        <v>729</v>
      </c>
      <c r="M354" s="39" t="s">
        <v>1087</v>
      </c>
      <c r="N354" s="40">
        <v>1233.3599999999999</v>
      </c>
      <c r="O354" s="40">
        <v>2120.4</v>
      </c>
      <c r="P354" s="30" t="str">
        <f t="shared" si="47"/>
        <v>High</v>
      </c>
      <c r="Q354" s="44">
        <v>0.17899999999999999</v>
      </c>
      <c r="R354" s="42" t="str">
        <f t="shared" si="48"/>
        <v>Medium</v>
      </c>
      <c r="S354" s="16">
        <v>20</v>
      </c>
      <c r="T354" s="30">
        <v>34816.968000000001</v>
      </c>
      <c r="U354" s="30">
        <v>24667.199999999997</v>
      </c>
      <c r="V354" s="30">
        <v>10149.768000000004</v>
      </c>
      <c r="W354" s="30">
        <v>0.29151785991244278</v>
      </c>
      <c r="X354" t="str">
        <f t="shared" si="49"/>
        <v>Delayed</v>
      </c>
      <c r="Y354" t="str">
        <f t="shared" si="50"/>
        <v>Compliant Discount</v>
      </c>
      <c r="Z354" s="9">
        <f>MIN(Q354,'Scenario Modelling'!$B$2)</f>
        <v>0.17899999999999999</v>
      </c>
      <c r="AA354">
        <f t="shared" si="51"/>
        <v>1740.8484000000001</v>
      </c>
      <c r="AB354">
        <f>N354*(1+'Scenario Modelling'!$B$3)</f>
        <v>1356.6959999999999</v>
      </c>
      <c r="AC354">
        <f>ROUNDUP(S354*(1+'Scenario Modelling'!$B$4),0)</f>
        <v>21</v>
      </c>
      <c r="AD354">
        <f t="shared" si="52"/>
        <v>36557.816400000003</v>
      </c>
      <c r="AE354">
        <f t="shared" si="53"/>
        <v>8067.2004000000034</v>
      </c>
    </row>
    <row r="355" spans="1:31" x14ac:dyDescent="0.3">
      <c r="A355" s="31" t="s">
        <v>368</v>
      </c>
      <c r="B355" s="48">
        <v>45603</v>
      </c>
      <c r="C355" s="47" t="str">
        <f t="shared" si="46"/>
        <v>Q4-2024</v>
      </c>
      <c r="D355" s="32">
        <v>45622</v>
      </c>
      <c r="E355" s="17">
        <f t="shared" si="45"/>
        <v>19</v>
      </c>
      <c r="F355" s="33" t="s">
        <v>648</v>
      </c>
      <c r="G355" s="33" t="s">
        <v>655</v>
      </c>
      <c r="H355" s="33" t="s">
        <v>692</v>
      </c>
      <c r="I355" s="33" t="s">
        <v>703</v>
      </c>
      <c r="J355" s="33" t="s">
        <v>710</v>
      </c>
      <c r="K355" s="33" t="s">
        <v>713</v>
      </c>
      <c r="L355" s="33" t="s">
        <v>728</v>
      </c>
      <c r="M355" s="34" t="s">
        <v>1088</v>
      </c>
      <c r="N355" s="35">
        <v>55.35</v>
      </c>
      <c r="O355" s="35">
        <v>128.68</v>
      </c>
      <c r="P355" s="30" t="str">
        <f t="shared" si="47"/>
        <v>Low</v>
      </c>
      <c r="Q355" s="43">
        <v>0.128</v>
      </c>
      <c r="R355" s="42" t="str">
        <f t="shared" si="48"/>
        <v>Medium</v>
      </c>
      <c r="S355" s="17">
        <v>10</v>
      </c>
      <c r="T355" s="30">
        <v>1122.0896000000002</v>
      </c>
      <c r="U355" s="30">
        <v>553.5</v>
      </c>
      <c r="V355" s="30">
        <v>568.58960000000025</v>
      </c>
      <c r="W355" s="30">
        <v>0.50672388372550647</v>
      </c>
      <c r="X355" t="str">
        <f t="shared" si="49"/>
        <v>Delayed</v>
      </c>
      <c r="Y355" t="str">
        <f t="shared" si="50"/>
        <v>Compliant Discount</v>
      </c>
      <c r="Z355" s="9">
        <f>MIN(Q355,'Scenario Modelling'!$B$2)</f>
        <v>0.128</v>
      </c>
      <c r="AA355">
        <f t="shared" si="51"/>
        <v>112.20896</v>
      </c>
      <c r="AB355">
        <f>N355*(1+'Scenario Modelling'!$B$3)</f>
        <v>60.885000000000005</v>
      </c>
      <c r="AC355">
        <f>ROUNDUP(S355*(1+'Scenario Modelling'!$B$4),0)</f>
        <v>11</v>
      </c>
      <c r="AD355">
        <f t="shared" si="52"/>
        <v>1234.29856</v>
      </c>
      <c r="AE355">
        <f t="shared" si="53"/>
        <v>564.56356000000005</v>
      </c>
    </row>
    <row r="356" spans="1:31" x14ac:dyDescent="0.3">
      <c r="A356" s="36" t="s">
        <v>369</v>
      </c>
      <c r="B356" s="49">
        <v>45292</v>
      </c>
      <c r="C356" s="47" t="str">
        <f t="shared" si="46"/>
        <v>Q1-2024</v>
      </c>
      <c r="D356" s="37">
        <v>45318</v>
      </c>
      <c r="E356" s="16">
        <f t="shared" si="45"/>
        <v>26</v>
      </c>
      <c r="F356" s="38" t="s">
        <v>649</v>
      </c>
      <c r="G356" s="38" t="s">
        <v>658</v>
      </c>
      <c r="H356" s="38" t="s">
        <v>693</v>
      </c>
      <c r="I356" s="38" t="s">
        <v>702</v>
      </c>
      <c r="J356" s="38" t="s">
        <v>710</v>
      </c>
      <c r="K356" s="38" t="s">
        <v>726</v>
      </c>
      <c r="L356" s="38" t="s">
        <v>733</v>
      </c>
      <c r="M356" s="39" t="s">
        <v>1089</v>
      </c>
      <c r="N356" s="40">
        <v>657.45</v>
      </c>
      <c r="O356" s="40">
        <v>1325.96</v>
      </c>
      <c r="P356" s="30" t="str">
        <f t="shared" si="47"/>
        <v>Medium</v>
      </c>
      <c r="Q356" s="44">
        <v>0.16700000000000001</v>
      </c>
      <c r="R356" s="42" t="str">
        <f t="shared" si="48"/>
        <v>Medium</v>
      </c>
      <c r="S356" s="16">
        <v>21</v>
      </c>
      <c r="T356" s="30">
        <v>23195.01828</v>
      </c>
      <c r="U356" s="30">
        <v>13806.45</v>
      </c>
      <c r="V356" s="30">
        <v>9388.5682799999995</v>
      </c>
      <c r="W356" s="30">
        <v>0.40476658249048808</v>
      </c>
      <c r="X356" t="str">
        <f t="shared" si="49"/>
        <v>Delayed</v>
      </c>
      <c r="Y356" t="str">
        <f t="shared" si="50"/>
        <v>Compliant Discount</v>
      </c>
      <c r="Z356" s="9">
        <f>MIN(Q356,'Scenario Modelling'!$B$2)</f>
        <v>0.16700000000000001</v>
      </c>
      <c r="AA356">
        <f t="shared" si="51"/>
        <v>1104.52468</v>
      </c>
      <c r="AB356">
        <f>N356*(1+'Scenario Modelling'!$B$3)</f>
        <v>723.19500000000016</v>
      </c>
      <c r="AC356">
        <f>ROUNDUP(S356*(1+'Scenario Modelling'!$B$4),0)</f>
        <v>23</v>
      </c>
      <c r="AD356">
        <f t="shared" si="52"/>
        <v>25404.067640000001</v>
      </c>
      <c r="AE356">
        <f t="shared" si="53"/>
        <v>8770.5826399999969</v>
      </c>
    </row>
    <row r="357" spans="1:31" x14ac:dyDescent="0.3">
      <c r="A357" s="31" t="s">
        <v>370</v>
      </c>
      <c r="B357" s="48">
        <v>45883</v>
      </c>
      <c r="C357" s="47" t="str">
        <f t="shared" si="46"/>
        <v>Q3-2025</v>
      </c>
      <c r="D357" s="32">
        <v>45911</v>
      </c>
      <c r="E357" s="17">
        <f t="shared" si="45"/>
        <v>28</v>
      </c>
      <c r="F357" s="33" t="s">
        <v>648</v>
      </c>
      <c r="G357" s="33" t="s">
        <v>655</v>
      </c>
      <c r="H357" s="33" t="s">
        <v>670</v>
      </c>
      <c r="I357" s="33" t="s">
        <v>703</v>
      </c>
      <c r="J357" s="33" t="s">
        <v>711</v>
      </c>
      <c r="K357" s="33" t="s">
        <v>721</v>
      </c>
      <c r="L357" s="33" t="s">
        <v>728</v>
      </c>
      <c r="M357" s="34" t="s">
        <v>1090</v>
      </c>
      <c r="N357" s="35">
        <v>1203.02</v>
      </c>
      <c r="O357" s="35">
        <v>2439.33</v>
      </c>
      <c r="P357" s="30" t="str">
        <f t="shared" si="47"/>
        <v>High</v>
      </c>
      <c r="Q357" s="43">
        <v>0</v>
      </c>
      <c r="R357" s="42" t="str">
        <f t="shared" si="48"/>
        <v>Low</v>
      </c>
      <c r="S357" s="17">
        <v>18</v>
      </c>
      <c r="T357" s="30">
        <v>43907.94</v>
      </c>
      <c r="U357" s="30">
        <v>21654.36</v>
      </c>
      <c r="V357" s="30">
        <v>22253.58</v>
      </c>
      <c r="W357" s="30">
        <v>0.50682359500354612</v>
      </c>
      <c r="X357" t="str">
        <f t="shared" si="49"/>
        <v>Delayed</v>
      </c>
      <c r="Y357" t="str">
        <f t="shared" si="50"/>
        <v>Compliant Discount</v>
      </c>
      <c r="Z357" s="9">
        <f>MIN(Q357,'Scenario Modelling'!$B$2)</f>
        <v>0</v>
      </c>
      <c r="AA357">
        <f t="shared" si="51"/>
        <v>2439.33</v>
      </c>
      <c r="AB357">
        <f>N357*(1+'Scenario Modelling'!$B$3)</f>
        <v>1323.3220000000001</v>
      </c>
      <c r="AC357">
        <f>ROUNDUP(S357*(1+'Scenario Modelling'!$B$4),0)</f>
        <v>19</v>
      </c>
      <c r="AD357">
        <f t="shared" si="52"/>
        <v>46347.27</v>
      </c>
      <c r="AE357">
        <f t="shared" si="53"/>
        <v>21204.151999999995</v>
      </c>
    </row>
    <row r="358" spans="1:31" x14ac:dyDescent="0.3">
      <c r="A358" s="36" t="s">
        <v>371</v>
      </c>
      <c r="B358" s="49">
        <v>45385</v>
      </c>
      <c r="C358" s="47" t="str">
        <f t="shared" si="46"/>
        <v>Q2-2024</v>
      </c>
      <c r="D358" s="37">
        <v>45403</v>
      </c>
      <c r="E358" s="16">
        <f t="shared" si="45"/>
        <v>18</v>
      </c>
      <c r="F358" s="38" t="s">
        <v>648</v>
      </c>
      <c r="G358" s="38" t="s">
        <v>655</v>
      </c>
      <c r="H358" s="38" t="s">
        <v>672</v>
      </c>
      <c r="I358" s="38" t="s">
        <v>705</v>
      </c>
      <c r="J358" s="38" t="s">
        <v>710</v>
      </c>
      <c r="K358" s="38" t="s">
        <v>717</v>
      </c>
      <c r="L358" s="38" t="s">
        <v>729</v>
      </c>
      <c r="M358" s="39" t="s">
        <v>1091</v>
      </c>
      <c r="N358" s="40">
        <v>1176.69</v>
      </c>
      <c r="O358" s="40">
        <v>2201.54</v>
      </c>
      <c r="P358" s="30" t="str">
        <f t="shared" si="47"/>
        <v>High</v>
      </c>
      <c r="Q358" s="44">
        <v>0.17</v>
      </c>
      <c r="R358" s="42" t="str">
        <f t="shared" si="48"/>
        <v>Medium</v>
      </c>
      <c r="S358" s="16">
        <v>27</v>
      </c>
      <c r="T358" s="30">
        <v>49336.511399999996</v>
      </c>
      <c r="U358" s="30">
        <v>31770.63</v>
      </c>
      <c r="V358" s="30">
        <v>17565.881399999995</v>
      </c>
      <c r="W358" s="30">
        <v>0.35604222717701106</v>
      </c>
      <c r="X358" t="str">
        <f t="shared" si="49"/>
        <v>Delayed</v>
      </c>
      <c r="Y358" t="str">
        <f t="shared" si="50"/>
        <v>Compliant Discount</v>
      </c>
      <c r="Z358" s="9">
        <f>MIN(Q358,'Scenario Modelling'!$B$2)</f>
        <v>0.17</v>
      </c>
      <c r="AA358">
        <f t="shared" si="51"/>
        <v>1827.2782</v>
      </c>
      <c r="AB358">
        <f>N358*(1+'Scenario Modelling'!$B$3)</f>
        <v>1294.3590000000002</v>
      </c>
      <c r="AC358">
        <f>ROUNDUP(S358*(1+'Scenario Modelling'!$B$4),0)</f>
        <v>29</v>
      </c>
      <c r="AD358">
        <f t="shared" si="52"/>
        <v>52991.067799999997</v>
      </c>
      <c r="AE358">
        <f t="shared" si="53"/>
        <v>15454.656799999995</v>
      </c>
    </row>
    <row r="359" spans="1:31" x14ac:dyDescent="0.3">
      <c r="A359" s="31" t="s">
        <v>372</v>
      </c>
      <c r="B359" s="48">
        <v>45621</v>
      </c>
      <c r="C359" s="47" t="str">
        <f t="shared" si="46"/>
        <v>Q4-2024</v>
      </c>
      <c r="D359" s="32">
        <v>45633</v>
      </c>
      <c r="E359" s="17">
        <f t="shared" si="45"/>
        <v>12</v>
      </c>
      <c r="F359" s="33" t="s">
        <v>647</v>
      </c>
      <c r="G359" s="33" t="s">
        <v>659</v>
      </c>
      <c r="H359" s="33" t="s">
        <v>685</v>
      </c>
      <c r="I359" s="33" t="s">
        <v>701</v>
      </c>
      <c r="J359" s="33" t="s">
        <v>710</v>
      </c>
      <c r="K359" s="33" t="s">
        <v>720</v>
      </c>
      <c r="L359" s="33" t="s">
        <v>733</v>
      </c>
      <c r="M359" s="34" t="s">
        <v>1092</v>
      </c>
      <c r="N359" s="35">
        <v>769.9</v>
      </c>
      <c r="O359" s="35">
        <v>814.36</v>
      </c>
      <c r="P359" s="30" t="str">
        <f t="shared" si="47"/>
        <v>Low</v>
      </c>
      <c r="Q359" s="43">
        <v>0</v>
      </c>
      <c r="R359" s="42" t="str">
        <f t="shared" si="48"/>
        <v>Low</v>
      </c>
      <c r="S359" s="17">
        <v>5</v>
      </c>
      <c r="T359" s="30">
        <v>4071.8</v>
      </c>
      <c r="U359" s="30">
        <v>3849.5</v>
      </c>
      <c r="V359" s="30">
        <v>222.30000000000018</v>
      </c>
      <c r="W359" s="30">
        <v>5.4595019401738831E-2</v>
      </c>
      <c r="X359" t="str">
        <f t="shared" si="49"/>
        <v>Delayed</v>
      </c>
      <c r="Y359" t="str">
        <f t="shared" si="50"/>
        <v>Compliant Discount</v>
      </c>
      <c r="Z359" s="9">
        <f>MIN(Q359,'Scenario Modelling'!$B$2)</f>
        <v>0</v>
      </c>
      <c r="AA359">
        <f t="shared" si="51"/>
        <v>814.36</v>
      </c>
      <c r="AB359">
        <f>N359*(1+'Scenario Modelling'!$B$3)</f>
        <v>846.8900000000001</v>
      </c>
      <c r="AC359">
        <f>ROUNDUP(S359*(1+'Scenario Modelling'!$B$4),0)</f>
        <v>6</v>
      </c>
      <c r="AD359">
        <f t="shared" si="52"/>
        <v>4886.16</v>
      </c>
      <c r="AE359">
        <f t="shared" si="53"/>
        <v>-195.18000000000052</v>
      </c>
    </row>
    <row r="360" spans="1:31" x14ac:dyDescent="0.3">
      <c r="A360" s="36" t="s">
        <v>373</v>
      </c>
      <c r="B360" s="49">
        <v>45309</v>
      </c>
      <c r="C360" s="47" t="str">
        <f t="shared" si="46"/>
        <v>Q1-2024</v>
      </c>
      <c r="D360" s="37">
        <v>45325</v>
      </c>
      <c r="E360" s="16">
        <f t="shared" si="45"/>
        <v>16</v>
      </c>
      <c r="F360" s="38" t="s">
        <v>646</v>
      </c>
      <c r="G360" s="38" t="s">
        <v>661</v>
      </c>
      <c r="H360" s="38" t="s">
        <v>695</v>
      </c>
      <c r="I360" s="38" t="s">
        <v>703</v>
      </c>
      <c r="J360" s="38" t="s">
        <v>710</v>
      </c>
      <c r="K360" s="38" t="s">
        <v>716</v>
      </c>
      <c r="L360" s="38" t="s">
        <v>728</v>
      </c>
      <c r="M360" s="39" t="s">
        <v>1093</v>
      </c>
      <c r="N360" s="40">
        <v>666.23</v>
      </c>
      <c r="O360" s="40">
        <v>1382.91</v>
      </c>
      <c r="P360" s="30" t="str">
        <f t="shared" si="47"/>
        <v>Medium</v>
      </c>
      <c r="Q360" s="44">
        <v>0.17599999999999999</v>
      </c>
      <c r="R360" s="42" t="str">
        <f t="shared" si="48"/>
        <v>Medium</v>
      </c>
      <c r="S360" s="16">
        <v>13</v>
      </c>
      <c r="T360" s="30">
        <v>14813.731920000002</v>
      </c>
      <c r="U360" s="30">
        <v>8660.99</v>
      </c>
      <c r="V360" s="30">
        <v>6152.7419200000022</v>
      </c>
      <c r="W360" s="30">
        <v>0.41534043907553048</v>
      </c>
      <c r="X360" t="str">
        <f t="shared" si="49"/>
        <v>Delayed</v>
      </c>
      <c r="Y360" t="str">
        <f t="shared" si="50"/>
        <v>Compliant Discount</v>
      </c>
      <c r="Z360" s="9">
        <f>MIN(Q360,'Scenario Modelling'!$B$2)</f>
        <v>0.17599999999999999</v>
      </c>
      <c r="AA360">
        <f t="shared" si="51"/>
        <v>1139.5178400000002</v>
      </c>
      <c r="AB360">
        <f>N360*(1+'Scenario Modelling'!$B$3)</f>
        <v>732.85300000000007</v>
      </c>
      <c r="AC360">
        <f>ROUNDUP(S360*(1+'Scenario Modelling'!$B$4),0)</f>
        <v>14</v>
      </c>
      <c r="AD360">
        <f t="shared" si="52"/>
        <v>15953.249760000002</v>
      </c>
      <c r="AE360">
        <f t="shared" si="53"/>
        <v>5693.3077600000015</v>
      </c>
    </row>
    <row r="361" spans="1:31" x14ac:dyDescent="0.3">
      <c r="A361" s="31" t="s">
        <v>374</v>
      </c>
      <c r="B361" s="48">
        <v>45466</v>
      </c>
      <c r="C361" s="47" t="str">
        <f t="shared" si="46"/>
        <v>Q2-2024</v>
      </c>
      <c r="D361" s="32">
        <v>45468</v>
      </c>
      <c r="E361" s="17">
        <f t="shared" si="45"/>
        <v>2</v>
      </c>
      <c r="F361" s="33" t="s">
        <v>649</v>
      </c>
      <c r="G361" s="33" t="s">
        <v>658</v>
      </c>
      <c r="H361" s="33" t="s">
        <v>674</v>
      </c>
      <c r="I361" s="33" t="s">
        <v>705</v>
      </c>
      <c r="J361" s="33" t="s">
        <v>709</v>
      </c>
      <c r="K361" s="33" t="s">
        <v>716</v>
      </c>
      <c r="L361" s="33" t="s">
        <v>733</v>
      </c>
      <c r="M361" s="34" t="s">
        <v>1094</v>
      </c>
      <c r="N361" s="35">
        <v>951.44</v>
      </c>
      <c r="O361" s="35">
        <v>1646.43</v>
      </c>
      <c r="P361" s="30" t="str">
        <f t="shared" si="47"/>
        <v>High</v>
      </c>
      <c r="Q361" s="43">
        <v>0.11</v>
      </c>
      <c r="R361" s="42" t="str">
        <f t="shared" si="48"/>
        <v>Medium</v>
      </c>
      <c r="S361" s="17">
        <v>24</v>
      </c>
      <c r="T361" s="30">
        <v>35167.7448</v>
      </c>
      <c r="U361" s="30">
        <v>22834.560000000001</v>
      </c>
      <c r="V361" s="30">
        <v>12333.184799999999</v>
      </c>
      <c r="W361" s="30">
        <v>0.35069592520473475</v>
      </c>
      <c r="X361" t="str">
        <f t="shared" si="49"/>
        <v>On-time</v>
      </c>
      <c r="Y361" t="str">
        <f t="shared" si="50"/>
        <v>Compliant Discount</v>
      </c>
      <c r="Z361" s="9">
        <f>MIN(Q361,'Scenario Modelling'!$B$2)</f>
        <v>0.11</v>
      </c>
      <c r="AA361">
        <f t="shared" si="51"/>
        <v>1465.3227000000002</v>
      </c>
      <c r="AB361">
        <f>N361*(1+'Scenario Modelling'!$B$3)</f>
        <v>1046.5840000000001</v>
      </c>
      <c r="AC361">
        <f>ROUNDUP(S361*(1+'Scenario Modelling'!$B$4),0)</f>
        <v>26</v>
      </c>
      <c r="AD361">
        <f t="shared" si="52"/>
        <v>38098.390200000002</v>
      </c>
      <c r="AE361">
        <f t="shared" si="53"/>
        <v>10887.206200000002</v>
      </c>
    </row>
    <row r="362" spans="1:31" x14ac:dyDescent="0.3">
      <c r="A362" s="36" t="s">
        <v>375</v>
      </c>
      <c r="B362" s="49">
        <v>45833</v>
      </c>
      <c r="C362" s="47" t="str">
        <f t="shared" si="46"/>
        <v>Q2-2025</v>
      </c>
      <c r="D362" s="37">
        <v>45848</v>
      </c>
      <c r="E362" s="16">
        <f t="shared" si="45"/>
        <v>15</v>
      </c>
      <c r="F362" s="38" t="s">
        <v>649</v>
      </c>
      <c r="G362" s="38" t="s">
        <v>658</v>
      </c>
      <c r="H362" s="38" t="s">
        <v>674</v>
      </c>
      <c r="I362" s="38" t="s">
        <v>703</v>
      </c>
      <c r="J362" s="38" t="s">
        <v>709</v>
      </c>
      <c r="K362" s="38" t="s">
        <v>726</v>
      </c>
      <c r="L362" s="38" t="s">
        <v>730</v>
      </c>
      <c r="M362" s="39" t="s">
        <v>1095</v>
      </c>
      <c r="N362" s="40">
        <v>546.83000000000004</v>
      </c>
      <c r="O362" s="40">
        <v>400.84</v>
      </c>
      <c r="P362" s="30" t="str">
        <f t="shared" si="47"/>
        <v>Low</v>
      </c>
      <c r="Q362" s="44">
        <v>7.8E-2</v>
      </c>
      <c r="R362" s="42" t="str">
        <f t="shared" si="48"/>
        <v>Low</v>
      </c>
      <c r="S362" s="16">
        <v>13</v>
      </c>
      <c r="T362" s="30">
        <v>4804.4682400000002</v>
      </c>
      <c r="U362" s="30">
        <v>7108.7900000000009</v>
      </c>
      <c r="V362" s="30">
        <v>-2304.3217600000007</v>
      </c>
      <c r="W362" s="30">
        <v>-0.47962056254533608</v>
      </c>
      <c r="X362" t="str">
        <f t="shared" si="49"/>
        <v>Delayed</v>
      </c>
      <c r="Y362" t="str">
        <f t="shared" si="50"/>
        <v>Compliant Discount</v>
      </c>
      <c r="Z362" s="9">
        <f>MIN(Q362,'Scenario Modelling'!$B$2)</f>
        <v>7.8E-2</v>
      </c>
      <c r="AA362">
        <f t="shared" si="51"/>
        <v>369.57447999999999</v>
      </c>
      <c r="AB362">
        <f>N362*(1+'Scenario Modelling'!$B$3)</f>
        <v>601.51300000000015</v>
      </c>
      <c r="AC362">
        <f>ROUNDUP(S362*(1+'Scenario Modelling'!$B$4),0)</f>
        <v>14</v>
      </c>
      <c r="AD362">
        <f t="shared" si="52"/>
        <v>5174.0427199999995</v>
      </c>
      <c r="AE362">
        <f t="shared" si="53"/>
        <v>-3247.1392800000021</v>
      </c>
    </row>
    <row r="363" spans="1:31" x14ac:dyDescent="0.3">
      <c r="A363" s="31" t="s">
        <v>376</v>
      </c>
      <c r="B363" s="48">
        <v>45108</v>
      </c>
      <c r="C363" s="47" t="str">
        <f t="shared" si="46"/>
        <v>Q3-2023</v>
      </c>
      <c r="D363" s="32">
        <v>45115</v>
      </c>
      <c r="E363" s="17">
        <f t="shared" si="45"/>
        <v>7</v>
      </c>
      <c r="F363" s="33" t="s">
        <v>646</v>
      </c>
      <c r="G363" s="33" t="s">
        <v>651</v>
      </c>
      <c r="H363" s="33" t="s">
        <v>663</v>
      </c>
      <c r="I363" s="33" t="s">
        <v>701</v>
      </c>
      <c r="J363" s="33" t="s">
        <v>707</v>
      </c>
      <c r="K363" s="33" t="s">
        <v>720</v>
      </c>
      <c r="L363" s="33" t="s">
        <v>731</v>
      </c>
      <c r="M363" s="34" t="s">
        <v>1096</v>
      </c>
      <c r="N363" s="35">
        <v>834.26</v>
      </c>
      <c r="O363" s="35">
        <v>1780.56</v>
      </c>
      <c r="P363" s="30" t="str">
        <f t="shared" si="47"/>
        <v>High</v>
      </c>
      <c r="Q363" s="43">
        <v>1.4E-2</v>
      </c>
      <c r="R363" s="42" t="str">
        <f t="shared" si="48"/>
        <v>Low</v>
      </c>
      <c r="S363" s="17">
        <v>47</v>
      </c>
      <c r="T363" s="30">
        <v>82514.711519999997</v>
      </c>
      <c r="U363" s="30">
        <v>39210.22</v>
      </c>
      <c r="V363" s="30">
        <v>43304.491519999996</v>
      </c>
      <c r="W363" s="30">
        <v>0.5248093427497933</v>
      </c>
      <c r="X363" t="str">
        <f t="shared" si="49"/>
        <v>On-time</v>
      </c>
      <c r="Y363" t="str">
        <f t="shared" si="50"/>
        <v>Compliant Discount</v>
      </c>
      <c r="Z363" s="9">
        <f>MIN(Q363,'Scenario Modelling'!$B$2)</f>
        <v>1.4E-2</v>
      </c>
      <c r="AA363">
        <f t="shared" si="51"/>
        <v>1755.6321599999999</v>
      </c>
      <c r="AB363">
        <f>N363*(1+'Scenario Modelling'!$B$3)</f>
        <v>917.68600000000004</v>
      </c>
      <c r="AC363">
        <f>ROUNDUP(S363*(1+'Scenario Modelling'!$B$4),0)</f>
        <v>50</v>
      </c>
      <c r="AD363">
        <f t="shared" si="52"/>
        <v>87781.607999999993</v>
      </c>
      <c r="AE363">
        <f t="shared" si="53"/>
        <v>41897.30799999999</v>
      </c>
    </row>
    <row r="364" spans="1:31" x14ac:dyDescent="0.3">
      <c r="A364" s="36" t="s">
        <v>377</v>
      </c>
      <c r="B364" s="49">
        <v>45360</v>
      </c>
      <c r="C364" s="47" t="str">
        <f t="shared" si="46"/>
        <v>Q1-2024</v>
      </c>
      <c r="D364" s="37">
        <v>45377</v>
      </c>
      <c r="E364" s="16">
        <f t="shared" si="45"/>
        <v>17</v>
      </c>
      <c r="F364" s="38" t="s">
        <v>647</v>
      </c>
      <c r="G364" s="38" t="s">
        <v>659</v>
      </c>
      <c r="H364" s="38" t="s">
        <v>676</v>
      </c>
      <c r="I364" s="38" t="s">
        <v>706</v>
      </c>
      <c r="J364" s="38" t="s">
        <v>708</v>
      </c>
      <c r="K364" s="38" t="s">
        <v>723</v>
      </c>
      <c r="L364" s="38" t="s">
        <v>732</v>
      </c>
      <c r="M364" s="39" t="s">
        <v>1097</v>
      </c>
      <c r="N364" s="40">
        <v>1029.67</v>
      </c>
      <c r="O364" s="40">
        <v>1118.43</v>
      </c>
      <c r="P364" s="30" t="str">
        <f t="shared" si="47"/>
        <v>Medium</v>
      </c>
      <c r="Q364" s="44">
        <v>0.27200000000000002</v>
      </c>
      <c r="R364" s="42" t="str">
        <f t="shared" si="48"/>
        <v>High</v>
      </c>
      <c r="S364" s="16">
        <v>9</v>
      </c>
      <c r="T364" s="30">
        <v>7327.9533600000004</v>
      </c>
      <c r="U364" s="30">
        <v>9267.0300000000007</v>
      </c>
      <c r="V364" s="30">
        <v>-1939.0766400000002</v>
      </c>
      <c r="W364" s="30">
        <v>-0.26461367106736061</v>
      </c>
      <c r="X364" t="str">
        <f t="shared" si="49"/>
        <v>Delayed</v>
      </c>
      <c r="Y364" t="str">
        <f t="shared" si="50"/>
        <v>Non-compliant Discount</v>
      </c>
      <c r="Z364" s="9">
        <f>MIN(Q364,'Scenario Modelling'!$B$2)</f>
        <v>0.2</v>
      </c>
      <c r="AA364">
        <f t="shared" si="51"/>
        <v>894.74400000000014</v>
      </c>
      <c r="AB364">
        <f>N364*(1+'Scenario Modelling'!$B$3)</f>
        <v>1132.6370000000002</v>
      </c>
      <c r="AC364">
        <f>ROUNDUP(S364*(1+'Scenario Modelling'!$B$4),0)</f>
        <v>10</v>
      </c>
      <c r="AD364">
        <f t="shared" si="52"/>
        <v>8947.4400000000023</v>
      </c>
      <c r="AE364">
        <f t="shared" si="53"/>
        <v>-2378.9300000000003</v>
      </c>
    </row>
    <row r="365" spans="1:31" x14ac:dyDescent="0.3">
      <c r="A365" s="31" t="s">
        <v>378</v>
      </c>
      <c r="B365" s="48">
        <v>45082</v>
      </c>
      <c r="C365" s="47" t="str">
        <f t="shared" si="46"/>
        <v>Q2-2023</v>
      </c>
      <c r="D365" s="32">
        <v>45105</v>
      </c>
      <c r="E365" s="17">
        <f t="shared" si="45"/>
        <v>23</v>
      </c>
      <c r="F365" s="33" t="s">
        <v>649</v>
      </c>
      <c r="G365" s="33" t="s">
        <v>658</v>
      </c>
      <c r="H365" s="33" t="s">
        <v>674</v>
      </c>
      <c r="I365" s="33" t="s">
        <v>701</v>
      </c>
      <c r="J365" s="33" t="s">
        <v>711</v>
      </c>
      <c r="K365" s="33" t="s">
        <v>723</v>
      </c>
      <c r="L365" s="33" t="s">
        <v>728</v>
      </c>
      <c r="M365" s="34" t="s">
        <v>1098</v>
      </c>
      <c r="N365" s="35">
        <v>605.82000000000005</v>
      </c>
      <c r="O365" s="35">
        <v>771.12</v>
      </c>
      <c r="P365" s="30" t="str">
        <f t="shared" si="47"/>
        <v>Low</v>
      </c>
      <c r="Q365" s="43">
        <v>0.13200000000000001</v>
      </c>
      <c r="R365" s="42" t="str">
        <f t="shared" si="48"/>
        <v>Medium</v>
      </c>
      <c r="S365" s="17">
        <v>19</v>
      </c>
      <c r="T365" s="30">
        <v>12717.311040000001</v>
      </c>
      <c r="U365" s="30">
        <v>11510.580000000002</v>
      </c>
      <c r="V365" s="30">
        <v>1206.7310399999988</v>
      </c>
      <c r="W365" s="30">
        <v>9.4888851597986767E-2</v>
      </c>
      <c r="X365" t="str">
        <f t="shared" si="49"/>
        <v>Delayed</v>
      </c>
      <c r="Y365" t="str">
        <f t="shared" si="50"/>
        <v>Compliant Discount</v>
      </c>
      <c r="Z365" s="9">
        <f>MIN(Q365,'Scenario Modelling'!$B$2)</f>
        <v>0.13200000000000001</v>
      </c>
      <c r="AA365">
        <f t="shared" si="51"/>
        <v>669.33216000000004</v>
      </c>
      <c r="AB365">
        <f>N365*(1+'Scenario Modelling'!$B$3)</f>
        <v>666.40200000000016</v>
      </c>
      <c r="AC365">
        <f>ROUNDUP(S365*(1+'Scenario Modelling'!$B$4),0)</f>
        <v>20</v>
      </c>
      <c r="AD365">
        <f t="shared" si="52"/>
        <v>13386.6432</v>
      </c>
      <c r="AE365">
        <f t="shared" si="53"/>
        <v>58.603199999997742</v>
      </c>
    </row>
    <row r="366" spans="1:31" x14ac:dyDescent="0.3">
      <c r="A366" s="36" t="s">
        <v>379</v>
      </c>
      <c r="B366" s="49">
        <v>45737</v>
      </c>
      <c r="C366" s="47" t="str">
        <f t="shared" si="46"/>
        <v>Q1-2025</v>
      </c>
      <c r="D366" s="37">
        <v>45756</v>
      </c>
      <c r="E366" s="16">
        <f t="shared" si="45"/>
        <v>19</v>
      </c>
      <c r="F366" s="38" t="s">
        <v>647</v>
      </c>
      <c r="G366" s="38" t="s">
        <v>652</v>
      </c>
      <c r="H366" s="38" t="s">
        <v>689</v>
      </c>
      <c r="I366" s="38" t="s">
        <v>705</v>
      </c>
      <c r="J366" s="38" t="s">
        <v>710</v>
      </c>
      <c r="K366" s="38" t="s">
        <v>718</v>
      </c>
      <c r="L366" s="38" t="s">
        <v>727</v>
      </c>
      <c r="M366" s="39" t="s">
        <v>1099</v>
      </c>
      <c r="N366" s="40">
        <v>1055.45</v>
      </c>
      <c r="O366" s="40">
        <v>1210.04</v>
      </c>
      <c r="P366" s="30" t="str">
        <f t="shared" si="47"/>
        <v>Medium</v>
      </c>
      <c r="Q366" s="44">
        <v>8.9999999999999993E-3</v>
      </c>
      <c r="R366" s="42" t="str">
        <f t="shared" si="48"/>
        <v>Low</v>
      </c>
      <c r="S366" s="16">
        <v>18</v>
      </c>
      <c r="T366" s="30">
        <v>21584.693520000001</v>
      </c>
      <c r="U366" s="30">
        <v>18998.100000000002</v>
      </c>
      <c r="V366" s="30">
        <v>2586.5935199999985</v>
      </c>
      <c r="W366" s="30">
        <v>0.1198346188053727</v>
      </c>
      <c r="X366" t="str">
        <f t="shared" si="49"/>
        <v>Delayed</v>
      </c>
      <c r="Y366" t="str">
        <f t="shared" si="50"/>
        <v>Compliant Discount</v>
      </c>
      <c r="Z366" s="9">
        <f>MIN(Q366,'Scenario Modelling'!$B$2)</f>
        <v>8.9999999999999993E-3</v>
      </c>
      <c r="AA366">
        <f t="shared" si="51"/>
        <v>1199.1496399999999</v>
      </c>
      <c r="AB366">
        <f>N366*(1+'Scenario Modelling'!$B$3)</f>
        <v>1160.9950000000001</v>
      </c>
      <c r="AC366">
        <f>ROUNDUP(S366*(1+'Scenario Modelling'!$B$4),0)</f>
        <v>19</v>
      </c>
      <c r="AD366">
        <f t="shared" si="52"/>
        <v>22783.843159999997</v>
      </c>
      <c r="AE366">
        <f t="shared" si="53"/>
        <v>724.93815999999515</v>
      </c>
    </row>
    <row r="367" spans="1:31" x14ac:dyDescent="0.3">
      <c r="A367" s="31" t="s">
        <v>380</v>
      </c>
      <c r="B367" s="48">
        <v>45445</v>
      </c>
      <c r="C367" s="47" t="str">
        <f t="shared" si="46"/>
        <v>Q2-2024</v>
      </c>
      <c r="D367" s="32">
        <v>45458</v>
      </c>
      <c r="E367" s="17">
        <f t="shared" si="45"/>
        <v>13</v>
      </c>
      <c r="F367" s="33" t="s">
        <v>646</v>
      </c>
      <c r="G367" s="33" t="s">
        <v>650</v>
      </c>
      <c r="H367" s="33" t="s">
        <v>675</v>
      </c>
      <c r="I367" s="33" t="s">
        <v>702</v>
      </c>
      <c r="J367" s="33" t="s">
        <v>708</v>
      </c>
      <c r="K367" s="33" t="s">
        <v>719</v>
      </c>
      <c r="L367" s="33" t="s">
        <v>730</v>
      </c>
      <c r="M367" s="34" t="s">
        <v>1100</v>
      </c>
      <c r="N367" s="35">
        <v>1295.18</v>
      </c>
      <c r="O367" s="35">
        <v>3024.03</v>
      </c>
      <c r="P367" s="30" t="str">
        <f t="shared" si="47"/>
        <v>High</v>
      </c>
      <c r="Q367" s="43">
        <v>0.192</v>
      </c>
      <c r="R367" s="42" t="str">
        <f t="shared" si="48"/>
        <v>Medium</v>
      </c>
      <c r="S367" s="17">
        <v>8</v>
      </c>
      <c r="T367" s="30">
        <v>19547.329920000004</v>
      </c>
      <c r="U367" s="30">
        <v>10361.44</v>
      </c>
      <c r="V367" s="30">
        <v>9185.8899200000033</v>
      </c>
      <c r="W367" s="30">
        <v>0.46993067378483178</v>
      </c>
      <c r="X367" t="str">
        <f t="shared" si="49"/>
        <v>Delayed</v>
      </c>
      <c r="Y367" t="str">
        <f t="shared" si="50"/>
        <v>Compliant Discount</v>
      </c>
      <c r="Z367" s="9">
        <f>MIN(Q367,'Scenario Modelling'!$B$2)</f>
        <v>0.192</v>
      </c>
      <c r="AA367">
        <f t="shared" si="51"/>
        <v>2443.4162400000005</v>
      </c>
      <c r="AB367">
        <f>N367*(1+'Scenario Modelling'!$B$3)</f>
        <v>1424.6980000000001</v>
      </c>
      <c r="AC367">
        <f>ROUNDUP(S367*(1+'Scenario Modelling'!$B$4),0)</f>
        <v>9</v>
      </c>
      <c r="AD367">
        <f t="shared" si="52"/>
        <v>21990.746160000002</v>
      </c>
      <c r="AE367">
        <f t="shared" si="53"/>
        <v>9168.4641600000032</v>
      </c>
    </row>
    <row r="368" spans="1:31" x14ac:dyDescent="0.3">
      <c r="A368" s="36" t="s">
        <v>381</v>
      </c>
      <c r="B368" s="49">
        <v>45731</v>
      </c>
      <c r="C368" s="47" t="str">
        <f t="shared" si="46"/>
        <v>Q1-2025</v>
      </c>
      <c r="D368" s="37">
        <v>45745</v>
      </c>
      <c r="E368" s="16">
        <f t="shared" si="45"/>
        <v>14</v>
      </c>
      <c r="F368" s="38" t="s">
        <v>647</v>
      </c>
      <c r="G368" s="38" t="s">
        <v>654</v>
      </c>
      <c r="H368" s="38" t="s">
        <v>691</v>
      </c>
      <c r="I368" s="38" t="s">
        <v>706</v>
      </c>
      <c r="J368" s="38" t="s">
        <v>711</v>
      </c>
      <c r="K368" s="38" t="s">
        <v>712</v>
      </c>
      <c r="L368" s="38" t="s">
        <v>727</v>
      </c>
      <c r="M368" s="39" t="s">
        <v>1101</v>
      </c>
      <c r="N368" s="40">
        <v>935.83</v>
      </c>
      <c r="O368" s="40">
        <v>2303.46</v>
      </c>
      <c r="P368" s="30" t="str">
        <f t="shared" si="47"/>
        <v>High</v>
      </c>
      <c r="Q368" s="44">
        <v>0.105</v>
      </c>
      <c r="R368" s="42" t="str">
        <f t="shared" si="48"/>
        <v>Medium</v>
      </c>
      <c r="S368" s="16">
        <v>9</v>
      </c>
      <c r="T368" s="30">
        <v>18554.370299999999</v>
      </c>
      <c r="U368" s="30">
        <v>8422.4700000000012</v>
      </c>
      <c r="V368" s="30">
        <v>10131.900299999998</v>
      </c>
      <c r="W368" s="30">
        <v>0.54606543559174292</v>
      </c>
      <c r="X368" t="str">
        <f t="shared" si="49"/>
        <v>Delayed</v>
      </c>
      <c r="Y368" t="str">
        <f t="shared" si="50"/>
        <v>Compliant Discount</v>
      </c>
      <c r="Z368" s="9">
        <f>MIN(Q368,'Scenario Modelling'!$B$2)</f>
        <v>0.105</v>
      </c>
      <c r="AA368">
        <f t="shared" si="51"/>
        <v>2061.5967000000001</v>
      </c>
      <c r="AB368">
        <f>N368*(1+'Scenario Modelling'!$B$3)</f>
        <v>1029.4130000000002</v>
      </c>
      <c r="AC368">
        <f>ROUNDUP(S368*(1+'Scenario Modelling'!$B$4),0)</f>
        <v>10</v>
      </c>
      <c r="AD368">
        <f t="shared" si="52"/>
        <v>20615.967000000001</v>
      </c>
      <c r="AE368">
        <f t="shared" si="53"/>
        <v>10321.836999999998</v>
      </c>
    </row>
    <row r="369" spans="1:31" x14ac:dyDescent="0.3">
      <c r="A369" s="31" t="s">
        <v>382</v>
      </c>
      <c r="B369" s="48">
        <v>45194</v>
      </c>
      <c r="C369" s="47" t="str">
        <f t="shared" si="46"/>
        <v>Q3-2023</v>
      </c>
      <c r="D369" s="32">
        <v>45208</v>
      </c>
      <c r="E369" s="17">
        <f t="shared" si="45"/>
        <v>14</v>
      </c>
      <c r="F369" s="33" t="s">
        <v>648</v>
      </c>
      <c r="G369" s="33" t="s">
        <v>660</v>
      </c>
      <c r="H369" s="33" t="s">
        <v>700</v>
      </c>
      <c r="I369" s="33" t="s">
        <v>705</v>
      </c>
      <c r="J369" s="33" t="s">
        <v>709</v>
      </c>
      <c r="K369" s="33" t="s">
        <v>713</v>
      </c>
      <c r="L369" s="33" t="s">
        <v>731</v>
      </c>
      <c r="M369" s="34" t="s">
        <v>1102</v>
      </c>
      <c r="N369" s="35">
        <v>1279.56</v>
      </c>
      <c r="O369" s="35">
        <v>3083.8</v>
      </c>
      <c r="P369" s="30" t="str">
        <f t="shared" si="47"/>
        <v>High</v>
      </c>
      <c r="Q369" s="43">
        <v>0.106</v>
      </c>
      <c r="R369" s="42" t="str">
        <f t="shared" si="48"/>
        <v>Medium</v>
      </c>
      <c r="S369" s="17">
        <v>5</v>
      </c>
      <c r="T369" s="30">
        <v>13784.586000000001</v>
      </c>
      <c r="U369" s="30">
        <v>6397.7999999999993</v>
      </c>
      <c r="V369" s="30">
        <v>7386.7860000000019</v>
      </c>
      <c r="W369" s="30">
        <v>0.53587289455047848</v>
      </c>
      <c r="X369" t="str">
        <f t="shared" si="49"/>
        <v>Delayed</v>
      </c>
      <c r="Y369" t="str">
        <f t="shared" si="50"/>
        <v>Compliant Discount</v>
      </c>
      <c r="Z369" s="9">
        <f>MIN(Q369,'Scenario Modelling'!$B$2)</f>
        <v>0.106</v>
      </c>
      <c r="AA369">
        <f t="shared" si="51"/>
        <v>2756.9172000000003</v>
      </c>
      <c r="AB369">
        <f>N369*(1+'Scenario Modelling'!$B$3)</f>
        <v>1407.5160000000001</v>
      </c>
      <c r="AC369">
        <f>ROUNDUP(S369*(1+'Scenario Modelling'!$B$4),0)</f>
        <v>6</v>
      </c>
      <c r="AD369">
        <f t="shared" si="52"/>
        <v>16541.503200000003</v>
      </c>
      <c r="AE369">
        <f t="shared" si="53"/>
        <v>8096.4072000000015</v>
      </c>
    </row>
    <row r="370" spans="1:31" x14ac:dyDescent="0.3">
      <c r="A370" s="36" t="s">
        <v>383</v>
      </c>
      <c r="B370" s="49">
        <v>45832</v>
      </c>
      <c r="C370" s="47" t="str">
        <f t="shared" si="46"/>
        <v>Q2-2025</v>
      </c>
      <c r="D370" s="37">
        <v>45861</v>
      </c>
      <c r="E370" s="16">
        <f t="shared" si="45"/>
        <v>29</v>
      </c>
      <c r="F370" s="38" t="s">
        <v>648</v>
      </c>
      <c r="G370" s="38" t="s">
        <v>653</v>
      </c>
      <c r="H370" s="38" t="s">
        <v>688</v>
      </c>
      <c r="I370" s="38" t="s">
        <v>703</v>
      </c>
      <c r="J370" s="38" t="s">
        <v>709</v>
      </c>
      <c r="K370" s="38" t="s">
        <v>714</v>
      </c>
      <c r="L370" s="38" t="s">
        <v>728</v>
      </c>
      <c r="M370" s="39" t="s">
        <v>1103</v>
      </c>
      <c r="N370" s="40">
        <v>255.4</v>
      </c>
      <c r="O370" s="40">
        <v>322.70999999999998</v>
      </c>
      <c r="P370" s="30" t="str">
        <f t="shared" si="47"/>
        <v>Low</v>
      </c>
      <c r="Q370" s="44">
        <v>0.115</v>
      </c>
      <c r="R370" s="42" t="str">
        <f t="shared" si="48"/>
        <v>Medium</v>
      </c>
      <c r="S370" s="16">
        <v>16</v>
      </c>
      <c r="T370" s="30">
        <v>4569.5735999999997</v>
      </c>
      <c r="U370" s="30">
        <v>4086.4</v>
      </c>
      <c r="V370" s="30">
        <v>483.17359999999962</v>
      </c>
      <c r="W370" s="30">
        <v>0.10573713048412212</v>
      </c>
      <c r="X370" t="str">
        <f t="shared" si="49"/>
        <v>Delayed</v>
      </c>
      <c r="Y370" t="str">
        <f t="shared" si="50"/>
        <v>Compliant Discount</v>
      </c>
      <c r="Z370" s="9">
        <f>MIN(Q370,'Scenario Modelling'!$B$2)</f>
        <v>0.115</v>
      </c>
      <c r="AA370">
        <f t="shared" si="51"/>
        <v>285.59834999999998</v>
      </c>
      <c r="AB370">
        <f>N370*(1+'Scenario Modelling'!$B$3)</f>
        <v>280.94000000000005</v>
      </c>
      <c r="AC370">
        <f>ROUNDUP(S370*(1+'Scenario Modelling'!$B$4),0)</f>
        <v>17</v>
      </c>
      <c r="AD370">
        <f t="shared" si="52"/>
        <v>4855.1719499999999</v>
      </c>
      <c r="AE370">
        <f t="shared" si="53"/>
        <v>79.191949999998769</v>
      </c>
    </row>
    <row r="371" spans="1:31" x14ac:dyDescent="0.3">
      <c r="A371" s="31" t="s">
        <v>384</v>
      </c>
      <c r="B371" s="48">
        <v>45286</v>
      </c>
      <c r="C371" s="47" t="str">
        <f t="shared" si="46"/>
        <v>Q4-2023</v>
      </c>
      <c r="D371" s="32">
        <v>45294</v>
      </c>
      <c r="E371" s="17">
        <f t="shared" si="45"/>
        <v>8</v>
      </c>
      <c r="F371" s="33" t="s">
        <v>649</v>
      </c>
      <c r="G371" s="33" t="s">
        <v>657</v>
      </c>
      <c r="H371" s="33" t="s">
        <v>679</v>
      </c>
      <c r="I371" s="33" t="s">
        <v>705</v>
      </c>
      <c r="J371" s="33" t="s">
        <v>707</v>
      </c>
      <c r="K371" s="33" t="s">
        <v>724</v>
      </c>
      <c r="L371" s="33" t="s">
        <v>731</v>
      </c>
      <c r="M371" s="34" t="s">
        <v>1104</v>
      </c>
      <c r="N371" s="35">
        <v>492.75</v>
      </c>
      <c r="O371" s="35">
        <v>731.29</v>
      </c>
      <c r="P371" s="30" t="str">
        <f t="shared" si="47"/>
        <v>Low</v>
      </c>
      <c r="Q371" s="43">
        <v>5.8000000000000003E-2</v>
      </c>
      <c r="R371" s="42" t="str">
        <f t="shared" si="48"/>
        <v>Low</v>
      </c>
      <c r="S371" s="17">
        <v>6</v>
      </c>
      <c r="T371" s="30">
        <v>4133.25108</v>
      </c>
      <c r="U371" s="30">
        <v>2956.5</v>
      </c>
      <c r="V371" s="30">
        <v>1176.75108</v>
      </c>
      <c r="W371" s="30">
        <v>0.28470350753528384</v>
      </c>
      <c r="X371" t="str">
        <f t="shared" si="49"/>
        <v>Delayed</v>
      </c>
      <c r="Y371" t="str">
        <f t="shared" si="50"/>
        <v>Compliant Discount</v>
      </c>
      <c r="Z371" s="9">
        <f>MIN(Q371,'Scenario Modelling'!$B$2)</f>
        <v>5.8000000000000003E-2</v>
      </c>
      <c r="AA371">
        <f t="shared" si="51"/>
        <v>688.87517999999989</v>
      </c>
      <c r="AB371">
        <f>N371*(1+'Scenario Modelling'!$B$3)</f>
        <v>542.02500000000009</v>
      </c>
      <c r="AC371">
        <f>ROUNDUP(S371*(1+'Scenario Modelling'!$B$4),0)</f>
        <v>7</v>
      </c>
      <c r="AD371">
        <f t="shared" si="52"/>
        <v>4822.1262599999991</v>
      </c>
      <c r="AE371">
        <f t="shared" si="53"/>
        <v>1027.9512599999985</v>
      </c>
    </row>
    <row r="372" spans="1:31" x14ac:dyDescent="0.3">
      <c r="A372" s="36" t="s">
        <v>385</v>
      </c>
      <c r="B372" s="49">
        <v>44962</v>
      </c>
      <c r="C372" s="47" t="str">
        <f t="shared" si="46"/>
        <v>Q1-2023</v>
      </c>
      <c r="D372" s="37">
        <v>44985</v>
      </c>
      <c r="E372" s="16">
        <f t="shared" si="45"/>
        <v>23</v>
      </c>
      <c r="F372" s="38" t="s">
        <v>648</v>
      </c>
      <c r="G372" s="38" t="s">
        <v>660</v>
      </c>
      <c r="H372" s="38" t="s">
        <v>697</v>
      </c>
      <c r="I372" s="38" t="s">
        <v>703</v>
      </c>
      <c r="J372" s="38" t="s">
        <v>710</v>
      </c>
      <c r="K372" s="38" t="s">
        <v>716</v>
      </c>
      <c r="L372" s="38" t="s">
        <v>730</v>
      </c>
      <c r="M372" s="39" t="s">
        <v>1105</v>
      </c>
      <c r="N372" s="40">
        <v>1214.49</v>
      </c>
      <c r="O372" s="40">
        <v>1533.95</v>
      </c>
      <c r="P372" s="30" t="str">
        <f t="shared" si="47"/>
        <v>Medium</v>
      </c>
      <c r="Q372" s="44">
        <v>0</v>
      </c>
      <c r="R372" s="42" t="str">
        <f t="shared" si="48"/>
        <v>Low</v>
      </c>
      <c r="S372" s="16">
        <v>11</v>
      </c>
      <c r="T372" s="30">
        <v>16873.45</v>
      </c>
      <c r="U372" s="30">
        <v>13359.39</v>
      </c>
      <c r="V372" s="30">
        <v>3514.0600000000013</v>
      </c>
      <c r="W372" s="30">
        <v>0.20825972163369086</v>
      </c>
      <c r="X372" t="str">
        <f t="shared" si="49"/>
        <v>Delayed</v>
      </c>
      <c r="Y372" t="str">
        <f t="shared" si="50"/>
        <v>Compliant Discount</v>
      </c>
      <c r="Z372" s="9">
        <f>MIN(Q372,'Scenario Modelling'!$B$2)</f>
        <v>0</v>
      </c>
      <c r="AA372">
        <f t="shared" si="51"/>
        <v>1533.95</v>
      </c>
      <c r="AB372">
        <f>N372*(1+'Scenario Modelling'!$B$3)</f>
        <v>1335.9390000000001</v>
      </c>
      <c r="AC372">
        <f>ROUNDUP(S372*(1+'Scenario Modelling'!$B$4),0)</f>
        <v>12</v>
      </c>
      <c r="AD372">
        <f t="shared" si="52"/>
        <v>18407.400000000001</v>
      </c>
      <c r="AE372">
        <f t="shared" si="53"/>
        <v>2376.1319999999996</v>
      </c>
    </row>
    <row r="373" spans="1:31" x14ac:dyDescent="0.3">
      <c r="A373" s="31" t="s">
        <v>386</v>
      </c>
      <c r="B373" s="48">
        <v>45022</v>
      </c>
      <c r="C373" s="47" t="str">
        <f t="shared" si="46"/>
        <v>Q2-2023</v>
      </c>
      <c r="D373" s="32">
        <v>45024</v>
      </c>
      <c r="E373" s="17">
        <f t="shared" si="45"/>
        <v>2</v>
      </c>
      <c r="F373" s="33" t="s">
        <v>646</v>
      </c>
      <c r="G373" s="33" t="s">
        <v>651</v>
      </c>
      <c r="H373" s="33" t="s">
        <v>669</v>
      </c>
      <c r="I373" s="33" t="s">
        <v>705</v>
      </c>
      <c r="J373" s="33" t="s">
        <v>709</v>
      </c>
      <c r="K373" s="33" t="s">
        <v>723</v>
      </c>
      <c r="L373" s="33" t="s">
        <v>732</v>
      </c>
      <c r="M373" s="34" t="s">
        <v>1106</v>
      </c>
      <c r="N373" s="35">
        <v>720.35</v>
      </c>
      <c r="O373" s="35">
        <v>1571.66</v>
      </c>
      <c r="P373" s="30" t="str">
        <f t="shared" si="47"/>
        <v>Medium</v>
      </c>
      <c r="Q373" s="43">
        <v>0.107</v>
      </c>
      <c r="R373" s="42" t="str">
        <f t="shared" si="48"/>
        <v>Medium</v>
      </c>
      <c r="S373" s="17">
        <v>23</v>
      </c>
      <c r="T373" s="30">
        <v>32280.32474</v>
      </c>
      <c r="U373" s="30">
        <v>16568.05</v>
      </c>
      <c r="V373" s="30">
        <v>15712.274740000001</v>
      </c>
      <c r="W373" s="30">
        <v>0.4867446305622265</v>
      </c>
      <c r="X373" t="str">
        <f t="shared" si="49"/>
        <v>On-time</v>
      </c>
      <c r="Y373" t="str">
        <f t="shared" si="50"/>
        <v>Compliant Discount</v>
      </c>
      <c r="Z373" s="9">
        <f>MIN(Q373,'Scenario Modelling'!$B$2)</f>
        <v>0.107</v>
      </c>
      <c r="AA373">
        <f t="shared" si="51"/>
        <v>1403.4923800000001</v>
      </c>
      <c r="AB373">
        <f>N373*(1+'Scenario Modelling'!$B$3)</f>
        <v>792.3850000000001</v>
      </c>
      <c r="AC373">
        <f>ROUNDUP(S373*(1+'Scenario Modelling'!$B$4),0)</f>
        <v>25</v>
      </c>
      <c r="AD373">
        <f t="shared" si="52"/>
        <v>35087.309500000003</v>
      </c>
      <c r="AE373">
        <f t="shared" si="53"/>
        <v>15277.684500000001</v>
      </c>
    </row>
    <row r="374" spans="1:31" x14ac:dyDescent="0.3">
      <c r="A374" s="36" t="s">
        <v>387</v>
      </c>
      <c r="B374" s="49">
        <v>45751</v>
      </c>
      <c r="C374" s="47" t="str">
        <f t="shared" si="46"/>
        <v>Q2-2025</v>
      </c>
      <c r="D374" s="37">
        <v>45757</v>
      </c>
      <c r="E374" s="16">
        <f t="shared" si="45"/>
        <v>6</v>
      </c>
      <c r="F374" s="38" t="s">
        <v>649</v>
      </c>
      <c r="G374" s="38" t="s">
        <v>658</v>
      </c>
      <c r="H374" s="38" t="s">
        <v>674</v>
      </c>
      <c r="I374" s="38" t="s">
        <v>703</v>
      </c>
      <c r="J374" s="38" t="s">
        <v>711</v>
      </c>
      <c r="K374" s="38" t="s">
        <v>725</v>
      </c>
      <c r="L374" s="38" t="s">
        <v>728</v>
      </c>
      <c r="M374" s="39" t="s">
        <v>1107</v>
      </c>
      <c r="N374" s="40">
        <v>290.14</v>
      </c>
      <c r="O374" s="40">
        <v>250.73</v>
      </c>
      <c r="P374" s="30" t="str">
        <f t="shared" si="47"/>
        <v>Low</v>
      </c>
      <c r="Q374" s="44">
        <v>3.4000000000000002E-2</v>
      </c>
      <c r="R374" s="42" t="str">
        <f t="shared" si="48"/>
        <v>Low</v>
      </c>
      <c r="S374" s="16">
        <v>17</v>
      </c>
      <c r="T374" s="30">
        <v>4117.4880599999997</v>
      </c>
      <c r="U374" s="30">
        <v>4932.38</v>
      </c>
      <c r="V374" s="30">
        <v>-814.89194000000043</v>
      </c>
      <c r="W374" s="30">
        <v>-0.19790997038131072</v>
      </c>
      <c r="X374" t="str">
        <f t="shared" si="49"/>
        <v>On-time</v>
      </c>
      <c r="Y374" t="str">
        <f t="shared" si="50"/>
        <v>Compliant Discount</v>
      </c>
      <c r="Z374" s="9">
        <f>MIN(Q374,'Scenario Modelling'!$B$2)</f>
        <v>3.4000000000000002E-2</v>
      </c>
      <c r="AA374">
        <f t="shared" si="51"/>
        <v>242.20517999999998</v>
      </c>
      <c r="AB374">
        <f>N374*(1+'Scenario Modelling'!$B$3)</f>
        <v>319.154</v>
      </c>
      <c r="AC374">
        <f>ROUNDUP(S374*(1+'Scenario Modelling'!$B$4),0)</f>
        <v>18</v>
      </c>
      <c r="AD374">
        <f t="shared" si="52"/>
        <v>4359.6932399999996</v>
      </c>
      <c r="AE374">
        <f t="shared" si="53"/>
        <v>-1385.0787600000003</v>
      </c>
    </row>
    <row r="375" spans="1:31" x14ac:dyDescent="0.3">
      <c r="A375" s="31" t="s">
        <v>388</v>
      </c>
      <c r="B375" s="48">
        <v>45429</v>
      </c>
      <c r="C375" s="47" t="str">
        <f t="shared" si="46"/>
        <v>Q2-2024</v>
      </c>
      <c r="D375" s="32">
        <v>45439</v>
      </c>
      <c r="E375" s="17">
        <f t="shared" si="45"/>
        <v>10</v>
      </c>
      <c r="F375" s="33" t="s">
        <v>648</v>
      </c>
      <c r="G375" s="33" t="s">
        <v>660</v>
      </c>
      <c r="H375" s="33" t="s">
        <v>697</v>
      </c>
      <c r="I375" s="33" t="s">
        <v>703</v>
      </c>
      <c r="J375" s="33" t="s">
        <v>708</v>
      </c>
      <c r="K375" s="33" t="s">
        <v>712</v>
      </c>
      <c r="L375" s="33" t="s">
        <v>730</v>
      </c>
      <c r="M375" s="34" t="s">
        <v>1108</v>
      </c>
      <c r="N375" s="35">
        <v>1484.23</v>
      </c>
      <c r="O375" s="35">
        <v>3472.81</v>
      </c>
      <c r="P375" s="30" t="str">
        <f t="shared" si="47"/>
        <v>High</v>
      </c>
      <c r="Q375" s="43">
        <v>0.25600000000000001</v>
      </c>
      <c r="R375" s="42" t="str">
        <f t="shared" si="48"/>
        <v>High</v>
      </c>
      <c r="S375" s="17">
        <v>12</v>
      </c>
      <c r="T375" s="30">
        <v>31005.24768</v>
      </c>
      <c r="U375" s="30">
        <v>17810.760000000002</v>
      </c>
      <c r="V375" s="30">
        <v>13194.487679999998</v>
      </c>
      <c r="W375" s="30">
        <v>0.42555659661803413</v>
      </c>
      <c r="X375" t="str">
        <f t="shared" si="49"/>
        <v>Delayed</v>
      </c>
      <c r="Y375" t="str">
        <f t="shared" si="50"/>
        <v>Non-compliant Discount</v>
      </c>
      <c r="Z375" s="9">
        <f>MIN(Q375,'Scenario Modelling'!$B$2)</f>
        <v>0.2</v>
      </c>
      <c r="AA375">
        <f t="shared" si="51"/>
        <v>2778.248</v>
      </c>
      <c r="AB375">
        <f>N375*(1+'Scenario Modelling'!$B$3)</f>
        <v>1632.6530000000002</v>
      </c>
      <c r="AC375">
        <f>ROUNDUP(S375*(1+'Scenario Modelling'!$B$4),0)</f>
        <v>13</v>
      </c>
      <c r="AD375">
        <f t="shared" si="52"/>
        <v>36117.224000000002</v>
      </c>
      <c r="AE375">
        <f t="shared" si="53"/>
        <v>14892.734999999997</v>
      </c>
    </row>
    <row r="376" spans="1:31" x14ac:dyDescent="0.3">
      <c r="A376" s="36" t="s">
        <v>389</v>
      </c>
      <c r="B376" s="49">
        <v>45354</v>
      </c>
      <c r="C376" s="47" t="str">
        <f t="shared" si="46"/>
        <v>Q1-2024</v>
      </c>
      <c r="D376" s="37">
        <v>45370</v>
      </c>
      <c r="E376" s="16">
        <f t="shared" si="45"/>
        <v>16</v>
      </c>
      <c r="F376" s="38" t="s">
        <v>647</v>
      </c>
      <c r="G376" s="38" t="s">
        <v>659</v>
      </c>
      <c r="H376" s="38" t="s">
        <v>699</v>
      </c>
      <c r="I376" s="38" t="s">
        <v>704</v>
      </c>
      <c r="J376" s="38" t="s">
        <v>710</v>
      </c>
      <c r="K376" s="38" t="s">
        <v>715</v>
      </c>
      <c r="L376" s="38" t="s">
        <v>730</v>
      </c>
      <c r="M376" s="39" t="s">
        <v>1109</v>
      </c>
      <c r="N376" s="40">
        <v>988.83</v>
      </c>
      <c r="O376" s="40">
        <v>1206.04</v>
      </c>
      <c r="P376" s="30" t="str">
        <f t="shared" si="47"/>
        <v>Medium</v>
      </c>
      <c r="Q376" s="44">
        <v>6.3E-2</v>
      </c>
      <c r="R376" s="42" t="str">
        <f t="shared" si="48"/>
        <v>Low</v>
      </c>
      <c r="S376" s="16">
        <v>34</v>
      </c>
      <c r="T376" s="30">
        <v>38422.022320000004</v>
      </c>
      <c r="U376" s="30">
        <v>33620.22</v>
      </c>
      <c r="V376" s="30">
        <v>4801.8023200000025</v>
      </c>
      <c r="W376" s="30">
        <v>0.12497526236406606</v>
      </c>
      <c r="X376" t="str">
        <f t="shared" si="49"/>
        <v>Delayed</v>
      </c>
      <c r="Y376" t="str">
        <f t="shared" si="50"/>
        <v>Compliant Discount</v>
      </c>
      <c r="Z376" s="9">
        <f>MIN(Q376,'Scenario Modelling'!$B$2)</f>
        <v>6.3E-2</v>
      </c>
      <c r="AA376">
        <f t="shared" si="51"/>
        <v>1130.0594800000001</v>
      </c>
      <c r="AB376">
        <f>N376*(1+'Scenario Modelling'!$B$3)</f>
        <v>1087.7130000000002</v>
      </c>
      <c r="AC376">
        <f>ROUNDUP(S376*(1+'Scenario Modelling'!$B$4),0)</f>
        <v>36</v>
      </c>
      <c r="AD376">
        <f t="shared" si="52"/>
        <v>40682.141280000003</v>
      </c>
      <c r="AE376">
        <f t="shared" si="53"/>
        <v>1524.4732799999974</v>
      </c>
    </row>
    <row r="377" spans="1:31" x14ac:dyDescent="0.3">
      <c r="A377" s="31" t="s">
        <v>390</v>
      </c>
      <c r="B377" s="48">
        <v>45835</v>
      </c>
      <c r="C377" s="47" t="str">
        <f t="shared" si="46"/>
        <v>Q2-2025</v>
      </c>
      <c r="D377" s="32">
        <v>45849</v>
      </c>
      <c r="E377" s="17">
        <f t="shared" si="45"/>
        <v>14</v>
      </c>
      <c r="F377" s="33" t="s">
        <v>647</v>
      </c>
      <c r="G377" s="33" t="s">
        <v>659</v>
      </c>
      <c r="H377" s="33" t="s">
        <v>685</v>
      </c>
      <c r="I377" s="33" t="s">
        <v>705</v>
      </c>
      <c r="J377" s="33" t="s">
        <v>709</v>
      </c>
      <c r="K377" s="33" t="s">
        <v>716</v>
      </c>
      <c r="L377" s="33" t="s">
        <v>729</v>
      </c>
      <c r="M377" s="34" t="s">
        <v>1110</v>
      </c>
      <c r="N377" s="35">
        <v>1227.7</v>
      </c>
      <c r="O377" s="35">
        <v>2197.23</v>
      </c>
      <c r="P377" s="30" t="str">
        <f t="shared" si="47"/>
        <v>High</v>
      </c>
      <c r="Q377" s="43">
        <v>9.9000000000000005E-2</v>
      </c>
      <c r="R377" s="42" t="str">
        <f t="shared" si="48"/>
        <v>Low</v>
      </c>
      <c r="S377" s="17">
        <v>22</v>
      </c>
      <c r="T377" s="30">
        <v>43553.493060000001</v>
      </c>
      <c r="U377" s="30">
        <v>27009.4</v>
      </c>
      <c r="V377" s="30">
        <v>16544.093059999999</v>
      </c>
      <c r="W377" s="30">
        <v>0.37985685871873898</v>
      </c>
      <c r="X377" t="str">
        <f t="shared" si="49"/>
        <v>Delayed</v>
      </c>
      <c r="Y377" t="str">
        <f t="shared" si="50"/>
        <v>Compliant Discount</v>
      </c>
      <c r="Z377" s="9">
        <f>MIN(Q377,'Scenario Modelling'!$B$2)</f>
        <v>9.9000000000000005E-2</v>
      </c>
      <c r="AA377">
        <f t="shared" si="51"/>
        <v>1979.7042300000001</v>
      </c>
      <c r="AB377">
        <f>N377*(1+'Scenario Modelling'!$B$3)</f>
        <v>1350.4700000000003</v>
      </c>
      <c r="AC377">
        <f>ROUNDUP(S377*(1+'Scenario Modelling'!$B$4),0)</f>
        <v>24</v>
      </c>
      <c r="AD377">
        <f t="shared" si="52"/>
        <v>47512.901519999999</v>
      </c>
      <c r="AE377">
        <f t="shared" si="53"/>
        <v>15101.621519999995</v>
      </c>
    </row>
    <row r="378" spans="1:31" x14ac:dyDescent="0.3">
      <c r="A378" s="36" t="s">
        <v>391</v>
      </c>
      <c r="B378" s="49">
        <v>44998</v>
      </c>
      <c r="C378" s="47" t="str">
        <f t="shared" si="46"/>
        <v>Q1-2023</v>
      </c>
      <c r="D378" s="37">
        <v>45020</v>
      </c>
      <c r="E378" s="16">
        <f t="shared" si="45"/>
        <v>22</v>
      </c>
      <c r="F378" s="38" t="s">
        <v>646</v>
      </c>
      <c r="G378" s="38" t="s">
        <v>661</v>
      </c>
      <c r="H378" s="38" t="s">
        <v>687</v>
      </c>
      <c r="I378" s="38" t="s">
        <v>705</v>
      </c>
      <c r="J378" s="38" t="s">
        <v>707</v>
      </c>
      <c r="K378" s="38" t="s">
        <v>720</v>
      </c>
      <c r="L378" s="38" t="s">
        <v>727</v>
      </c>
      <c r="M378" s="39" t="s">
        <v>1111</v>
      </c>
      <c r="N378" s="40">
        <v>1113.7</v>
      </c>
      <c r="O378" s="40">
        <v>1620.6</v>
      </c>
      <c r="P378" s="30" t="str">
        <f t="shared" si="47"/>
        <v>Medium</v>
      </c>
      <c r="Q378" s="44">
        <v>0.13900000000000001</v>
      </c>
      <c r="R378" s="42" t="str">
        <f t="shared" si="48"/>
        <v>Medium</v>
      </c>
      <c r="S378" s="16">
        <v>11</v>
      </c>
      <c r="T378" s="30">
        <v>15348.702599999999</v>
      </c>
      <c r="U378" s="30">
        <v>12250.7</v>
      </c>
      <c r="V378" s="30">
        <v>3098.002599999998</v>
      </c>
      <c r="W378" s="30">
        <v>0.20184133348182787</v>
      </c>
      <c r="X378" t="str">
        <f t="shared" si="49"/>
        <v>Delayed</v>
      </c>
      <c r="Y378" t="str">
        <f t="shared" si="50"/>
        <v>Compliant Discount</v>
      </c>
      <c r="Z378" s="9">
        <f>MIN(Q378,'Scenario Modelling'!$B$2)</f>
        <v>0.13900000000000001</v>
      </c>
      <c r="AA378">
        <f t="shared" si="51"/>
        <v>1395.3365999999999</v>
      </c>
      <c r="AB378">
        <f>N378*(1+'Scenario Modelling'!$B$3)</f>
        <v>1225.0700000000002</v>
      </c>
      <c r="AC378">
        <f>ROUNDUP(S378*(1+'Scenario Modelling'!$B$4),0)</f>
        <v>12</v>
      </c>
      <c r="AD378">
        <f t="shared" si="52"/>
        <v>16744.039199999999</v>
      </c>
      <c r="AE378">
        <f t="shared" si="53"/>
        <v>2043.1991999999964</v>
      </c>
    </row>
    <row r="379" spans="1:31" x14ac:dyDescent="0.3">
      <c r="A379" s="31" t="s">
        <v>392</v>
      </c>
      <c r="B379" s="48">
        <v>45664</v>
      </c>
      <c r="C379" s="47" t="str">
        <f t="shared" si="46"/>
        <v>Q1-2025</v>
      </c>
      <c r="D379" s="32">
        <v>45677</v>
      </c>
      <c r="E379" s="17">
        <f t="shared" si="45"/>
        <v>13</v>
      </c>
      <c r="F379" s="33" t="s">
        <v>646</v>
      </c>
      <c r="G379" s="33" t="s">
        <v>661</v>
      </c>
      <c r="H379" s="33" t="s">
        <v>695</v>
      </c>
      <c r="I379" s="33" t="s">
        <v>701</v>
      </c>
      <c r="J379" s="33" t="s">
        <v>711</v>
      </c>
      <c r="K379" s="33" t="s">
        <v>723</v>
      </c>
      <c r="L379" s="33" t="s">
        <v>729</v>
      </c>
      <c r="M379" s="34" t="s">
        <v>1112</v>
      </c>
      <c r="N379" s="35">
        <v>432.13</v>
      </c>
      <c r="O379" s="35">
        <v>1034.6600000000001</v>
      </c>
      <c r="P379" s="30" t="str">
        <f t="shared" si="47"/>
        <v>Medium</v>
      </c>
      <c r="Q379" s="43">
        <v>9.1999999999999998E-2</v>
      </c>
      <c r="R379" s="42" t="str">
        <f t="shared" si="48"/>
        <v>Low</v>
      </c>
      <c r="S379" s="17">
        <v>7</v>
      </c>
      <c r="T379" s="30">
        <v>6576.298960000001</v>
      </c>
      <c r="U379" s="30">
        <v>3024.91</v>
      </c>
      <c r="V379" s="30">
        <v>3551.3889600000011</v>
      </c>
      <c r="W379" s="30">
        <v>0.54002851476204794</v>
      </c>
      <c r="X379" t="str">
        <f t="shared" si="49"/>
        <v>Delayed</v>
      </c>
      <c r="Y379" t="str">
        <f t="shared" si="50"/>
        <v>Compliant Discount</v>
      </c>
      <c r="Z379" s="9">
        <f>MIN(Q379,'Scenario Modelling'!$B$2)</f>
        <v>9.1999999999999998E-2</v>
      </c>
      <c r="AA379">
        <f t="shared" si="51"/>
        <v>939.47128000000009</v>
      </c>
      <c r="AB379">
        <f>N379*(1+'Scenario Modelling'!$B$3)</f>
        <v>475.34300000000002</v>
      </c>
      <c r="AC379">
        <f>ROUNDUP(S379*(1+'Scenario Modelling'!$B$4),0)</f>
        <v>8</v>
      </c>
      <c r="AD379">
        <f t="shared" si="52"/>
        <v>7515.7702400000007</v>
      </c>
      <c r="AE379">
        <f t="shared" si="53"/>
        <v>3713.0262400000006</v>
      </c>
    </row>
    <row r="380" spans="1:31" x14ac:dyDescent="0.3">
      <c r="A380" s="36" t="s">
        <v>393</v>
      </c>
      <c r="B380" s="49">
        <v>45694</v>
      </c>
      <c r="C380" s="47" t="str">
        <f t="shared" si="46"/>
        <v>Q1-2025</v>
      </c>
      <c r="D380" s="37">
        <v>45703</v>
      </c>
      <c r="E380" s="16">
        <f t="shared" si="45"/>
        <v>9</v>
      </c>
      <c r="F380" s="38" t="s">
        <v>648</v>
      </c>
      <c r="G380" s="38" t="s">
        <v>655</v>
      </c>
      <c r="H380" s="38" t="s">
        <v>670</v>
      </c>
      <c r="I380" s="38" t="s">
        <v>703</v>
      </c>
      <c r="J380" s="38" t="s">
        <v>710</v>
      </c>
      <c r="K380" s="38" t="s">
        <v>721</v>
      </c>
      <c r="L380" s="38" t="s">
        <v>729</v>
      </c>
      <c r="M380" s="39" t="s">
        <v>1113</v>
      </c>
      <c r="N380" s="40">
        <v>837.39</v>
      </c>
      <c r="O380" s="40">
        <v>1905.42</v>
      </c>
      <c r="P380" s="30" t="str">
        <f t="shared" si="47"/>
        <v>High</v>
      </c>
      <c r="Q380" s="44">
        <v>3.2000000000000001E-2</v>
      </c>
      <c r="R380" s="42" t="str">
        <f t="shared" si="48"/>
        <v>Low</v>
      </c>
      <c r="S380" s="16">
        <v>18</v>
      </c>
      <c r="T380" s="30">
        <v>33200.038079999998</v>
      </c>
      <c r="U380" s="30">
        <v>15073.02</v>
      </c>
      <c r="V380" s="30">
        <v>18127.018079999998</v>
      </c>
      <c r="W380" s="30">
        <v>0.54599389423350919</v>
      </c>
      <c r="X380" t="str">
        <f t="shared" si="49"/>
        <v>Delayed</v>
      </c>
      <c r="Y380" t="str">
        <f t="shared" si="50"/>
        <v>Compliant Discount</v>
      </c>
      <c r="Z380" s="9">
        <f>MIN(Q380,'Scenario Modelling'!$B$2)</f>
        <v>3.2000000000000001E-2</v>
      </c>
      <c r="AA380">
        <f t="shared" si="51"/>
        <v>1844.4465600000001</v>
      </c>
      <c r="AB380">
        <f>N380*(1+'Scenario Modelling'!$B$3)</f>
        <v>921.12900000000002</v>
      </c>
      <c r="AC380">
        <f>ROUNDUP(S380*(1+'Scenario Modelling'!$B$4),0)</f>
        <v>19</v>
      </c>
      <c r="AD380">
        <f t="shared" si="52"/>
        <v>35044.484640000002</v>
      </c>
      <c r="AE380">
        <f t="shared" si="53"/>
        <v>17543.033640000001</v>
      </c>
    </row>
    <row r="381" spans="1:31" x14ac:dyDescent="0.3">
      <c r="A381" s="31" t="s">
        <v>394</v>
      </c>
      <c r="B381" s="48">
        <v>45688</v>
      </c>
      <c r="C381" s="47" t="str">
        <f t="shared" si="46"/>
        <v>Q1-2025</v>
      </c>
      <c r="D381" s="32">
        <v>45705</v>
      </c>
      <c r="E381" s="17">
        <f t="shared" si="45"/>
        <v>17</v>
      </c>
      <c r="F381" s="33" t="s">
        <v>649</v>
      </c>
      <c r="G381" s="33" t="s">
        <v>658</v>
      </c>
      <c r="H381" s="33" t="s">
        <v>683</v>
      </c>
      <c r="I381" s="33" t="s">
        <v>706</v>
      </c>
      <c r="J381" s="33" t="s">
        <v>707</v>
      </c>
      <c r="K381" s="33" t="s">
        <v>722</v>
      </c>
      <c r="L381" s="33" t="s">
        <v>727</v>
      </c>
      <c r="M381" s="34" t="s">
        <v>812</v>
      </c>
      <c r="N381" s="35">
        <v>378.26</v>
      </c>
      <c r="O381" s="35">
        <v>541.55999999999995</v>
      </c>
      <c r="P381" s="30" t="str">
        <f t="shared" si="47"/>
        <v>Low</v>
      </c>
      <c r="Q381" s="43">
        <v>0.16300000000000001</v>
      </c>
      <c r="R381" s="42" t="str">
        <f t="shared" si="48"/>
        <v>Medium</v>
      </c>
      <c r="S381" s="17">
        <v>25</v>
      </c>
      <c r="T381" s="30">
        <v>11332.142999999998</v>
      </c>
      <c r="U381" s="30">
        <v>9456.5</v>
      </c>
      <c r="V381" s="30">
        <v>1875.6429999999982</v>
      </c>
      <c r="W381" s="30">
        <v>0.16551529573885526</v>
      </c>
      <c r="X381" t="str">
        <f t="shared" si="49"/>
        <v>Delayed</v>
      </c>
      <c r="Y381" t="str">
        <f t="shared" si="50"/>
        <v>Compliant Discount</v>
      </c>
      <c r="Z381" s="9">
        <f>MIN(Q381,'Scenario Modelling'!$B$2)</f>
        <v>0.16300000000000001</v>
      </c>
      <c r="AA381">
        <f t="shared" si="51"/>
        <v>453.28571999999991</v>
      </c>
      <c r="AB381">
        <f>N381*(1+'Scenario Modelling'!$B$3)</f>
        <v>416.08600000000001</v>
      </c>
      <c r="AC381">
        <f>ROUNDUP(S381*(1+'Scenario Modelling'!$B$4),0)</f>
        <v>27</v>
      </c>
      <c r="AD381">
        <f t="shared" si="52"/>
        <v>12238.714439999998</v>
      </c>
      <c r="AE381">
        <f t="shared" si="53"/>
        <v>1004.3924399999974</v>
      </c>
    </row>
    <row r="382" spans="1:31" x14ac:dyDescent="0.3">
      <c r="A382" s="36" t="s">
        <v>395</v>
      </c>
      <c r="B382" s="49">
        <v>45876</v>
      </c>
      <c r="C382" s="47" t="str">
        <f t="shared" si="46"/>
        <v>Q3-2025</v>
      </c>
      <c r="D382" s="37">
        <v>45906</v>
      </c>
      <c r="E382" s="16">
        <f t="shared" si="45"/>
        <v>30</v>
      </c>
      <c r="F382" s="38" t="s">
        <v>648</v>
      </c>
      <c r="G382" s="38" t="s">
        <v>653</v>
      </c>
      <c r="H382" s="38" t="s">
        <v>681</v>
      </c>
      <c r="I382" s="38" t="s">
        <v>702</v>
      </c>
      <c r="J382" s="38" t="s">
        <v>711</v>
      </c>
      <c r="K382" s="38" t="s">
        <v>724</v>
      </c>
      <c r="L382" s="38" t="s">
        <v>729</v>
      </c>
      <c r="M382" s="39" t="s">
        <v>1114</v>
      </c>
      <c r="N382" s="40">
        <v>833.73</v>
      </c>
      <c r="O382" s="40">
        <v>1116.5999999999999</v>
      </c>
      <c r="P382" s="30" t="str">
        <f t="shared" si="47"/>
        <v>Medium</v>
      </c>
      <c r="Q382" s="44">
        <v>0.17599999999999999</v>
      </c>
      <c r="R382" s="42" t="str">
        <f t="shared" si="48"/>
        <v>Medium</v>
      </c>
      <c r="S382" s="16">
        <v>14</v>
      </c>
      <c r="T382" s="30">
        <v>12881.097599999999</v>
      </c>
      <c r="U382" s="30">
        <v>11672.220000000001</v>
      </c>
      <c r="V382" s="30">
        <v>1208.877599999998</v>
      </c>
      <c r="W382" s="30">
        <v>9.3848958958279924E-2</v>
      </c>
      <c r="X382" t="str">
        <f t="shared" si="49"/>
        <v>Delayed</v>
      </c>
      <c r="Y382" t="str">
        <f t="shared" si="50"/>
        <v>Compliant Discount</v>
      </c>
      <c r="Z382" s="9">
        <f>MIN(Q382,'Scenario Modelling'!$B$2)</f>
        <v>0.17599999999999999</v>
      </c>
      <c r="AA382">
        <f t="shared" si="51"/>
        <v>920.07839999999999</v>
      </c>
      <c r="AB382">
        <f>N382*(1+'Scenario Modelling'!$B$3)</f>
        <v>917.10300000000007</v>
      </c>
      <c r="AC382">
        <f>ROUNDUP(S382*(1+'Scenario Modelling'!$B$4),0)</f>
        <v>15</v>
      </c>
      <c r="AD382">
        <f t="shared" si="52"/>
        <v>13801.175999999999</v>
      </c>
      <c r="AE382">
        <f t="shared" si="53"/>
        <v>44.630999999998835</v>
      </c>
    </row>
    <row r="383" spans="1:31" x14ac:dyDescent="0.3">
      <c r="A383" s="31" t="s">
        <v>396</v>
      </c>
      <c r="B383" s="48">
        <v>45861</v>
      </c>
      <c r="C383" s="47" t="str">
        <f t="shared" si="46"/>
        <v>Q3-2025</v>
      </c>
      <c r="D383" s="32">
        <v>45886</v>
      </c>
      <c r="E383" s="17">
        <f t="shared" si="45"/>
        <v>25</v>
      </c>
      <c r="F383" s="33" t="s">
        <v>649</v>
      </c>
      <c r="G383" s="33" t="s">
        <v>658</v>
      </c>
      <c r="H383" s="33" t="s">
        <v>674</v>
      </c>
      <c r="I383" s="33" t="s">
        <v>702</v>
      </c>
      <c r="J383" s="33" t="s">
        <v>708</v>
      </c>
      <c r="K383" s="33" t="s">
        <v>714</v>
      </c>
      <c r="L383" s="33" t="s">
        <v>728</v>
      </c>
      <c r="M383" s="34" t="s">
        <v>1115</v>
      </c>
      <c r="N383" s="35">
        <v>1142.06</v>
      </c>
      <c r="O383" s="35">
        <v>1455</v>
      </c>
      <c r="P383" s="30" t="str">
        <f t="shared" si="47"/>
        <v>Medium</v>
      </c>
      <c r="Q383" s="43">
        <v>7.8E-2</v>
      </c>
      <c r="R383" s="42" t="str">
        <f t="shared" si="48"/>
        <v>Low</v>
      </c>
      <c r="S383" s="17">
        <v>28</v>
      </c>
      <c r="T383" s="30">
        <v>37562.28</v>
      </c>
      <c r="U383" s="30">
        <v>31977.68</v>
      </c>
      <c r="V383" s="30">
        <v>5584.5999999999985</v>
      </c>
      <c r="W383" s="30">
        <v>0.1486757459877302</v>
      </c>
      <c r="X383" t="str">
        <f t="shared" si="49"/>
        <v>Delayed</v>
      </c>
      <c r="Y383" t="str">
        <f t="shared" si="50"/>
        <v>Compliant Discount</v>
      </c>
      <c r="Z383" s="9">
        <f>MIN(Q383,'Scenario Modelling'!$B$2)</f>
        <v>7.8E-2</v>
      </c>
      <c r="AA383">
        <f t="shared" si="51"/>
        <v>1341.51</v>
      </c>
      <c r="AB383">
        <f>N383*(1+'Scenario Modelling'!$B$3)</f>
        <v>1256.2660000000001</v>
      </c>
      <c r="AC383">
        <f>ROUNDUP(S383*(1+'Scenario Modelling'!$B$4),0)</f>
        <v>30</v>
      </c>
      <c r="AD383">
        <f t="shared" si="52"/>
        <v>40245.300000000003</v>
      </c>
      <c r="AE383">
        <f t="shared" si="53"/>
        <v>2557.3199999999974</v>
      </c>
    </row>
    <row r="384" spans="1:31" x14ac:dyDescent="0.3">
      <c r="A384" s="36" t="s">
        <v>397</v>
      </c>
      <c r="B384" s="49">
        <v>45097</v>
      </c>
      <c r="C384" s="47" t="str">
        <f t="shared" si="46"/>
        <v>Q2-2023</v>
      </c>
      <c r="D384" s="37">
        <v>45115</v>
      </c>
      <c r="E384" s="16">
        <f t="shared" si="45"/>
        <v>18</v>
      </c>
      <c r="F384" s="38" t="s">
        <v>648</v>
      </c>
      <c r="G384" s="38" t="s">
        <v>660</v>
      </c>
      <c r="H384" s="38" t="s">
        <v>700</v>
      </c>
      <c r="I384" s="38" t="s">
        <v>704</v>
      </c>
      <c r="J384" s="38" t="s">
        <v>709</v>
      </c>
      <c r="K384" s="38" t="s">
        <v>719</v>
      </c>
      <c r="L384" s="38" t="s">
        <v>729</v>
      </c>
      <c r="M384" s="39" t="s">
        <v>1116</v>
      </c>
      <c r="N384" s="40">
        <v>1145.53</v>
      </c>
      <c r="O384" s="40">
        <v>1278.3</v>
      </c>
      <c r="P384" s="30" t="str">
        <f t="shared" si="47"/>
        <v>Medium</v>
      </c>
      <c r="Q384" s="44">
        <v>0.09</v>
      </c>
      <c r="R384" s="42" t="str">
        <f t="shared" si="48"/>
        <v>Low</v>
      </c>
      <c r="S384" s="16">
        <v>41</v>
      </c>
      <c r="T384" s="30">
        <v>47693.373</v>
      </c>
      <c r="U384" s="30">
        <v>46966.729999999996</v>
      </c>
      <c r="V384" s="30">
        <v>726.64300000000367</v>
      </c>
      <c r="W384" s="30">
        <v>1.5235722581416158E-2</v>
      </c>
      <c r="X384" t="str">
        <f t="shared" si="49"/>
        <v>Delayed</v>
      </c>
      <c r="Y384" t="str">
        <f t="shared" si="50"/>
        <v>Compliant Discount</v>
      </c>
      <c r="Z384" s="9">
        <f>MIN(Q384,'Scenario Modelling'!$B$2)</f>
        <v>0.09</v>
      </c>
      <c r="AA384">
        <f t="shared" si="51"/>
        <v>1163.2529999999999</v>
      </c>
      <c r="AB384">
        <f>N384*(1+'Scenario Modelling'!$B$3)</f>
        <v>1260.0830000000001</v>
      </c>
      <c r="AC384">
        <f>ROUNDUP(S384*(1+'Scenario Modelling'!$B$4),0)</f>
        <v>44</v>
      </c>
      <c r="AD384">
        <f t="shared" si="52"/>
        <v>51183.131999999998</v>
      </c>
      <c r="AE384">
        <f t="shared" si="53"/>
        <v>-4260.5200000000068</v>
      </c>
    </row>
    <row r="385" spans="1:31" x14ac:dyDescent="0.3">
      <c r="A385" s="31" t="s">
        <v>398</v>
      </c>
      <c r="B385" s="48">
        <v>45491</v>
      </c>
      <c r="C385" s="47" t="str">
        <f t="shared" si="46"/>
        <v>Q3-2024</v>
      </c>
      <c r="D385" s="32">
        <v>45511</v>
      </c>
      <c r="E385" s="17">
        <f t="shared" si="45"/>
        <v>20</v>
      </c>
      <c r="F385" s="33" t="s">
        <v>649</v>
      </c>
      <c r="G385" s="33" t="s">
        <v>657</v>
      </c>
      <c r="H385" s="33" t="s">
        <v>673</v>
      </c>
      <c r="I385" s="33" t="s">
        <v>701</v>
      </c>
      <c r="J385" s="33" t="s">
        <v>707</v>
      </c>
      <c r="K385" s="33" t="s">
        <v>721</v>
      </c>
      <c r="L385" s="33" t="s">
        <v>732</v>
      </c>
      <c r="M385" s="34" t="s">
        <v>1117</v>
      </c>
      <c r="N385" s="35">
        <v>941.35</v>
      </c>
      <c r="O385" s="35">
        <v>899.83</v>
      </c>
      <c r="P385" s="30" t="str">
        <f t="shared" si="47"/>
        <v>Medium</v>
      </c>
      <c r="Q385" s="43">
        <v>5.8000000000000003E-2</v>
      </c>
      <c r="R385" s="42" t="str">
        <f t="shared" si="48"/>
        <v>Low</v>
      </c>
      <c r="S385" s="17">
        <v>18</v>
      </c>
      <c r="T385" s="30">
        <v>15257.51748</v>
      </c>
      <c r="U385" s="30">
        <v>16944.3</v>
      </c>
      <c r="V385" s="30">
        <v>-1686.7825199999988</v>
      </c>
      <c r="W385" s="30">
        <v>-0.11055419220139073</v>
      </c>
      <c r="X385" t="str">
        <f t="shared" si="49"/>
        <v>Delayed</v>
      </c>
      <c r="Y385" t="str">
        <f t="shared" si="50"/>
        <v>Compliant Discount</v>
      </c>
      <c r="Z385" s="9">
        <f>MIN(Q385,'Scenario Modelling'!$B$2)</f>
        <v>5.8000000000000003E-2</v>
      </c>
      <c r="AA385">
        <f t="shared" si="51"/>
        <v>847.63986</v>
      </c>
      <c r="AB385">
        <f>N385*(1+'Scenario Modelling'!$B$3)</f>
        <v>1035.4850000000001</v>
      </c>
      <c r="AC385">
        <f>ROUNDUP(S385*(1+'Scenario Modelling'!$B$4),0)</f>
        <v>19</v>
      </c>
      <c r="AD385">
        <f t="shared" si="52"/>
        <v>16105.15734</v>
      </c>
      <c r="AE385">
        <f t="shared" si="53"/>
        <v>-3569.0576600000022</v>
      </c>
    </row>
    <row r="386" spans="1:31" x14ac:dyDescent="0.3">
      <c r="A386" s="36" t="s">
        <v>399</v>
      </c>
      <c r="B386" s="49">
        <v>45066</v>
      </c>
      <c r="C386" s="47" t="str">
        <f t="shared" si="46"/>
        <v>Q2-2023</v>
      </c>
      <c r="D386" s="37">
        <v>45096</v>
      </c>
      <c r="E386" s="16">
        <f t="shared" ref="E386:E449" si="54">D386-B386</f>
        <v>30</v>
      </c>
      <c r="F386" s="38" t="s">
        <v>647</v>
      </c>
      <c r="G386" s="38" t="s">
        <v>654</v>
      </c>
      <c r="H386" s="38" t="s">
        <v>680</v>
      </c>
      <c r="I386" s="38" t="s">
        <v>703</v>
      </c>
      <c r="J386" s="38" t="s">
        <v>709</v>
      </c>
      <c r="K386" s="38" t="s">
        <v>722</v>
      </c>
      <c r="L386" s="38" t="s">
        <v>731</v>
      </c>
      <c r="M386" s="39" t="s">
        <v>1118</v>
      </c>
      <c r="N386" s="40">
        <v>1161.2</v>
      </c>
      <c r="O386" s="40">
        <v>878.73</v>
      </c>
      <c r="P386" s="30" t="str">
        <f t="shared" si="47"/>
        <v>Medium</v>
      </c>
      <c r="Q386" s="44">
        <v>0.19</v>
      </c>
      <c r="R386" s="42" t="str">
        <f t="shared" si="48"/>
        <v>Medium</v>
      </c>
      <c r="S386" s="16">
        <v>31</v>
      </c>
      <c r="T386" s="30">
        <v>22064.910300000003</v>
      </c>
      <c r="U386" s="30">
        <v>35997.200000000004</v>
      </c>
      <c r="V386" s="30">
        <v>-13932.289700000001</v>
      </c>
      <c r="W386" s="30">
        <v>-0.63142290227212028</v>
      </c>
      <c r="X386" t="str">
        <f t="shared" si="49"/>
        <v>Delayed</v>
      </c>
      <c r="Y386" t="str">
        <f t="shared" si="50"/>
        <v>Compliant Discount</v>
      </c>
      <c r="Z386" s="9">
        <f>MIN(Q386,'Scenario Modelling'!$B$2)</f>
        <v>0.19</v>
      </c>
      <c r="AA386">
        <f t="shared" si="51"/>
        <v>711.77130000000011</v>
      </c>
      <c r="AB386">
        <f>N386*(1+'Scenario Modelling'!$B$3)</f>
        <v>1277.3200000000002</v>
      </c>
      <c r="AC386">
        <f>ROUNDUP(S386*(1+'Scenario Modelling'!$B$4),0)</f>
        <v>33</v>
      </c>
      <c r="AD386">
        <f t="shared" si="52"/>
        <v>23488.452900000004</v>
      </c>
      <c r="AE386">
        <f t="shared" si="53"/>
        <v>-18663.107100000001</v>
      </c>
    </row>
    <row r="387" spans="1:31" x14ac:dyDescent="0.3">
      <c r="A387" s="31" t="s">
        <v>400</v>
      </c>
      <c r="B387" s="48">
        <v>45789</v>
      </c>
      <c r="C387" s="47" t="str">
        <f t="shared" ref="C387:C450" si="55">"Q"&amp;ROUNDUP(MONTH(B387)/3,0)&amp;"-"&amp;YEAR(B387)</f>
        <v>Q2-2025</v>
      </c>
      <c r="D387" s="32">
        <v>45803</v>
      </c>
      <c r="E387" s="17">
        <f t="shared" si="54"/>
        <v>14</v>
      </c>
      <c r="F387" s="33" t="s">
        <v>647</v>
      </c>
      <c r="G387" s="33" t="s">
        <v>654</v>
      </c>
      <c r="H387" s="33" t="s">
        <v>696</v>
      </c>
      <c r="I387" s="33" t="s">
        <v>701</v>
      </c>
      <c r="J387" s="33" t="s">
        <v>709</v>
      </c>
      <c r="K387" s="33" t="s">
        <v>715</v>
      </c>
      <c r="L387" s="33" t="s">
        <v>728</v>
      </c>
      <c r="M387" s="34" t="s">
        <v>1119</v>
      </c>
      <c r="N387" s="35">
        <v>320.12</v>
      </c>
      <c r="O387" s="35">
        <v>594.41999999999996</v>
      </c>
      <c r="P387" s="30" t="str">
        <f t="shared" ref="P387:P450" si="56">IF(O387&lt;=_xlfn.PERCENTILE.INC(IF(L387:L1017=L387, O387:O1017), 0.33), "Low", IF(O387&lt;=_xlfn.PERCENTILE.INC(IF(L387:L1017=L387, O387:O1017), 0.66), "Medium", IF(O387 &gt; _xlfn.PERCENTILE.INC(IF(L387:L1017=L387, O387:O1017), 0.66), "High")))</f>
        <v>Low</v>
      </c>
      <c r="Q387" s="43">
        <v>0.104</v>
      </c>
      <c r="R387" s="42" t="str">
        <f t="shared" ref="R387:R450" si="57">IF(Q387&lt;=0.1,"Low",IF(Q387&gt;0.2,"High","Medium"))</f>
        <v>Medium</v>
      </c>
      <c r="S387" s="17">
        <v>18</v>
      </c>
      <c r="T387" s="30">
        <v>9586.8057599999993</v>
      </c>
      <c r="U387" s="30">
        <v>5762.16</v>
      </c>
      <c r="V387" s="30">
        <v>3824.6457599999994</v>
      </c>
      <c r="W387" s="30">
        <v>0.39894891538931104</v>
      </c>
      <c r="X387" t="str">
        <f t="shared" ref="X387:X450" si="58">IF(E387&lt;=7,"On-time","Delayed")</f>
        <v>Delayed</v>
      </c>
      <c r="Y387" t="str">
        <f t="shared" ref="Y387:Y450" si="59">IF(Q387&lt;=0.2, "Compliant Discount", "Non-compliant Discount")</f>
        <v>Compliant Discount</v>
      </c>
      <c r="Z387" s="9">
        <f>MIN(Q387,'Scenario Modelling'!$B$2)</f>
        <v>0.104</v>
      </c>
      <c r="AA387">
        <f t="shared" ref="AA387:AA450" si="60">O387*(1-Z387)</f>
        <v>532.60032000000001</v>
      </c>
      <c r="AB387">
        <f>N387*(1+'Scenario Modelling'!$B$3)</f>
        <v>352.13200000000006</v>
      </c>
      <c r="AC387">
        <f>ROUNDUP(S387*(1+'Scenario Modelling'!$B$4),0)</f>
        <v>19</v>
      </c>
      <c r="AD387">
        <f t="shared" ref="AD387:AD450" si="61">AA387*AC387</f>
        <v>10119.406080000001</v>
      </c>
      <c r="AE387">
        <f t="shared" ref="AE387:AE450" si="62">(AA387-AB387)*AC387</f>
        <v>3428.898079999999</v>
      </c>
    </row>
    <row r="388" spans="1:31" x14ac:dyDescent="0.3">
      <c r="A388" s="36" t="s">
        <v>401</v>
      </c>
      <c r="B388" s="49">
        <v>45419</v>
      </c>
      <c r="C388" s="47" t="str">
        <f t="shared" si="55"/>
        <v>Q2-2024</v>
      </c>
      <c r="D388" s="37">
        <v>45424</v>
      </c>
      <c r="E388" s="16">
        <f t="shared" si="54"/>
        <v>5</v>
      </c>
      <c r="F388" s="38" t="s">
        <v>646</v>
      </c>
      <c r="G388" s="38" t="s">
        <v>651</v>
      </c>
      <c r="H388" s="38" t="s">
        <v>669</v>
      </c>
      <c r="I388" s="38" t="s">
        <v>703</v>
      </c>
      <c r="J388" s="38" t="s">
        <v>710</v>
      </c>
      <c r="K388" s="38" t="s">
        <v>716</v>
      </c>
      <c r="L388" s="38" t="s">
        <v>731</v>
      </c>
      <c r="M388" s="39" t="s">
        <v>1120</v>
      </c>
      <c r="N388" s="40">
        <v>1163.99</v>
      </c>
      <c r="O388" s="40">
        <v>1617.85</v>
      </c>
      <c r="P388" s="30" t="str">
        <f t="shared" si="56"/>
        <v>Medium</v>
      </c>
      <c r="Q388" s="44">
        <v>0.127</v>
      </c>
      <c r="R388" s="42" t="str">
        <f t="shared" si="57"/>
        <v>Medium</v>
      </c>
      <c r="S388" s="16">
        <v>14</v>
      </c>
      <c r="T388" s="30">
        <v>19773.362699999998</v>
      </c>
      <c r="U388" s="30">
        <v>16295.86</v>
      </c>
      <c r="V388" s="30">
        <v>3477.5026999999973</v>
      </c>
      <c r="W388" s="30">
        <v>0.17586804797749436</v>
      </c>
      <c r="X388" t="str">
        <f t="shared" si="58"/>
        <v>On-time</v>
      </c>
      <c r="Y388" t="str">
        <f t="shared" si="59"/>
        <v>Compliant Discount</v>
      </c>
      <c r="Z388" s="9">
        <f>MIN(Q388,'Scenario Modelling'!$B$2)</f>
        <v>0.127</v>
      </c>
      <c r="AA388">
        <f t="shared" si="60"/>
        <v>1412.3830499999999</v>
      </c>
      <c r="AB388">
        <f>N388*(1+'Scenario Modelling'!$B$3)</f>
        <v>1280.3890000000001</v>
      </c>
      <c r="AC388">
        <f>ROUNDUP(S388*(1+'Scenario Modelling'!$B$4),0)</f>
        <v>15</v>
      </c>
      <c r="AD388">
        <f t="shared" si="61"/>
        <v>21185.745749999998</v>
      </c>
      <c r="AE388">
        <f t="shared" si="62"/>
        <v>1979.9107499999968</v>
      </c>
    </row>
    <row r="389" spans="1:31" x14ac:dyDescent="0.3">
      <c r="A389" s="31" t="s">
        <v>402</v>
      </c>
      <c r="B389" s="48">
        <v>45199</v>
      </c>
      <c r="C389" s="47" t="str">
        <f t="shared" si="55"/>
        <v>Q3-2023</v>
      </c>
      <c r="D389" s="32">
        <v>45202</v>
      </c>
      <c r="E389" s="17">
        <f t="shared" si="54"/>
        <v>3</v>
      </c>
      <c r="F389" s="33" t="s">
        <v>647</v>
      </c>
      <c r="G389" s="33" t="s">
        <v>659</v>
      </c>
      <c r="H389" s="33" t="s">
        <v>699</v>
      </c>
      <c r="I389" s="33" t="s">
        <v>703</v>
      </c>
      <c r="J389" s="33" t="s">
        <v>707</v>
      </c>
      <c r="K389" s="33" t="s">
        <v>713</v>
      </c>
      <c r="L389" s="33" t="s">
        <v>731</v>
      </c>
      <c r="M389" s="34" t="s">
        <v>1121</v>
      </c>
      <c r="N389" s="35">
        <v>1019.36</v>
      </c>
      <c r="O389" s="35">
        <v>972.91</v>
      </c>
      <c r="P389" s="30" t="str">
        <f t="shared" si="56"/>
        <v>Medium</v>
      </c>
      <c r="Q389" s="43">
        <v>0.14699999999999999</v>
      </c>
      <c r="R389" s="42" t="str">
        <f t="shared" si="57"/>
        <v>Medium</v>
      </c>
      <c r="S389" s="17">
        <v>17</v>
      </c>
      <c r="T389" s="30">
        <v>14108.16791</v>
      </c>
      <c r="U389" s="30">
        <v>17329.12</v>
      </c>
      <c r="V389" s="30">
        <v>-3220.9520899999989</v>
      </c>
      <c r="W389" s="30">
        <v>-0.22830406545678819</v>
      </c>
      <c r="X389" t="str">
        <f t="shared" si="58"/>
        <v>On-time</v>
      </c>
      <c r="Y389" t="str">
        <f t="shared" si="59"/>
        <v>Compliant Discount</v>
      </c>
      <c r="Z389" s="9">
        <f>MIN(Q389,'Scenario Modelling'!$B$2)</f>
        <v>0.14699999999999999</v>
      </c>
      <c r="AA389">
        <f t="shared" si="60"/>
        <v>829.89222999999993</v>
      </c>
      <c r="AB389">
        <f>N389*(1+'Scenario Modelling'!$B$3)</f>
        <v>1121.296</v>
      </c>
      <c r="AC389">
        <f>ROUNDUP(S389*(1+'Scenario Modelling'!$B$4),0)</f>
        <v>18</v>
      </c>
      <c r="AD389">
        <f t="shared" si="61"/>
        <v>14938.060139999998</v>
      </c>
      <c r="AE389">
        <f t="shared" si="62"/>
        <v>-5245.2678600000017</v>
      </c>
    </row>
    <row r="390" spans="1:31" x14ac:dyDescent="0.3">
      <c r="A390" s="36" t="s">
        <v>403</v>
      </c>
      <c r="B390" s="49">
        <v>45225</v>
      </c>
      <c r="C390" s="47" t="str">
        <f t="shared" si="55"/>
        <v>Q4-2023</v>
      </c>
      <c r="D390" s="37">
        <v>45235</v>
      </c>
      <c r="E390" s="16">
        <f t="shared" si="54"/>
        <v>10</v>
      </c>
      <c r="F390" s="38" t="s">
        <v>646</v>
      </c>
      <c r="G390" s="38" t="s">
        <v>661</v>
      </c>
      <c r="H390" s="38" t="s">
        <v>695</v>
      </c>
      <c r="I390" s="38" t="s">
        <v>703</v>
      </c>
      <c r="J390" s="38" t="s">
        <v>708</v>
      </c>
      <c r="K390" s="38" t="s">
        <v>714</v>
      </c>
      <c r="L390" s="38" t="s">
        <v>731</v>
      </c>
      <c r="M390" s="39" t="s">
        <v>1122</v>
      </c>
      <c r="N390" s="40">
        <v>20.38</v>
      </c>
      <c r="O390" s="40">
        <v>42.56</v>
      </c>
      <c r="P390" s="30" t="str">
        <f t="shared" si="56"/>
        <v>Low</v>
      </c>
      <c r="Q390" s="44">
        <v>7.1999999999999995E-2</v>
      </c>
      <c r="R390" s="42" t="str">
        <f t="shared" si="57"/>
        <v>Low</v>
      </c>
      <c r="S390" s="16">
        <v>11</v>
      </c>
      <c r="T390" s="30">
        <v>434.45248000000004</v>
      </c>
      <c r="U390" s="30">
        <v>224.17999999999998</v>
      </c>
      <c r="V390" s="30">
        <v>210.27248000000006</v>
      </c>
      <c r="W390" s="30">
        <v>0.48399419885921713</v>
      </c>
      <c r="X390" t="str">
        <f t="shared" si="58"/>
        <v>Delayed</v>
      </c>
      <c r="Y390" t="str">
        <f t="shared" si="59"/>
        <v>Compliant Discount</v>
      </c>
      <c r="Z390" s="9">
        <f>MIN(Q390,'Scenario Modelling'!$B$2)</f>
        <v>7.1999999999999995E-2</v>
      </c>
      <c r="AA390">
        <f t="shared" si="60"/>
        <v>39.495680000000007</v>
      </c>
      <c r="AB390">
        <f>N390*(1+'Scenario Modelling'!$B$3)</f>
        <v>22.417999999999999</v>
      </c>
      <c r="AC390">
        <f>ROUNDUP(S390*(1+'Scenario Modelling'!$B$4),0)</f>
        <v>12</v>
      </c>
      <c r="AD390">
        <f t="shared" si="61"/>
        <v>473.94816000000009</v>
      </c>
      <c r="AE390">
        <f t="shared" si="62"/>
        <v>204.9321600000001</v>
      </c>
    </row>
    <row r="391" spans="1:31" x14ac:dyDescent="0.3">
      <c r="A391" s="31" t="s">
        <v>404</v>
      </c>
      <c r="B391" s="48">
        <v>45823</v>
      </c>
      <c r="C391" s="47" t="str">
        <f t="shared" si="55"/>
        <v>Q2-2025</v>
      </c>
      <c r="D391" s="32">
        <v>45838</v>
      </c>
      <c r="E391" s="17">
        <f t="shared" si="54"/>
        <v>15</v>
      </c>
      <c r="F391" s="33" t="s">
        <v>646</v>
      </c>
      <c r="G391" s="33" t="s">
        <v>661</v>
      </c>
      <c r="H391" s="33" t="s">
        <v>682</v>
      </c>
      <c r="I391" s="33" t="s">
        <v>705</v>
      </c>
      <c r="J391" s="33" t="s">
        <v>711</v>
      </c>
      <c r="K391" s="33" t="s">
        <v>712</v>
      </c>
      <c r="L391" s="33" t="s">
        <v>732</v>
      </c>
      <c r="M391" s="34" t="s">
        <v>1123</v>
      </c>
      <c r="N391" s="35">
        <v>1487.59</v>
      </c>
      <c r="O391" s="35">
        <v>1480.83</v>
      </c>
      <c r="P391" s="30" t="str">
        <f t="shared" si="56"/>
        <v>Medium</v>
      </c>
      <c r="Q391" s="43">
        <v>8.9999999999999993E-3</v>
      </c>
      <c r="R391" s="42" t="str">
        <f t="shared" si="57"/>
        <v>Low</v>
      </c>
      <c r="S391" s="17">
        <v>11</v>
      </c>
      <c r="T391" s="30">
        <v>16142.527829999999</v>
      </c>
      <c r="U391" s="30">
        <v>16363.49</v>
      </c>
      <c r="V391" s="30">
        <v>-220.9621700000007</v>
      </c>
      <c r="W391" s="30">
        <v>-1.3688201273492908E-2</v>
      </c>
      <c r="X391" t="str">
        <f t="shared" si="58"/>
        <v>Delayed</v>
      </c>
      <c r="Y391" t="str">
        <f t="shared" si="59"/>
        <v>Compliant Discount</v>
      </c>
      <c r="Z391" s="9">
        <f>MIN(Q391,'Scenario Modelling'!$B$2)</f>
        <v>8.9999999999999993E-3</v>
      </c>
      <c r="AA391">
        <f t="shared" si="60"/>
        <v>1467.50253</v>
      </c>
      <c r="AB391">
        <f>N391*(1+'Scenario Modelling'!$B$3)</f>
        <v>1636.3489999999999</v>
      </c>
      <c r="AC391">
        <f>ROUNDUP(S391*(1+'Scenario Modelling'!$B$4),0)</f>
        <v>12</v>
      </c>
      <c r="AD391">
        <f t="shared" si="61"/>
        <v>17610.030360000001</v>
      </c>
      <c r="AE391">
        <f t="shared" si="62"/>
        <v>-2026.1576399999994</v>
      </c>
    </row>
    <row r="392" spans="1:31" x14ac:dyDescent="0.3">
      <c r="A392" s="36" t="s">
        <v>405</v>
      </c>
      <c r="B392" s="49">
        <v>45514</v>
      </c>
      <c r="C392" s="47" t="str">
        <f t="shared" si="55"/>
        <v>Q3-2024</v>
      </c>
      <c r="D392" s="37">
        <v>45542</v>
      </c>
      <c r="E392" s="16">
        <f t="shared" si="54"/>
        <v>28</v>
      </c>
      <c r="F392" s="38" t="s">
        <v>649</v>
      </c>
      <c r="G392" s="38" t="s">
        <v>657</v>
      </c>
      <c r="H392" s="38" t="s">
        <v>673</v>
      </c>
      <c r="I392" s="38" t="s">
        <v>703</v>
      </c>
      <c r="J392" s="38" t="s">
        <v>711</v>
      </c>
      <c r="K392" s="38" t="s">
        <v>721</v>
      </c>
      <c r="L392" s="38" t="s">
        <v>728</v>
      </c>
      <c r="M392" s="39" t="s">
        <v>1124</v>
      </c>
      <c r="N392" s="40">
        <v>229.96</v>
      </c>
      <c r="O392" s="40">
        <v>564.26</v>
      </c>
      <c r="P392" s="30" t="str">
        <f t="shared" si="56"/>
        <v>Low</v>
      </c>
      <c r="Q392" s="44">
        <v>0.105</v>
      </c>
      <c r="R392" s="42" t="str">
        <f t="shared" si="57"/>
        <v>Medium</v>
      </c>
      <c r="S392" s="16">
        <v>5</v>
      </c>
      <c r="T392" s="30">
        <v>2525.0635000000002</v>
      </c>
      <c r="U392" s="30">
        <v>1149.8</v>
      </c>
      <c r="V392" s="30">
        <v>1375.2635000000002</v>
      </c>
      <c r="W392" s="30">
        <v>0.54464511486542821</v>
      </c>
      <c r="X392" t="str">
        <f t="shared" si="58"/>
        <v>Delayed</v>
      </c>
      <c r="Y392" t="str">
        <f t="shared" si="59"/>
        <v>Compliant Discount</v>
      </c>
      <c r="Z392" s="9">
        <f>MIN(Q392,'Scenario Modelling'!$B$2)</f>
        <v>0.105</v>
      </c>
      <c r="AA392">
        <f t="shared" si="60"/>
        <v>505.0127</v>
      </c>
      <c r="AB392">
        <f>N392*(1+'Scenario Modelling'!$B$3)</f>
        <v>252.95600000000002</v>
      </c>
      <c r="AC392">
        <f>ROUNDUP(S392*(1+'Scenario Modelling'!$B$4),0)</f>
        <v>6</v>
      </c>
      <c r="AD392">
        <f t="shared" si="61"/>
        <v>3030.0762</v>
      </c>
      <c r="AE392">
        <f t="shared" si="62"/>
        <v>1512.3401999999999</v>
      </c>
    </row>
    <row r="393" spans="1:31" x14ac:dyDescent="0.3">
      <c r="A393" s="31" t="s">
        <v>406</v>
      </c>
      <c r="B393" s="48">
        <v>45208</v>
      </c>
      <c r="C393" s="47" t="str">
        <f t="shared" si="55"/>
        <v>Q4-2023</v>
      </c>
      <c r="D393" s="32">
        <v>45225</v>
      </c>
      <c r="E393" s="17">
        <f t="shared" si="54"/>
        <v>17</v>
      </c>
      <c r="F393" s="33" t="s">
        <v>647</v>
      </c>
      <c r="G393" s="33" t="s">
        <v>659</v>
      </c>
      <c r="H393" s="33" t="s">
        <v>685</v>
      </c>
      <c r="I393" s="33" t="s">
        <v>704</v>
      </c>
      <c r="J393" s="33" t="s">
        <v>709</v>
      </c>
      <c r="K393" s="33" t="s">
        <v>712</v>
      </c>
      <c r="L393" s="33" t="s">
        <v>727</v>
      </c>
      <c r="M393" s="34" t="s">
        <v>1125</v>
      </c>
      <c r="N393" s="35">
        <v>1132.03</v>
      </c>
      <c r="O393" s="35">
        <v>2137.21</v>
      </c>
      <c r="P393" s="30" t="str">
        <f t="shared" si="56"/>
        <v>High</v>
      </c>
      <c r="Q393" s="43">
        <v>0.3</v>
      </c>
      <c r="R393" s="42" t="str">
        <f t="shared" si="57"/>
        <v>High</v>
      </c>
      <c r="S393" s="17">
        <v>35</v>
      </c>
      <c r="T393" s="30">
        <v>52361.645000000004</v>
      </c>
      <c r="U393" s="30">
        <v>39621.049999999996</v>
      </c>
      <c r="V393" s="30">
        <v>12740.595000000008</v>
      </c>
      <c r="W393" s="30">
        <v>0.24331922727026639</v>
      </c>
      <c r="X393" t="str">
        <f t="shared" si="58"/>
        <v>Delayed</v>
      </c>
      <c r="Y393" t="str">
        <f t="shared" si="59"/>
        <v>Non-compliant Discount</v>
      </c>
      <c r="Z393" s="9">
        <f>MIN(Q393,'Scenario Modelling'!$B$2)</f>
        <v>0.2</v>
      </c>
      <c r="AA393">
        <f t="shared" si="60"/>
        <v>1709.768</v>
      </c>
      <c r="AB393">
        <f>N393*(1+'Scenario Modelling'!$B$3)</f>
        <v>1245.2330000000002</v>
      </c>
      <c r="AC393">
        <f>ROUNDUP(S393*(1+'Scenario Modelling'!$B$4),0)</f>
        <v>37</v>
      </c>
      <c r="AD393">
        <f t="shared" si="61"/>
        <v>63261.415999999997</v>
      </c>
      <c r="AE393">
        <f t="shared" si="62"/>
        <v>17187.794999999995</v>
      </c>
    </row>
    <row r="394" spans="1:31" x14ac:dyDescent="0.3">
      <c r="A394" s="36" t="s">
        <v>407</v>
      </c>
      <c r="B394" s="49">
        <v>45360</v>
      </c>
      <c r="C394" s="47" t="str">
        <f t="shared" si="55"/>
        <v>Q1-2024</v>
      </c>
      <c r="D394" s="37">
        <v>45377</v>
      </c>
      <c r="E394" s="16">
        <f t="shared" si="54"/>
        <v>17</v>
      </c>
      <c r="F394" s="38" t="s">
        <v>648</v>
      </c>
      <c r="G394" s="38" t="s">
        <v>660</v>
      </c>
      <c r="H394" s="38" t="s">
        <v>686</v>
      </c>
      <c r="I394" s="38" t="s">
        <v>702</v>
      </c>
      <c r="J394" s="38" t="s">
        <v>711</v>
      </c>
      <c r="K394" s="38" t="s">
        <v>714</v>
      </c>
      <c r="L394" s="38" t="s">
        <v>730</v>
      </c>
      <c r="M394" s="39" t="s">
        <v>1126</v>
      </c>
      <c r="N394" s="40">
        <v>1137.4100000000001</v>
      </c>
      <c r="O394" s="40">
        <v>1680.93</v>
      </c>
      <c r="P394" s="30" t="str">
        <f t="shared" si="56"/>
        <v>High</v>
      </c>
      <c r="Q394" s="44">
        <v>0.254</v>
      </c>
      <c r="R394" s="42" t="str">
        <f t="shared" si="57"/>
        <v>High</v>
      </c>
      <c r="S394" s="16">
        <v>9</v>
      </c>
      <c r="T394" s="30">
        <v>11285.764020000001</v>
      </c>
      <c r="U394" s="30">
        <v>10236.69</v>
      </c>
      <c r="V394" s="30">
        <v>1049.07402</v>
      </c>
      <c r="W394" s="30">
        <v>9.2955516183121464E-2</v>
      </c>
      <c r="X394" t="str">
        <f t="shared" si="58"/>
        <v>Delayed</v>
      </c>
      <c r="Y394" t="str">
        <f t="shared" si="59"/>
        <v>Non-compliant Discount</v>
      </c>
      <c r="Z394" s="9">
        <f>MIN(Q394,'Scenario Modelling'!$B$2)</f>
        <v>0.2</v>
      </c>
      <c r="AA394">
        <f t="shared" si="60"/>
        <v>1344.7440000000001</v>
      </c>
      <c r="AB394">
        <f>N394*(1+'Scenario Modelling'!$B$3)</f>
        <v>1251.1510000000003</v>
      </c>
      <c r="AC394">
        <f>ROUNDUP(S394*(1+'Scenario Modelling'!$B$4),0)</f>
        <v>10</v>
      </c>
      <c r="AD394">
        <f t="shared" si="61"/>
        <v>13447.440000000002</v>
      </c>
      <c r="AE394">
        <f t="shared" si="62"/>
        <v>935.92999999999847</v>
      </c>
    </row>
    <row r="395" spans="1:31" x14ac:dyDescent="0.3">
      <c r="A395" s="31" t="s">
        <v>408</v>
      </c>
      <c r="B395" s="48">
        <v>45075</v>
      </c>
      <c r="C395" s="47" t="str">
        <f t="shared" si="55"/>
        <v>Q2-2023</v>
      </c>
      <c r="D395" s="32">
        <v>45097</v>
      </c>
      <c r="E395" s="17">
        <f t="shared" si="54"/>
        <v>22</v>
      </c>
      <c r="F395" s="33" t="s">
        <v>649</v>
      </c>
      <c r="G395" s="33" t="s">
        <v>658</v>
      </c>
      <c r="H395" s="33" t="s">
        <v>683</v>
      </c>
      <c r="I395" s="33" t="s">
        <v>705</v>
      </c>
      <c r="J395" s="33" t="s">
        <v>711</v>
      </c>
      <c r="K395" s="33" t="s">
        <v>723</v>
      </c>
      <c r="L395" s="33" t="s">
        <v>727</v>
      </c>
      <c r="M395" s="34" t="s">
        <v>1127</v>
      </c>
      <c r="N395" s="35">
        <v>1295.3900000000001</v>
      </c>
      <c r="O395" s="35">
        <v>2905.06</v>
      </c>
      <c r="P395" s="30" t="str">
        <f t="shared" si="56"/>
        <v>High</v>
      </c>
      <c r="Q395" s="43">
        <v>0.14799999999999999</v>
      </c>
      <c r="R395" s="42" t="str">
        <f t="shared" si="57"/>
        <v>Medium</v>
      </c>
      <c r="S395" s="17">
        <v>8</v>
      </c>
      <c r="T395" s="30">
        <v>19800.88896</v>
      </c>
      <c r="U395" s="30">
        <v>10363.120000000001</v>
      </c>
      <c r="V395" s="30">
        <v>9437.7689599999994</v>
      </c>
      <c r="W395" s="30">
        <v>0.47663359857556614</v>
      </c>
      <c r="X395" t="str">
        <f t="shared" si="58"/>
        <v>Delayed</v>
      </c>
      <c r="Y395" t="str">
        <f t="shared" si="59"/>
        <v>Compliant Discount</v>
      </c>
      <c r="Z395" s="9">
        <f>MIN(Q395,'Scenario Modelling'!$B$2)</f>
        <v>0.14799999999999999</v>
      </c>
      <c r="AA395">
        <f t="shared" si="60"/>
        <v>2475.11112</v>
      </c>
      <c r="AB395">
        <f>N395*(1+'Scenario Modelling'!$B$3)</f>
        <v>1424.9290000000003</v>
      </c>
      <c r="AC395">
        <f>ROUNDUP(S395*(1+'Scenario Modelling'!$B$4),0)</f>
        <v>9</v>
      </c>
      <c r="AD395">
        <f t="shared" si="61"/>
        <v>22276.000080000002</v>
      </c>
      <c r="AE395">
        <f t="shared" si="62"/>
        <v>9451.6390799999972</v>
      </c>
    </row>
    <row r="396" spans="1:31" x14ac:dyDescent="0.3">
      <c r="A396" s="36" t="s">
        <v>409</v>
      </c>
      <c r="B396" s="49">
        <v>45804</v>
      </c>
      <c r="C396" s="47" t="str">
        <f t="shared" si="55"/>
        <v>Q2-2025</v>
      </c>
      <c r="D396" s="37">
        <v>45816</v>
      </c>
      <c r="E396" s="16">
        <f t="shared" si="54"/>
        <v>12</v>
      </c>
      <c r="F396" s="38" t="s">
        <v>647</v>
      </c>
      <c r="G396" s="38" t="s">
        <v>652</v>
      </c>
      <c r="H396" s="38" t="s">
        <v>666</v>
      </c>
      <c r="I396" s="38" t="s">
        <v>701</v>
      </c>
      <c r="J396" s="38" t="s">
        <v>707</v>
      </c>
      <c r="K396" s="38" t="s">
        <v>722</v>
      </c>
      <c r="L396" s="38" t="s">
        <v>733</v>
      </c>
      <c r="M396" s="39" t="s">
        <v>1128</v>
      </c>
      <c r="N396" s="40">
        <v>653.6</v>
      </c>
      <c r="O396" s="40">
        <v>842.09</v>
      </c>
      <c r="P396" s="30" t="str">
        <f t="shared" si="56"/>
        <v>Low</v>
      </c>
      <c r="Q396" s="44">
        <v>9.8000000000000004E-2</v>
      </c>
      <c r="R396" s="42" t="str">
        <f t="shared" si="57"/>
        <v>Low</v>
      </c>
      <c r="S396" s="16">
        <v>19</v>
      </c>
      <c r="T396" s="30">
        <v>14431.738420000001</v>
      </c>
      <c r="U396" s="30">
        <v>12418.4</v>
      </c>
      <c r="V396" s="30">
        <v>2013.3384200000019</v>
      </c>
      <c r="W396" s="30">
        <v>0.13950768517324622</v>
      </c>
      <c r="X396" t="str">
        <f t="shared" si="58"/>
        <v>Delayed</v>
      </c>
      <c r="Y396" t="str">
        <f t="shared" si="59"/>
        <v>Compliant Discount</v>
      </c>
      <c r="Z396" s="9">
        <f>MIN(Q396,'Scenario Modelling'!$B$2)</f>
        <v>9.8000000000000004E-2</v>
      </c>
      <c r="AA396">
        <f t="shared" si="60"/>
        <v>759.56518000000005</v>
      </c>
      <c r="AB396">
        <f>N396*(1+'Scenario Modelling'!$B$3)</f>
        <v>718.96</v>
      </c>
      <c r="AC396">
        <f>ROUNDUP(S396*(1+'Scenario Modelling'!$B$4),0)</f>
        <v>20</v>
      </c>
      <c r="AD396">
        <f t="shared" si="61"/>
        <v>15191.303600000001</v>
      </c>
      <c r="AE396">
        <f t="shared" si="62"/>
        <v>812.10360000000037</v>
      </c>
    </row>
    <row r="397" spans="1:31" x14ac:dyDescent="0.3">
      <c r="A397" s="31" t="s">
        <v>410</v>
      </c>
      <c r="B397" s="48">
        <v>45890</v>
      </c>
      <c r="C397" s="47" t="str">
        <f t="shared" si="55"/>
        <v>Q3-2025</v>
      </c>
      <c r="D397" s="32">
        <v>45914</v>
      </c>
      <c r="E397" s="17">
        <f t="shared" si="54"/>
        <v>24</v>
      </c>
      <c r="F397" s="33" t="s">
        <v>649</v>
      </c>
      <c r="G397" s="33" t="s">
        <v>656</v>
      </c>
      <c r="H397" s="33" t="s">
        <v>671</v>
      </c>
      <c r="I397" s="33" t="s">
        <v>703</v>
      </c>
      <c r="J397" s="33" t="s">
        <v>708</v>
      </c>
      <c r="K397" s="33" t="s">
        <v>720</v>
      </c>
      <c r="L397" s="33" t="s">
        <v>732</v>
      </c>
      <c r="M397" s="34" t="s">
        <v>1129</v>
      </c>
      <c r="N397" s="35">
        <v>1397.67</v>
      </c>
      <c r="O397" s="35">
        <v>3131.37</v>
      </c>
      <c r="P397" s="30" t="str">
        <f t="shared" si="56"/>
        <v>High</v>
      </c>
      <c r="Q397" s="43">
        <v>0.10299999999999999</v>
      </c>
      <c r="R397" s="42" t="str">
        <f t="shared" si="57"/>
        <v>Medium</v>
      </c>
      <c r="S397" s="17">
        <v>20</v>
      </c>
      <c r="T397" s="30">
        <v>56176.777799999996</v>
      </c>
      <c r="U397" s="30">
        <v>27953.4</v>
      </c>
      <c r="V397" s="30">
        <v>28223.377799999995</v>
      </c>
      <c r="W397" s="30">
        <v>0.50240293062874808</v>
      </c>
      <c r="X397" t="str">
        <f t="shared" si="58"/>
        <v>Delayed</v>
      </c>
      <c r="Y397" t="str">
        <f t="shared" si="59"/>
        <v>Compliant Discount</v>
      </c>
      <c r="Z397" s="9">
        <f>MIN(Q397,'Scenario Modelling'!$B$2)</f>
        <v>0.10299999999999999</v>
      </c>
      <c r="AA397">
        <f t="shared" si="60"/>
        <v>2808.83889</v>
      </c>
      <c r="AB397">
        <f>N397*(1+'Scenario Modelling'!$B$3)</f>
        <v>1537.4370000000001</v>
      </c>
      <c r="AC397">
        <f>ROUNDUP(S397*(1+'Scenario Modelling'!$B$4),0)</f>
        <v>21</v>
      </c>
      <c r="AD397">
        <f t="shared" si="61"/>
        <v>58985.616690000003</v>
      </c>
      <c r="AE397">
        <f t="shared" si="62"/>
        <v>26699.439689999996</v>
      </c>
    </row>
    <row r="398" spans="1:31" x14ac:dyDescent="0.3">
      <c r="A398" s="36" t="s">
        <v>411</v>
      </c>
      <c r="B398" s="49">
        <v>45638</v>
      </c>
      <c r="C398" s="47" t="str">
        <f t="shared" si="55"/>
        <v>Q4-2024</v>
      </c>
      <c r="D398" s="37">
        <v>45646</v>
      </c>
      <c r="E398" s="16">
        <f t="shared" si="54"/>
        <v>8</v>
      </c>
      <c r="F398" s="38" t="s">
        <v>647</v>
      </c>
      <c r="G398" s="38" t="s">
        <v>652</v>
      </c>
      <c r="H398" s="38" t="s">
        <v>689</v>
      </c>
      <c r="I398" s="38" t="s">
        <v>701</v>
      </c>
      <c r="J398" s="38" t="s">
        <v>707</v>
      </c>
      <c r="K398" s="38" t="s">
        <v>717</v>
      </c>
      <c r="L398" s="38" t="s">
        <v>731</v>
      </c>
      <c r="M398" s="39" t="s">
        <v>1130</v>
      </c>
      <c r="N398" s="40">
        <v>1202.47</v>
      </c>
      <c r="O398" s="40">
        <v>1444.72</v>
      </c>
      <c r="P398" s="30" t="str">
        <f t="shared" si="56"/>
        <v>Medium</v>
      </c>
      <c r="Q398" s="44">
        <v>0.24099999999999999</v>
      </c>
      <c r="R398" s="42" t="str">
        <f t="shared" si="57"/>
        <v>High</v>
      </c>
      <c r="S398" s="16">
        <v>17</v>
      </c>
      <c r="T398" s="30">
        <v>18641.222160000001</v>
      </c>
      <c r="U398" s="30">
        <v>20441.990000000002</v>
      </c>
      <c r="V398" s="30">
        <v>-1800.7678400000004</v>
      </c>
      <c r="W398" s="30">
        <v>-9.6601382921343834E-2</v>
      </c>
      <c r="X398" t="str">
        <f t="shared" si="58"/>
        <v>Delayed</v>
      </c>
      <c r="Y398" t="str">
        <f t="shared" si="59"/>
        <v>Non-compliant Discount</v>
      </c>
      <c r="Z398" s="9">
        <f>MIN(Q398,'Scenario Modelling'!$B$2)</f>
        <v>0.2</v>
      </c>
      <c r="AA398">
        <f t="shared" si="60"/>
        <v>1155.7760000000001</v>
      </c>
      <c r="AB398">
        <f>N398*(1+'Scenario Modelling'!$B$3)</f>
        <v>1322.7170000000001</v>
      </c>
      <c r="AC398">
        <f>ROUNDUP(S398*(1+'Scenario Modelling'!$B$4),0)</f>
        <v>18</v>
      </c>
      <c r="AD398">
        <f t="shared" si="61"/>
        <v>20803.968000000001</v>
      </c>
      <c r="AE398">
        <f t="shared" si="62"/>
        <v>-3004.9380000000006</v>
      </c>
    </row>
    <row r="399" spans="1:31" x14ac:dyDescent="0.3">
      <c r="A399" s="31" t="s">
        <v>412</v>
      </c>
      <c r="B399" s="48">
        <v>45914</v>
      </c>
      <c r="C399" s="47" t="str">
        <f t="shared" si="55"/>
        <v>Q3-2025</v>
      </c>
      <c r="D399" s="32">
        <v>45923</v>
      </c>
      <c r="E399" s="17">
        <f t="shared" si="54"/>
        <v>9</v>
      </c>
      <c r="F399" s="33" t="s">
        <v>646</v>
      </c>
      <c r="G399" s="33" t="s">
        <v>661</v>
      </c>
      <c r="H399" s="33" t="s">
        <v>687</v>
      </c>
      <c r="I399" s="33" t="s">
        <v>703</v>
      </c>
      <c r="J399" s="33" t="s">
        <v>708</v>
      </c>
      <c r="K399" s="33" t="s">
        <v>726</v>
      </c>
      <c r="L399" s="33" t="s">
        <v>727</v>
      </c>
      <c r="M399" s="34" t="s">
        <v>1131</v>
      </c>
      <c r="N399" s="35">
        <v>1310.3</v>
      </c>
      <c r="O399" s="35">
        <v>2875.8</v>
      </c>
      <c r="P399" s="30" t="str">
        <f t="shared" si="56"/>
        <v>High</v>
      </c>
      <c r="Q399" s="43">
        <v>8.3000000000000004E-2</v>
      </c>
      <c r="R399" s="42" t="str">
        <f t="shared" si="57"/>
        <v>Low</v>
      </c>
      <c r="S399" s="17">
        <v>5</v>
      </c>
      <c r="T399" s="30">
        <v>13185.543</v>
      </c>
      <c r="U399" s="30">
        <v>6551.5</v>
      </c>
      <c r="V399" s="30">
        <v>6634.0429999999997</v>
      </c>
      <c r="W399" s="30">
        <v>0.50313005691157353</v>
      </c>
      <c r="X399" t="str">
        <f t="shared" si="58"/>
        <v>Delayed</v>
      </c>
      <c r="Y399" t="str">
        <f t="shared" si="59"/>
        <v>Compliant Discount</v>
      </c>
      <c r="Z399" s="9">
        <f>MIN(Q399,'Scenario Modelling'!$B$2)</f>
        <v>8.3000000000000004E-2</v>
      </c>
      <c r="AA399">
        <f t="shared" si="60"/>
        <v>2637.1086000000005</v>
      </c>
      <c r="AB399">
        <f>N399*(1+'Scenario Modelling'!$B$3)</f>
        <v>1441.3300000000002</v>
      </c>
      <c r="AC399">
        <f>ROUNDUP(S399*(1+'Scenario Modelling'!$B$4),0)</f>
        <v>6</v>
      </c>
      <c r="AD399">
        <f t="shared" si="61"/>
        <v>15822.651600000003</v>
      </c>
      <c r="AE399">
        <f t="shared" si="62"/>
        <v>7174.6716000000015</v>
      </c>
    </row>
    <row r="400" spans="1:31" x14ac:dyDescent="0.3">
      <c r="A400" s="36" t="s">
        <v>413</v>
      </c>
      <c r="B400" s="49">
        <v>45541</v>
      </c>
      <c r="C400" s="47" t="str">
        <f t="shared" si="55"/>
        <v>Q3-2024</v>
      </c>
      <c r="D400" s="37">
        <v>45569</v>
      </c>
      <c r="E400" s="16">
        <f t="shared" si="54"/>
        <v>28</v>
      </c>
      <c r="F400" s="38" t="s">
        <v>646</v>
      </c>
      <c r="G400" s="38" t="s">
        <v>661</v>
      </c>
      <c r="H400" s="38" t="s">
        <v>695</v>
      </c>
      <c r="I400" s="38" t="s">
        <v>701</v>
      </c>
      <c r="J400" s="38" t="s">
        <v>709</v>
      </c>
      <c r="K400" s="38" t="s">
        <v>726</v>
      </c>
      <c r="L400" s="38" t="s">
        <v>732</v>
      </c>
      <c r="M400" s="39" t="s">
        <v>1132</v>
      </c>
      <c r="N400" s="40">
        <v>1174.17</v>
      </c>
      <c r="O400" s="40">
        <v>1641.61</v>
      </c>
      <c r="P400" s="30" t="str">
        <f t="shared" si="56"/>
        <v>High</v>
      </c>
      <c r="Q400" s="44">
        <v>0.122</v>
      </c>
      <c r="R400" s="42" t="str">
        <f t="shared" si="57"/>
        <v>Medium</v>
      </c>
      <c r="S400" s="16">
        <v>9</v>
      </c>
      <c r="T400" s="30">
        <v>12972.00222</v>
      </c>
      <c r="U400" s="30">
        <v>10567.53</v>
      </c>
      <c r="V400" s="30">
        <v>2404.4722199999997</v>
      </c>
      <c r="W400" s="30">
        <v>0.18535860380079394</v>
      </c>
      <c r="X400" t="str">
        <f t="shared" si="58"/>
        <v>Delayed</v>
      </c>
      <c r="Y400" t="str">
        <f t="shared" si="59"/>
        <v>Compliant Discount</v>
      </c>
      <c r="Z400" s="9">
        <f>MIN(Q400,'Scenario Modelling'!$B$2)</f>
        <v>0.122</v>
      </c>
      <c r="AA400">
        <f t="shared" si="60"/>
        <v>1441.33358</v>
      </c>
      <c r="AB400">
        <f>N400*(1+'Scenario Modelling'!$B$3)</f>
        <v>1291.5870000000002</v>
      </c>
      <c r="AC400">
        <f>ROUNDUP(S400*(1+'Scenario Modelling'!$B$4),0)</f>
        <v>10</v>
      </c>
      <c r="AD400">
        <f t="shared" si="61"/>
        <v>14413.335800000001</v>
      </c>
      <c r="AE400">
        <f t="shared" si="62"/>
        <v>1497.4657999999977</v>
      </c>
    </row>
    <row r="401" spans="1:31" x14ac:dyDescent="0.3">
      <c r="A401" s="31" t="s">
        <v>414</v>
      </c>
      <c r="B401" s="48">
        <v>45759</v>
      </c>
      <c r="C401" s="47" t="str">
        <f t="shared" si="55"/>
        <v>Q2-2025</v>
      </c>
      <c r="D401" s="32">
        <v>45777</v>
      </c>
      <c r="E401" s="17">
        <f t="shared" si="54"/>
        <v>18</v>
      </c>
      <c r="F401" s="33" t="s">
        <v>646</v>
      </c>
      <c r="G401" s="33" t="s">
        <v>650</v>
      </c>
      <c r="H401" s="33" t="s">
        <v>662</v>
      </c>
      <c r="I401" s="33" t="s">
        <v>701</v>
      </c>
      <c r="J401" s="33" t="s">
        <v>709</v>
      </c>
      <c r="K401" s="33" t="s">
        <v>721</v>
      </c>
      <c r="L401" s="33" t="s">
        <v>729</v>
      </c>
      <c r="M401" s="34" t="s">
        <v>1133</v>
      </c>
      <c r="N401" s="35">
        <v>1119.04</v>
      </c>
      <c r="O401" s="35">
        <v>1299.02</v>
      </c>
      <c r="P401" s="30" t="str">
        <f t="shared" si="56"/>
        <v>Medium</v>
      </c>
      <c r="Q401" s="43">
        <v>2.5000000000000001E-2</v>
      </c>
      <c r="R401" s="42" t="str">
        <f t="shared" si="57"/>
        <v>Low</v>
      </c>
      <c r="S401" s="17">
        <v>14</v>
      </c>
      <c r="T401" s="30">
        <v>17731.623</v>
      </c>
      <c r="U401" s="30">
        <v>15666.56</v>
      </c>
      <c r="V401" s="30">
        <v>2065.0630000000001</v>
      </c>
      <c r="W401" s="30">
        <v>0.11646215352085933</v>
      </c>
      <c r="X401" t="str">
        <f t="shared" si="58"/>
        <v>Delayed</v>
      </c>
      <c r="Y401" t="str">
        <f t="shared" si="59"/>
        <v>Compliant Discount</v>
      </c>
      <c r="Z401" s="9">
        <f>MIN(Q401,'Scenario Modelling'!$B$2)</f>
        <v>2.5000000000000001E-2</v>
      </c>
      <c r="AA401">
        <f t="shared" si="60"/>
        <v>1266.5445</v>
      </c>
      <c r="AB401">
        <f>N401*(1+'Scenario Modelling'!$B$3)</f>
        <v>1230.944</v>
      </c>
      <c r="AC401">
        <f>ROUNDUP(S401*(1+'Scenario Modelling'!$B$4),0)</f>
        <v>15</v>
      </c>
      <c r="AD401">
        <f t="shared" si="61"/>
        <v>18998.1675</v>
      </c>
      <c r="AE401">
        <f t="shared" si="62"/>
        <v>534.00750000000016</v>
      </c>
    </row>
    <row r="402" spans="1:31" x14ac:dyDescent="0.3">
      <c r="A402" s="36" t="s">
        <v>415</v>
      </c>
      <c r="B402" s="49">
        <v>45516</v>
      </c>
      <c r="C402" s="47" t="str">
        <f t="shared" si="55"/>
        <v>Q3-2024</v>
      </c>
      <c r="D402" s="37">
        <v>45519</v>
      </c>
      <c r="E402" s="16">
        <f t="shared" si="54"/>
        <v>3</v>
      </c>
      <c r="F402" s="38" t="s">
        <v>648</v>
      </c>
      <c r="G402" s="38" t="s">
        <v>660</v>
      </c>
      <c r="H402" s="38" t="s">
        <v>677</v>
      </c>
      <c r="I402" s="38" t="s">
        <v>701</v>
      </c>
      <c r="J402" s="38" t="s">
        <v>709</v>
      </c>
      <c r="K402" s="38" t="s">
        <v>726</v>
      </c>
      <c r="L402" s="38" t="s">
        <v>728</v>
      </c>
      <c r="M402" s="39" t="s">
        <v>1134</v>
      </c>
      <c r="N402" s="40">
        <v>850.7</v>
      </c>
      <c r="O402" s="40">
        <v>1118.56</v>
      </c>
      <c r="P402" s="30" t="str">
        <f t="shared" si="56"/>
        <v>Medium</v>
      </c>
      <c r="Q402" s="44">
        <v>0.18</v>
      </c>
      <c r="R402" s="42" t="str">
        <f t="shared" si="57"/>
        <v>Medium</v>
      </c>
      <c r="S402" s="16">
        <v>19</v>
      </c>
      <c r="T402" s="30">
        <v>17427.164800000002</v>
      </c>
      <c r="U402" s="30">
        <v>16163.300000000001</v>
      </c>
      <c r="V402" s="30">
        <v>1263.8648000000012</v>
      </c>
      <c r="W402" s="30">
        <v>7.2522685962090688E-2</v>
      </c>
      <c r="X402" t="str">
        <f t="shared" si="58"/>
        <v>On-time</v>
      </c>
      <c r="Y402" t="str">
        <f t="shared" si="59"/>
        <v>Compliant Discount</v>
      </c>
      <c r="Z402" s="9">
        <f>MIN(Q402,'Scenario Modelling'!$B$2)</f>
        <v>0.18</v>
      </c>
      <c r="AA402">
        <f t="shared" si="60"/>
        <v>917.2192</v>
      </c>
      <c r="AB402">
        <f>N402*(1+'Scenario Modelling'!$B$3)</f>
        <v>935.7700000000001</v>
      </c>
      <c r="AC402">
        <f>ROUNDUP(S402*(1+'Scenario Modelling'!$B$4),0)</f>
        <v>20</v>
      </c>
      <c r="AD402">
        <f t="shared" si="61"/>
        <v>18344.383999999998</v>
      </c>
      <c r="AE402">
        <f t="shared" si="62"/>
        <v>-371.0160000000019</v>
      </c>
    </row>
    <row r="403" spans="1:31" x14ac:dyDescent="0.3">
      <c r="A403" s="31" t="s">
        <v>416</v>
      </c>
      <c r="B403" s="48">
        <v>45601</v>
      </c>
      <c r="C403" s="47" t="str">
        <f t="shared" si="55"/>
        <v>Q4-2024</v>
      </c>
      <c r="D403" s="32">
        <v>45604</v>
      </c>
      <c r="E403" s="17">
        <f t="shared" si="54"/>
        <v>3</v>
      </c>
      <c r="F403" s="33" t="s">
        <v>648</v>
      </c>
      <c r="G403" s="33" t="s">
        <v>653</v>
      </c>
      <c r="H403" s="33" t="s">
        <v>667</v>
      </c>
      <c r="I403" s="33" t="s">
        <v>702</v>
      </c>
      <c r="J403" s="33" t="s">
        <v>709</v>
      </c>
      <c r="K403" s="33" t="s">
        <v>719</v>
      </c>
      <c r="L403" s="33" t="s">
        <v>727</v>
      </c>
      <c r="M403" s="34" t="s">
        <v>1135</v>
      </c>
      <c r="N403" s="35">
        <v>1020.4</v>
      </c>
      <c r="O403" s="35">
        <v>1184.71</v>
      </c>
      <c r="P403" s="30" t="str">
        <f t="shared" si="56"/>
        <v>Medium</v>
      </c>
      <c r="Q403" s="43">
        <v>0.106</v>
      </c>
      <c r="R403" s="42" t="str">
        <f t="shared" si="57"/>
        <v>Medium</v>
      </c>
      <c r="S403" s="17">
        <v>16</v>
      </c>
      <c r="T403" s="30">
        <v>16946.091840000001</v>
      </c>
      <c r="U403" s="30">
        <v>16326.4</v>
      </c>
      <c r="V403" s="30">
        <v>619.69184000000132</v>
      </c>
      <c r="W403" s="30">
        <v>3.6568422138328345E-2</v>
      </c>
      <c r="X403" t="str">
        <f t="shared" si="58"/>
        <v>On-time</v>
      </c>
      <c r="Y403" t="str">
        <f t="shared" si="59"/>
        <v>Compliant Discount</v>
      </c>
      <c r="Z403" s="9">
        <f>MIN(Q403,'Scenario Modelling'!$B$2)</f>
        <v>0.106</v>
      </c>
      <c r="AA403">
        <f t="shared" si="60"/>
        <v>1059.1307400000001</v>
      </c>
      <c r="AB403">
        <f>N403*(1+'Scenario Modelling'!$B$3)</f>
        <v>1122.44</v>
      </c>
      <c r="AC403">
        <f>ROUNDUP(S403*(1+'Scenario Modelling'!$B$4),0)</f>
        <v>17</v>
      </c>
      <c r="AD403">
        <f t="shared" si="61"/>
        <v>18005.222580000001</v>
      </c>
      <c r="AE403">
        <f t="shared" si="62"/>
        <v>-1076.2574199999999</v>
      </c>
    </row>
    <row r="404" spans="1:31" x14ac:dyDescent="0.3">
      <c r="A404" s="36" t="s">
        <v>417</v>
      </c>
      <c r="B404" s="49">
        <v>45497</v>
      </c>
      <c r="C404" s="47" t="str">
        <f t="shared" si="55"/>
        <v>Q3-2024</v>
      </c>
      <c r="D404" s="37">
        <v>45512</v>
      </c>
      <c r="E404" s="16">
        <f t="shared" si="54"/>
        <v>15</v>
      </c>
      <c r="F404" s="38" t="s">
        <v>649</v>
      </c>
      <c r="G404" s="38" t="s">
        <v>657</v>
      </c>
      <c r="H404" s="38" t="s">
        <v>673</v>
      </c>
      <c r="I404" s="38" t="s">
        <v>706</v>
      </c>
      <c r="J404" s="38" t="s">
        <v>709</v>
      </c>
      <c r="K404" s="38" t="s">
        <v>722</v>
      </c>
      <c r="L404" s="38" t="s">
        <v>731</v>
      </c>
      <c r="M404" s="39" t="s">
        <v>1136</v>
      </c>
      <c r="N404" s="40">
        <v>501.5</v>
      </c>
      <c r="O404" s="40">
        <v>1201.47</v>
      </c>
      <c r="P404" s="30" t="str">
        <f t="shared" si="56"/>
        <v>Medium</v>
      </c>
      <c r="Q404" s="44">
        <v>0.126</v>
      </c>
      <c r="R404" s="42" t="str">
        <f t="shared" si="57"/>
        <v>Medium</v>
      </c>
      <c r="S404" s="16">
        <v>5</v>
      </c>
      <c r="T404" s="30">
        <v>5250.4239000000007</v>
      </c>
      <c r="U404" s="30">
        <v>2507.5</v>
      </c>
      <c r="V404" s="30">
        <v>2742.9239000000007</v>
      </c>
      <c r="W404" s="30">
        <v>0.52241951359394057</v>
      </c>
      <c r="X404" t="str">
        <f t="shared" si="58"/>
        <v>Delayed</v>
      </c>
      <c r="Y404" t="str">
        <f t="shared" si="59"/>
        <v>Compliant Discount</v>
      </c>
      <c r="Z404" s="9">
        <f>MIN(Q404,'Scenario Modelling'!$B$2)</f>
        <v>0.126</v>
      </c>
      <c r="AA404">
        <f t="shared" si="60"/>
        <v>1050.0847799999999</v>
      </c>
      <c r="AB404">
        <f>N404*(1+'Scenario Modelling'!$B$3)</f>
        <v>551.65000000000009</v>
      </c>
      <c r="AC404">
        <f>ROUNDUP(S404*(1+'Scenario Modelling'!$B$4),0)</f>
        <v>6</v>
      </c>
      <c r="AD404">
        <f t="shared" si="61"/>
        <v>6300.508679999999</v>
      </c>
      <c r="AE404">
        <f t="shared" si="62"/>
        <v>2990.6086799999989</v>
      </c>
    </row>
    <row r="405" spans="1:31" x14ac:dyDescent="0.3">
      <c r="A405" s="31" t="s">
        <v>418</v>
      </c>
      <c r="B405" s="48">
        <v>45677</v>
      </c>
      <c r="C405" s="47" t="str">
        <f t="shared" si="55"/>
        <v>Q1-2025</v>
      </c>
      <c r="D405" s="32">
        <v>45691</v>
      </c>
      <c r="E405" s="17">
        <f t="shared" si="54"/>
        <v>14</v>
      </c>
      <c r="F405" s="33" t="s">
        <v>648</v>
      </c>
      <c r="G405" s="33" t="s">
        <v>655</v>
      </c>
      <c r="H405" s="33" t="s">
        <v>672</v>
      </c>
      <c r="I405" s="33" t="s">
        <v>706</v>
      </c>
      <c r="J405" s="33" t="s">
        <v>709</v>
      </c>
      <c r="K405" s="33" t="s">
        <v>721</v>
      </c>
      <c r="L405" s="33" t="s">
        <v>727</v>
      </c>
      <c r="M405" s="34" t="s">
        <v>1137</v>
      </c>
      <c r="N405" s="35">
        <v>974.11</v>
      </c>
      <c r="O405" s="35">
        <v>880.99</v>
      </c>
      <c r="P405" s="30" t="str">
        <f t="shared" si="56"/>
        <v>Medium</v>
      </c>
      <c r="Q405" s="43">
        <v>0.111</v>
      </c>
      <c r="R405" s="42" t="str">
        <f t="shared" si="57"/>
        <v>Medium</v>
      </c>
      <c r="S405" s="17">
        <v>10</v>
      </c>
      <c r="T405" s="30">
        <v>7832.0010999999995</v>
      </c>
      <c r="U405" s="30">
        <v>9741.1</v>
      </c>
      <c r="V405" s="30">
        <v>-1909.0989000000009</v>
      </c>
      <c r="W405" s="30">
        <v>-0.2437562093805121</v>
      </c>
      <c r="X405" t="str">
        <f t="shared" si="58"/>
        <v>Delayed</v>
      </c>
      <c r="Y405" t="str">
        <f t="shared" si="59"/>
        <v>Compliant Discount</v>
      </c>
      <c r="Z405" s="9">
        <f>MIN(Q405,'Scenario Modelling'!$B$2)</f>
        <v>0.111</v>
      </c>
      <c r="AA405">
        <f t="shared" si="60"/>
        <v>783.20011</v>
      </c>
      <c r="AB405">
        <f>N405*(1+'Scenario Modelling'!$B$3)</f>
        <v>1071.5210000000002</v>
      </c>
      <c r="AC405">
        <f>ROUNDUP(S405*(1+'Scenario Modelling'!$B$4),0)</f>
        <v>11</v>
      </c>
      <c r="AD405">
        <f t="shared" si="61"/>
        <v>8615.2012099999993</v>
      </c>
      <c r="AE405">
        <f t="shared" si="62"/>
        <v>-3171.5297900000023</v>
      </c>
    </row>
    <row r="406" spans="1:31" x14ac:dyDescent="0.3">
      <c r="A406" s="36" t="s">
        <v>419</v>
      </c>
      <c r="B406" s="49">
        <v>44991</v>
      </c>
      <c r="C406" s="47" t="str">
        <f t="shared" si="55"/>
        <v>Q1-2023</v>
      </c>
      <c r="D406" s="37">
        <v>45020</v>
      </c>
      <c r="E406" s="16">
        <f t="shared" si="54"/>
        <v>29</v>
      </c>
      <c r="F406" s="38" t="s">
        <v>647</v>
      </c>
      <c r="G406" s="38" t="s">
        <v>659</v>
      </c>
      <c r="H406" s="38" t="s">
        <v>699</v>
      </c>
      <c r="I406" s="38" t="s">
        <v>705</v>
      </c>
      <c r="J406" s="38" t="s">
        <v>711</v>
      </c>
      <c r="K406" s="38" t="s">
        <v>712</v>
      </c>
      <c r="L406" s="38" t="s">
        <v>732</v>
      </c>
      <c r="M406" s="39" t="s">
        <v>1138</v>
      </c>
      <c r="N406" s="40">
        <v>1126.29</v>
      </c>
      <c r="O406" s="40">
        <v>2050.87</v>
      </c>
      <c r="P406" s="30" t="str">
        <f t="shared" si="56"/>
        <v>High</v>
      </c>
      <c r="Q406" s="44">
        <v>6.4000000000000001E-2</v>
      </c>
      <c r="R406" s="42" t="str">
        <f t="shared" si="57"/>
        <v>Low</v>
      </c>
      <c r="S406" s="16">
        <v>7</v>
      </c>
      <c r="T406" s="30">
        <v>13437.300239999999</v>
      </c>
      <c r="U406" s="30">
        <v>7884.03</v>
      </c>
      <c r="V406" s="30">
        <v>5553.2702399999989</v>
      </c>
      <c r="W406" s="30">
        <v>0.41327276616690373</v>
      </c>
      <c r="X406" t="str">
        <f t="shared" si="58"/>
        <v>Delayed</v>
      </c>
      <c r="Y406" t="str">
        <f t="shared" si="59"/>
        <v>Compliant Discount</v>
      </c>
      <c r="Z406" s="9">
        <f>MIN(Q406,'Scenario Modelling'!$B$2)</f>
        <v>6.4000000000000001E-2</v>
      </c>
      <c r="AA406">
        <f t="shared" si="60"/>
        <v>1919.6143199999997</v>
      </c>
      <c r="AB406">
        <f>N406*(1+'Scenario Modelling'!$B$3)</f>
        <v>1238.9190000000001</v>
      </c>
      <c r="AC406">
        <f>ROUNDUP(S406*(1+'Scenario Modelling'!$B$4),0)</f>
        <v>8</v>
      </c>
      <c r="AD406">
        <f t="shared" si="61"/>
        <v>15356.914559999997</v>
      </c>
      <c r="AE406">
        <f t="shared" si="62"/>
        <v>5445.5625599999967</v>
      </c>
    </row>
    <row r="407" spans="1:31" x14ac:dyDescent="0.3">
      <c r="A407" s="31" t="s">
        <v>420</v>
      </c>
      <c r="B407" s="48">
        <v>45646</v>
      </c>
      <c r="C407" s="47" t="str">
        <f t="shared" si="55"/>
        <v>Q4-2024</v>
      </c>
      <c r="D407" s="32">
        <v>45671</v>
      </c>
      <c r="E407" s="17">
        <f t="shared" si="54"/>
        <v>25</v>
      </c>
      <c r="F407" s="33" t="s">
        <v>647</v>
      </c>
      <c r="G407" s="33" t="s">
        <v>654</v>
      </c>
      <c r="H407" s="33" t="s">
        <v>680</v>
      </c>
      <c r="I407" s="33" t="s">
        <v>705</v>
      </c>
      <c r="J407" s="33" t="s">
        <v>707</v>
      </c>
      <c r="K407" s="33" t="s">
        <v>724</v>
      </c>
      <c r="L407" s="33" t="s">
        <v>728</v>
      </c>
      <c r="M407" s="34" t="s">
        <v>1139</v>
      </c>
      <c r="N407" s="35">
        <v>1361.34</v>
      </c>
      <c r="O407" s="35">
        <v>1737.9</v>
      </c>
      <c r="P407" s="30" t="str">
        <f t="shared" si="56"/>
        <v>High</v>
      </c>
      <c r="Q407" s="43">
        <v>7.6999999999999999E-2</v>
      </c>
      <c r="R407" s="42" t="str">
        <f t="shared" si="57"/>
        <v>Low</v>
      </c>
      <c r="S407" s="17">
        <v>14</v>
      </c>
      <c r="T407" s="30">
        <v>22457.143800000002</v>
      </c>
      <c r="U407" s="30">
        <v>19058.759999999998</v>
      </c>
      <c r="V407" s="30">
        <v>3398.3838000000032</v>
      </c>
      <c r="W407" s="30">
        <v>0.15132751654731813</v>
      </c>
      <c r="X407" t="str">
        <f t="shared" si="58"/>
        <v>Delayed</v>
      </c>
      <c r="Y407" t="str">
        <f t="shared" si="59"/>
        <v>Compliant Discount</v>
      </c>
      <c r="Z407" s="9">
        <f>MIN(Q407,'Scenario Modelling'!$B$2)</f>
        <v>7.6999999999999999E-2</v>
      </c>
      <c r="AA407">
        <f t="shared" si="60"/>
        <v>1604.0817000000002</v>
      </c>
      <c r="AB407">
        <f>N407*(1+'Scenario Modelling'!$B$3)</f>
        <v>1497.4739999999999</v>
      </c>
      <c r="AC407">
        <f>ROUNDUP(S407*(1+'Scenario Modelling'!$B$4),0)</f>
        <v>15</v>
      </c>
      <c r="AD407">
        <f t="shared" si="61"/>
        <v>24061.225500000004</v>
      </c>
      <c r="AE407">
        <f t="shared" si="62"/>
        <v>1599.1155000000037</v>
      </c>
    </row>
    <row r="408" spans="1:31" x14ac:dyDescent="0.3">
      <c r="A408" s="36" t="s">
        <v>421</v>
      </c>
      <c r="B408" s="49">
        <v>45709</v>
      </c>
      <c r="C408" s="47" t="str">
        <f t="shared" si="55"/>
        <v>Q1-2025</v>
      </c>
      <c r="D408" s="37">
        <v>45737</v>
      </c>
      <c r="E408" s="16">
        <f t="shared" si="54"/>
        <v>28</v>
      </c>
      <c r="F408" s="38" t="s">
        <v>646</v>
      </c>
      <c r="G408" s="38" t="s">
        <v>651</v>
      </c>
      <c r="H408" s="38" t="s">
        <v>669</v>
      </c>
      <c r="I408" s="38" t="s">
        <v>706</v>
      </c>
      <c r="J408" s="38" t="s">
        <v>709</v>
      </c>
      <c r="K408" s="38" t="s">
        <v>714</v>
      </c>
      <c r="L408" s="38" t="s">
        <v>730</v>
      </c>
      <c r="M408" s="39" t="s">
        <v>1140</v>
      </c>
      <c r="N408" s="40">
        <v>1437.39</v>
      </c>
      <c r="O408" s="40">
        <v>1388.31</v>
      </c>
      <c r="P408" s="30" t="str">
        <f t="shared" si="56"/>
        <v>Medium</v>
      </c>
      <c r="Q408" s="44">
        <v>0.13800000000000001</v>
      </c>
      <c r="R408" s="42" t="str">
        <f t="shared" si="57"/>
        <v>Medium</v>
      </c>
      <c r="S408" s="16">
        <v>18</v>
      </c>
      <c r="T408" s="30">
        <v>21541.017959999997</v>
      </c>
      <c r="U408" s="30">
        <v>25873.02</v>
      </c>
      <c r="V408" s="30">
        <v>-4332.002040000003</v>
      </c>
      <c r="W408" s="30">
        <v>-0.20110479681341872</v>
      </c>
      <c r="X408" t="str">
        <f t="shared" si="58"/>
        <v>Delayed</v>
      </c>
      <c r="Y408" t="str">
        <f t="shared" si="59"/>
        <v>Compliant Discount</v>
      </c>
      <c r="Z408" s="9">
        <f>MIN(Q408,'Scenario Modelling'!$B$2)</f>
        <v>0.13800000000000001</v>
      </c>
      <c r="AA408">
        <f t="shared" si="60"/>
        <v>1196.7232199999999</v>
      </c>
      <c r="AB408">
        <f>N408*(1+'Scenario Modelling'!$B$3)</f>
        <v>1581.1290000000001</v>
      </c>
      <c r="AC408">
        <f>ROUNDUP(S408*(1+'Scenario Modelling'!$B$4),0)</f>
        <v>19</v>
      </c>
      <c r="AD408">
        <f t="shared" si="61"/>
        <v>22737.741179999997</v>
      </c>
      <c r="AE408">
        <f t="shared" si="62"/>
        <v>-7303.7098200000055</v>
      </c>
    </row>
    <row r="409" spans="1:31" x14ac:dyDescent="0.3">
      <c r="A409" s="31" t="s">
        <v>422</v>
      </c>
      <c r="B409" s="48">
        <v>45724</v>
      </c>
      <c r="C409" s="47" t="str">
        <f t="shared" si="55"/>
        <v>Q1-2025</v>
      </c>
      <c r="D409" s="32">
        <v>45731</v>
      </c>
      <c r="E409" s="17">
        <f t="shared" si="54"/>
        <v>7</v>
      </c>
      <c r="F409" s="33" t="s">
        <v>647</v>
      </c>
      <c r="G409" s="33" t="s">
        <v>654</v>
      </c>
      <c r="H409" s="33" t="s">
        <v>668</v>
      </c>
      <c r="I409" s="33" t="s">
        <v>701</v>
      </c>
      <c r="J409" s="33" t="s">
        <v>710</v>
      </c>
      <c r="K409" s="33" t="s">
        <v>723</v>
      </c>
      <c r="L409" s="33" t="s">
        <v>731</v>
      </c>
      <c r="M409" s="34" t="s">
        <v>1141</v>
      </c>
      <c r="N409" s="35">
        <v>475.66</v>
      </c>
      <c r="O409" s="35">
        <v>529.14</v>
      </c>
      <c r="P409" s="30" t="str">
        <f t="shared" si="56"/>
        <v>Low</v>
      </c>
      <c r="Q409" s="43">
        <v>0.19600000000000001</v>
      </c>
      <c r="R409" s="42" t="str">
        <f t="shared" si="57"/>
        <v>Medium</v>
      </c>
      <c r="S409" s="17">
        <v>11</v>
      </c>
      <c r="T409" s="30">
        <v>4679.7141600000004</v>
      </c>
      <c r="U409" s="30">
        <v>5232.26</v>
      </c>
      <c r="V409" s="30">
        <v>-552.54583999999977</v>
      </c>
      <c r="W409" s="30">
        <v>-0.11807256193613323</v>
      </c>
      <c r="X409" t="str">
        <f t="shared" si="58"/>
        <v>On-time</v>
      </c>
      <c r="Y409" t="str">
        <f t="shared" si="59"/>
        <v>Compliant Discount</v>
      </c>
      <c r="Z409" s="9">
        <f>MIN(Q409,'Scenario Modelling'!$B$2)</f>
        <v>0.19600000000000001</v>
      </c>
      <c r="AA409">
        <f t="shared" si="60"/>
        <v>425.42856</v>
      </c>
      <c r="AB409">
        <f>N409*(1+'Scenario Modelling'!$B$3)</f>
        <v>523.22600000000011</v>
      </c>
      <c r="AC409">
        <f>ROUNDUP(S409*(1+'Scenario Modelling'!$B$4),0)</f>
        <v>12</v>
      </c>
      <c r="AD409">
        <f t="shared" si="61"/>
        <v>5105.1427199999998</v>
      </c>
      <c r="AE409">
        <f t="shared" si="62"/>
        <v>-1173.5692800000013</v>
      </c>
    </row>
    <row r="410" spans="1:31" x14ac:dyDescent="0.3">
      <c r="A410" s="36" t="s">
        <v>423</v>
      </c>
      <c r="B410" s="49">
        <v>45276</v>
      </c>
      <c r="C410" s="47" t="str">
        <f t="shared" si="55"/>
        <v>Q4-2023</v>
      </c>
      <c r="D410" s="37">
        <v>45279</v>
      </c>
      <c r="E410" s="16">
        <f t="shared" si="54"/>
        <v>3</v>
      </c>
      <c r="F410" s="38" t="s">
        <v>647</v>
      </c>
      <c r="G410" s="38" t="s">
        <v>659</v>
      </c>
      <c r="H410" s="38" t="s">
        <v>699</v>
      </c>
      <c r="I410" s="38" t="s">
        <v>702</v>
      </c>
      <c r="J410" s="38" t="s">
        <v>707</v>
      </c>
      <c r="K410" s="38" t="s">
        <v>720</v>
      </c>
      <c r="L410" s="38" t="s">
        <v>733</v>
      </c>
      <c r="M410" s="39" t="s">
        <v>1142</v>
      </c>
      <c r="N410" s="40">
        <v>1415.05</v>
      </c>
      <c r="O410" s="40">
        <v>1972.38</v>
      </c>
      <c r="P410" s="30" t="str">
        <f t="shared" si="56"/>
        <v>High</v>
      </c>
      <c r="Q410" s="44">
        <v>0</v>
      </c>
      <c r="R410" s="42" t="str">
        <f t="shared" si="57"/>
        <v>Low</v>
      </c>
      <c r="S410" s="16">
        <v>12</v>
      </c>
      <c r="T410" s="30">
        <v>23668.560000000001</v>
      </c>
      <c r="U410" s="30">
        <v>16980.599999999999</v>
      </c>
      <c r="V410" s="30">
        <v>6687.9600000000028</v>
      </c>
      <c r="W410" s="30">
        <v>0.28256725377462771</v>
      </c>
      <c r="X410" t="str">
        <f t="shared" si="58"/>
        <v>On-time</v>
      </c>
      <c r="Y410" t="str">
        <f t="shared" si="59"/>
        <v>Compliant Discount</v>
      </c>
      <c r="Z410" s="9">
        <f>MIN(Q410,'Scenario Modelling'!$B$2)</f>
        <v>0</v>
      </c>
      <c r="AA410">
        <f t="shared" si="60"/>
        <v>1972.38</v>
      </c>
      <c r="AB410">
        <f>N410*(1+'Scenario Modelling'!$B$3)</f>
        <v>1556.5550000000001</v>
      </c>
      <c r="AC410">
        <f>ROUNDUP(S410*(1+'Scenario Modelling'!$B$4),0)</f>
        <v>13</v>
      </c>
      <c r="AD410">
        <f t="shared" si="61"/>
        <v>25640.940000000002</v>
      </c>
      <c r="AE410">
        <f t="shared" si="62"/>
        <v>5405.7250000000004</v>
      </c>
    </row>
    <row r="411" spans="1:31" x14ac:dyDescent="0.3">
      <c r="A411" s="31" t="s">
        <v>424</v>
      </c>
      <c r="B411" s="48">
        <v>45534</v>
      </c>
      <c r="C411" s="47" t="str">
        <f t="shared" si="55"/>
        <v>Q3-2024</v>
      </c>
      <c r="D411" s="32">
        <v>45540</v>
      </c>
      <c r="E411" s="17">
        <f t="shared" si="54"/>
        <v>6</v>
      </c>
      <c r="F411" s="33" t="s">
        <v>647</v>
      </c>
      <c r="G411" s="33" t="s">
        <v>652</v>
      </c>
      <c r="H411" s="33" t="s">
        <v>694</v>
      </c>
      <c r="I411" s="33" t="s">
        <v>702</v>
      </c>
      <c r="J411" s="33" t="s">
        <v>708</v>
      </c>
      <c r="K411" s="33" t="s">
        <v>725</v>
      </c>
      <c r="L411" s="33" t="s">
        <v>731</v>
      </c>
      <c r="M411" s="34" t="s">
        <v>1143</v>
      </c>
      <c r="N411" s="35">
        <v>466.16</v>
      </c>
      <c r="O411" s="35">
        <v>876.81</v>
      </c>
      <c r="P411" s="30" t="str">
        <f t="shared" si="56"/>
        <v>Medium</v>
      </c>
      <c r="Q411" s="43">
        <v>0.24099999999999999</v>
      </c>
      <c r="R411" s="42" t="str">
        <f t="shared" si="57"/>
        <v>High</v>
      </c>
      <c r="S411" s="17">
        <v>8</v>
      </c>
      <c r="T411" s="30">
        <v>5323.9903199999999</v>
      </c>
      <c r="U411" s="30">
        <v>3729.28</v>
      </c>
      <c r="V411" s="30">
        <v>1594.7103199999997</v>
      </c>
      <c r="W411" s="30">
        <v>0.29953291124691594</v>
      </c>
      <c r="X411" t="str">
        <f t="shared" si="58"/>
        <v>On-time</v>
      </c>
      <c r="Y411" t="str">
        <f t="shared" si="59"/>
        <v>Non-compliant Discount</v>
      </c>
      <c r="Z411" s="9">
        <f>MIN(Q411,'Scenario Modelling'!$B$2)</f>
        <v>0.2</v>
      </c>
      <c r="AA411">
        <f t="shared" si="60"/>
        <v>701.44799999999998</v>
      </c>
      <c r="AB411">
        <f>N411*(1+'Scenario Modelling'!$B$3)</f>
        <v>512.77600000000007</v>
      </c>
      <c r="AC411">
        <f>ROUNDUP(S411*(1+'Scenario Modelling'!$B$4),0)</f>
        <v>9</v>
      </c>
      <c r="AD411">
        <f t="shared" si="61"/>
        <v>6313.0320000000002</v>
      </c>
      <c r="AE411">
        <f t="shared" si="62"/>
        <v>1698.0479999999993</v>
      </c>
    </row>
    <row r="412" spans="1:31" x14ac:dyDescent="0.3">
      <c r="A412" s="36" t="s">
        <v>425</v>
      </c>
      <c r="B412" s="49">
        <v>45430</v>
      </c>
      <c r="C412" s="47" t="str">
        <f t="shared" si="55"/>
        <v>Q2-2024</v>
      </c>
      <c r="D412" s="37">
        <v>45433</v>
      </c>
      <c r="E412" s="16">
        <f t="shared" si="54"/>
        <v>3</v>
      </c>
      <c r="F412" s="38" t="s">
        <v>649</v>
      </c>
      <c r="G412" s="38" t="s">
        <v>657</v>
      </c>
      <c r="H412" s="38" t="s">
        <v>673</v>
      </c>
      <c r="I412" s="38" t="s">
        <v>703</v>
      </c>
      <c r="J412" s="38" t="s">
        <v>709</v>
      </c>
      <c r="K412" s="38" t="s">
        <v>726</v>
      </c>
      <c r="L412" s="38" t="s">
        <v>728</v>
      </c>
      <c r="M412" s="39" t="s">
        <v>1144</v>
      </c>
      <c r="N412" s="40">
        <v>663.66</v>
      </c>
      <c r="O412" s="40">
        <v>824.26</v>
      </c>
      <c r="P412" s="30" t="str">
        <f t="shared" si="56"/>
        <v>Low</v>
      </c>
      <c r="Q412" s="44">
        <v>0.23899999999999999</v>
      </c>
      <c r="R412" s="42" t="str">
        <f t="shared" si="57"/>
        <v>High</v>
      </c>
      <c r="S412" s="16">
        <v>11</v>
      </c>
      <c r="T412" s="30">
        <v>6899.8804600000003</v>
      </c>
      <c r="U412" s="30">
        <v>7300.2599999999993</v>
      </c>
      <c r="V412" s="30">
        <v>-400.379539999999</v>
      </c>
      <c r="W412" s="30">
        <v>-5.8027025587048933E-2</v>
      </c>
      <c r="X412" t="str">
        <f t="shared" si="58"/>
        <v>On-time</v>
      </c>
      <c r="Y412" t="str">
        <f t="shared" si="59"/>
        <v>Non-compliant Discount</v>
      </c>
      <c r="Z412" s="9">
        <f>MIN(Q412,'Scenario Modelling'!$B$2)</f>
        <v>0.2</v>
      </c>
      <c r="AA412">
        <f t="shared" si="60"/>
        <v>659.40800000000002</v>
      </c>
      <c r="AB412">
        <f>N412*(1+'Scenario Modelling'!$B$3)</f>
        <v>730.02600000000007</v>
      </c>
      <c r="AC412">
        <f>ROUNDUP(S412*(1+'Scenario Modelling'!$B$4),0)</f>
        <v>12</v>
      </c>
      <c r="AD412">
        <f t="shared" si="61"/>
        <v>7912.8960000000006</v>
      </c>
      <c r="AE412">
        <f t="shared" si="62"/>
        <v>-847.41600000000062</v>
      </c>
    </row>
    <row r="413" spans="1:31" x14ac:dyDescent="0.3">
      <c r="A413" s="31" t="s">
        <v>426</v>
      </c>
      <c r="B413" s="48">
        <v>45002</v>
      </c>
      <c r="C413" s="47" t="str">
        <f t="shared" si="55"/>
        <v>Q1-2023</v>
      </c>
      <c r="D413" s="32">
        <v>45022</v>
      </c>
      <c r="E413" s="17">
        <f t="shared" si="54"/>
        <v>20</v>
      </c>
      <c r="F413" s="33" t="s">
        <v>649</v>
      </c>
      <c r="G413" s="33" t="s">
        <v>656</v>
      </c>
      <c r="H413" s="33" t="s">
        <v>684</v>
      </c>
      <c r="I413" s="33" t="s">
        <v>704</v>
      </c>
      <c r="J413" s="33" t="s">
        <v>707</v>
      </c>
      <c r="K413" s="33" t="s">
        <v>719</v>
      </c>
      <c r="L413" s="33" t="s">
        <v>730</v>
      </c>
      <c r="M413" s="34" t="s">
        <v>1145</v>
      </c>
      <c r="N413" s="35">
        <v>692.18</v>
      </c>
      <c r="O413" s="35">
        <v>1159.3499999999999</v>
      </c>
      <c r="P413" s="30" t="str">
        <f t="shared" si="56"/>
        <v>Medium</v>
      </c>
      <c r="Q413" s="43">
        <v>0.112</v>
      </c>
      <c r="R413" s="42" t="str">
        <f t="shared" si="57"/>
        <v>Medium</v>
      </c>
      <c r="S413" s="17">
        <v>2</v>
      </c>
      <c r="T413" s="30">
        <v>2059.0056</v>
      </c>
      <c r="U413" s="30">
        <v>1384.36</v>
      </c>
      <c r="V413" s="30">
        <v>674.64560000000006</v>
      </c>
      <c r="W413" s="30">
        <v>0.32765602968734037</v>
      </c>
      <c r="X413" t="str">
        <f t="shared" si="58"/>
        <v>Delayed</v>
      </c>
      <c r="Y413" t="str">
        <f t="shared" si="59"/>
        <v>Compliant Discount</v>
      </c>
      <c r="Z413" s="9">
        <f>MIN(Q413,'Scenario Modelling'!$B$2)</f>
        <v>0.112</v>
      </c>
      <c r="AA413">
        <f t="shared" si="60"/>
        <v>1029.5028</v>
      </c>
      <c r="AB413">
        <f>N413*(1+'Scenario Modelling'!$B$3)</f>
        <v>761.39800000000002</v>
      </c>
      <c r="AC413">
        <f>ROUNDUP(S413*(1+'Scenario Modelling'!$B$4),0)</f>
        <v>3</v>
      </c>
      <c r="AD413">
        <f t="shared" si="61"/>
        <v>3088.5083999999997</v>
      </c>
      <c r="AE413">
        <f t="shared" si="62"/>
        <v>804.31439999999986</v>
      </c>
    </row>
    <row r="414" spans="1:31" x14ac:dyDescent="0.3">
      <c r="A414" s="36" t="s">
        <v>427</v>
      </c>
      <c r="B414" s="49">
        <v>45163</v>
      </c>
      <c r="C414" s="47" t="str">
        <f t="shared" si="55"/>
        <v>Q3-2023</v>
      </c>
      <c r="D414" s="37">
        <v>45185</v>
      </c>
      <c r="E414" s="16">
        <f t="shared" si="54"/>
        <v>22</v>
      </c>
      <c r="F414" s="38" t="s">
        <v>646</v>
      </c>
      <c r="G414" s="38" t="s">
        <v>651</v>
      </c>
      <c r="H414" s="38" t="s">
        <v>669</v>
      </c>
      <c r="I414" s="38" t="s">
        <v>701</v>
      </c>
      <c r="J414" s="38" t="s">
        <v>709</v>
      </c>
      <c r="K414" s="38" t="s">
        <v>716</v>
      </c>
      <c r="L414" s="38" t="s">
        <v>730</v>
      </c>
      <c r="M414" s="39" t="s">
        <v>1146</v>
      </c>
      <c r="N414" s="40">
        <v>1196.83</v>
      </c>
      <c r="O414" s="40">
        <v>2513.5100000000002</v>
      </c>
      <c r="P414" s="30" t="str">
        <f t="shared" si="56"/>
        <v>High</v>
      </c>
      <c r="Q414" s="44">
        <v>8.3000000000000004E-2</v>
      </c>
      <c r="R414" s="42" t="str">
        <f t="shared" si="57"/>
        <v>Low</v>
      </c>
      <c r="S414" s="16">
        <v>7</v>
      </c>
      <c r="T414" s="30">
        <v>16134.22069</v>
      </c>
      <c r="U414" s="30">
        <v>8377.81</v>
      </c>
      <c r="V414" s="30">
        <v>7756.4106900000006</v>
      </c>
      <c r="W414" s="30">
        <v>0.48074281609445374</v>
      </c>
      <c r="X414" t="str">
        <f t="shared" si="58"/>
        <v>Delayed</v>
      </c>
      <c r="Y414" t="str">
        <f t="shared" si="59"/>
        <v>Compliant Discount</v>
      </c>
      <c r="Z414" s="9">
        <f>MIN(Q414,'Scenario Modelling'!$B$2)</f>
        <v>8.3000000000000004E-2</v>
      </c>
      <c r="AA414">
        <f t="shared" si="60"/>
        <v>2304.8886700000003</v>
      </c>
      <c r="AB414">
        <f>N414*(1+'Scenario Modelling'!$B$3)</f>
        <v>1316.5129999999999</v>
      </c>
      <c r="AC414">
        <f>ROUNDUP(S414*(1+'Scenario Modelling'!$B$4),0)</f>
        <v>8</v>
      </c>
      <c r="AD414">
        <f t="shared" si="61"/>
        <v>18439.109360000002</v>
      </c>
      <c r="AE414">
        <f t="shared" si="62"/>
        <v>7907.0053600000028</v>
      </c>
    </row>
    <row r="415" spans="1:31" x14ac:dyDescent="0.3">
      <c r="A415" s="31" t="s">
        <v>428</v>
      </c>
      <c r="B415" s="48">
        <v>45449</v>
      </c>
      <c r="C415" s="47" t="str">
        <f t="shared" si="55"/>
        <v>Q2-2024</v>
      </c>
      <c r="D415" s="32">
        <v>45467</v>
      </c>
      <c r="E415" s="17">
        <f t="shared" si="54"/>
        <v>18</v>
      </c>
      <c r="F415" s="33" t="s">
        <v>647</v>
      </c>
      <c r="G415" s="33" t="s">
        <v>654</v>
      </c>
      <c r="H415" s="33" t="s">
        <v>668</v>
      </c>
      <c r="I415" s="33" t="s">
        <v>705</v>
      </c>
      <c r="J415" s="33" t="s">
        <v>711</v>
      </c>
      <c r="K415" s="33" t="s">
        <v>722</v>
      </c>
      <c r="L415" s="33" t="s">
        <v>729</v>
      </c>
      <c r="M415" s="34" t="s">
        <v>1147</v>
      </c>
      <c r="N415" s="35">
        <v>1253.25</v>
      </c>
      <c r="O415" s="35">
        <v>3087.13</v>
      </c>
      <c r="P415" s="30" t="str">
        <f t="shared" si="56"/>
        <v>High</v>
      </c>
      <c r="Q415" s="43">
        <v>7.1999999999999995E-2</v>
      </c>
      <c r="R415" s="42" t="str">
        <f t="shared" si="57"/>
        <v>Low</v>
      </c>
      <c r="S415" s="17">
        <v>11</v>
      </c>
      <c r="T415" s="30">
        <v>31513.423040000001</v>
      </c>
      <c r="U415" s="30">
        <v>13785.75</v>
      </c>
      <c r="V415" s="30">
        <v>17727.673040000001</v>
      </c>
      <c r="W415" s="30">
        <v>0.562543555408064</v>
      </c>
      <c r="X415" t="str">
        <f t="shared" si="58"/>
        <v>Delayed</v>
      </c>
      <c r="Y415" t="str">
        <f t="shared" si="59"/>
        <v>Compliant Discount</v>
      </c>
      <c r="Z415" s="9">
        <f>MIN(Q415,'Scenario Modelling'!$B$2)</f>
        <v>7.1999999999999995E-2</v>
      </c>
      <c r="AA415">
        <f t="shared" si="60"/>
        <v>2864.8566400000004</v>
      </c>
      <c r="AB415">
        <f>N415*(1+'Scenario Modelling'!$B$3)</f>
        <v>1378.575</v>
      </c>
      <c r="AC415">
        <f>ROUNDUP(S415*(1+'Scenario Modelling'!$B$4),0)</f>
        <v>12</v>
      </c>
      <c r="AD415">
        <f t="shared" si="61"/>
        <v>34378.279680000007</v>
      </c>
      <c r="AE415">
        <f t="shared" si="62"/>
        <v>17835.379680000005</v>
      </c>
    </row>
    <row r="416" spans="1:31" x14ac:dyDescent="0.3">
      <c r="A416" s="36" t="s">
        <v>429</v>
      </c>
      <c r="B416" s="49">
        <v>45167</v>
      </c>
      <c r="C416" s="47" t="str">
        <f t="shared" si="55"/>
        <v>Q3-2023</v>
      </c>
      <c r="D416" s="37">
        <v>45182</v>
      </c>
      <c r="E416" s="16">
        <f t="shared" si="54"/>
        <v>15</v>
      </c>
      <c r="F416" s="38" t="s">
        <v>648</v>
      </c>
      <c r="G416" s="38" t="s">
        <v>653</v>
      </c>
      <c r="H416" s="38" t="s">
        <v>688</v>
      </c>
      <c r="I416" s="38" t="s">
        <v>705</v>
      </c>
      <c r="J416" s="38" t="s">
        <v>709</v>
      </c>
      <c r="K416" s="38" t="s">
        <v>719</v>
      </c>
      <c r="L416" s="38" t="s">
        <v>728</v>
      </c>
      <c r="M416" s="39" t="s">
        <v>1148</v>
      </c>
      <c r="N416" s="40">
        <v>1287.6400000000001</v>
      </c>
      <c r="O416" s="40">
        <v>2717.15</v>
      </c>
      <c r="P416" s="30" t="str">
        <f t="shared" si="56"/>
        <v>High</v>
      </c>
      <c r="Q416" s="44">
        <v>3.2000000000000001E-2</v>
      </c>
      <c r="R416" s="42" t="str">
        <f t="shared" si="57"/>
        <v>Low</v>
      </c>
      <c r="S416" s="16">
        <v>7</v>
      </c>
      <c r="T416" s="30">
        <v>18411.4084</v>
      </c>
      <c r="U416" s="30">
        <v>9013.4800000000014</v>
      </c>
      <c r="V416" s="30">
        <v>9397.9283999999989</v>
      </c>
      <c r="W416" s="30">
        <v>0.51044049405802105</v>
      </c>
      <c r="X416" t="str">
        <f t="shared" si="58"/>
        <v>Delayed</v>
      </c>
      <c r="Y416" t="str">
        <f t="shared" si="59"/>
        <v>Compliant Discount</v>
      </c>
      <c r="Z416" s="9">
        <f>MIN(Q416,'Scenario Modelling'!$B$2)</f>
        <v>3.2000000000000001E-2</v>
      </c>
      <c r="AA416">
        <f t="shared" si="60"/>
        <v>2630.2012</v>
      </c>
      <c r="AB416">
        <f>N416*(1+'Scenario Modelling'!$B$3)</f>
        <v>1416.4040000000002</v>
      </c>
      <c r="AC416">
        <f>ROUNDUP(S416*(1+'Scenario Modelling'!$B$4),0)</f>
        <v>8</v>
      </c>
      <c r="AD416">
        <f t="shared" si="61"/>
        <v>21041.6096</v>
      </c>
      <c r="AE416">
        <f t="shared" si="62"/>
        <v>9710.377599999998</v>
      </c>
    </row>
    <row r="417" spans="1:31" x14ac:dyDescent="0.3">
      <c r="A417" s="31" t="s">
        <v>430</v>
      </c>
      <c r="B417" s="48">
        <v>45626</v>
      </c>
      <c r="C417" s="47" t="str">
        <f t="shared" si="55"/>
        <v>Q4-2024</v>
      </c>
      <c r="D417" s="32">
        <v>45636</v>
      </c>
      <c r="E417" s="17">
        <f t="shared" si="54"/>
        <v>10</v>
      </c>
      <c r="F417" s="33" t="s">
        <v>647</v>
      </c>
      <c r="G417" s="33" t="s">
        <v>654</v>
      </c>
      <c r="H417" s="33" t="s">
        <v>696</v>
      </c>
      <c r="I417" s="33" t="s">
        <v>705</v>
      </c>
      <c r="J417" s="33" t="s">
        <v>707</v>
      </c>
      <c r="K417" s="33" t="s">
        <v>721</v>
      </c>
      <c r="L417" s="33" t="s">
        <v>733</v>
      </c>
      <c r="M417" s="34" t="s">
        <v>1149</v>
      </c>
      <c r="N417" s="35">
        <v>851.49</v>
      </c>
      <c r="O417" s="35">
        <v>901.79</v>
      </c>
      <c r="P417" s="30" t="str">
        <f t="shared" si="56"/>
        <v>Medium</v>
      </c>
      <c r="Q417" s="43">
        <v>0.245</v>
      </c>
      <c r="R417" s="42" t="str">
        <f t="shared" si="57"/>
        <v>High</v>
      </c>
      <c r="S417" s="17">
        <v>16</v>
      </c>
      <c r="T417" s="30">
        <v>10893.6232</v>
      </c>
      <c r="U417" s="30">
        <v>13623.84</v>
      </c>
      <c r="V417" s="30">
        <v>-2730.2168000000001</v>
      </c>
      <c r="W417" s="30">
        <v>-0.25062522816100341</v>
      </c>
      <c r="X417" t="str">
        <f t="shared" si="58"/>
        <v>Delayed</v>
      </c>
      <c r="Y417" t="str">
        <f t="shared" si="59"/>
        <v>Non-compliant Discount</v>
      </c>
      <c r="Z417" s="9">
        <f>MIN(Q417,'Scenario Modelling'!$B$2)</f>
        <v>0.2</v>
      </c>
      <c r="AA417">
        <f t="shared" si="60"/>
        <v>721.43200000000002</v>
      </c>
      <c r="AB417">
        <f>N417*(1+'Scenario Modelling'!$B$3)</f>
        <v>936.63900000000012</v>
      </c>
      <c r="AC417">
        <f>ROUNDUP(S417*(1+'Scenario Modelling'!$B$4),0)</f>
        <v>17</v>
      </c>
      <c r="AD417">
        <f t="shared" si="61"/>
        <v>12264.344000000001</v>
      </c>
      <c r="AE417">
        <f t="shared" si="62"/>
        <v>-3658.5190000000021</v>
      </c>
    </row>
    <row r="418" spans="1:31" x14ac:dyDescent="0.3">
      <c r="A418" s="36" t="s">
        <v>431</v>
      </c>
      <c r="B418" s="49">
        <v>45813</v>
      </c>
      <c r="C418" s="47" t="str">
        <f t="shared" si="55"/>
        <v>Q2-2025</v>
      </c>
      <c r="D418" s="37">
        <v>45822</v>
      </c>
      <c r="E418" s="16">
        <f t="shared" si="54"/>
        <v>9</v>
      </c>
      <c r="F418" s="38" t="s">
        <v>647</v>
      </c>
      <c r="G418" s="38" t="s">
        <v>654</v>
      </c>
      <c r="H418" s="38" t="s">
        <v>680</v>
      </c>
      <c r="I418" s="38" t="s">
        <v>703</v>
      </c>
      <c r="J418" s="38" t="s">
        <v>707</v>
      </c>
      <c r="K418" s="38" t="s">
        <v>720</v>
      </c>
      <c r="L418" s="38" t="s">
        <v>733</v>
      </c>
      <c r="M418" s="39" t="s">
        <v>1150</v>
      </c>
      <c r="N418" s="40">
        <v>618.69000000000005</v>
      </c>
      <c r="O418" s="40">
        <v>796.15</v>
      </c>
      <c r="P418" s="30" t="str">
        <f t="shared" si="56"/>
        <v>Low</v>
      </c>
      <c r="Q418" s="44">
        <v>0.09</v>
      </c>
      <c r="R418" s="42" t="str">
        <f t="shared" si="57"/>
        <v>Low</v>
      </c>
      <c r="S418" s="16">
        <v>11</v>
      </c>
      <c r="T418" s="30">
        <v>7969.4615000000003</v>
      </c>
      <c r="U418" s="30">
        <v>6805.59</v>
      </c>
      <c r="V418" s="30">
        <v>1163.8715000000002</v>
      </c>
      <c r="W418" s="30">
        <v>0.14604142325049191</v>
      </c>
      <c r="X418" t="str">
        <f t="shared" si="58"/>
        <v>Delayed</v>
      </c>
      <c r="Y418" t="str">
        <f t="shared" si="59"/>
        <v>Compliant Discount</v>
      </c>
      <c r="Z418" s="9">
        <f>MIN(Q418,'Scenario Modelling'!$B$2)</f>
        <v>0.09</v>
      </c>
      <c r="AA418">
        <f t="shared" si="60"/>
        <v>724.49649999999997</v>
      </c>
      <c r="AB418">
        <f>N418*(1+'Scenario Modelling'!$B$3)</f>
        <v>680.55900000000008</v>
      </c>
      <c r="AC418">
        <f>ROUNDUP(S418*(1+'Scenario Modelling'!$B$4),0)</f>
        <v>12</v>
      </c>
      <c r="AD418">
        <f t="shared" si="61"/>
        <v>8693.9579999999987</v>
      </c>
      <c r="AE418">
        <f t="shared" si="62"/>
        <v>527.24999999999864</v>
      </c>
    </row>
    <row r="419" spans="1:31" x14ac:dyDescent="0.3">
      <c r="A419" s="31" t="s">
        <v>432</v>
      </c>
      <c r="B419" s="48">
        <v>45730</v>
      </c>
      <c r="C419" s="47" t="str">
        <f t="shared" si="55"/>
        <v>Q1-2025</v>
      </c>
      <c r="D419" s="32">
        <v>45755</v>
      </c>
      <c r="E419" s="17">
        <f t="shared" si="54"/>
        <v>25</v>
      </c>
      <c r="F419" s="33" t="s">
        <v>647</v>
      </c>
      <c r="G419" s="33" t="s">
        <v>659</v>
      </c>
      <c r="H419" s="33" t="s">
        <v>1424</v>
      </c>
      <c r="I419" s="33" t="s">
        <v>701</v>
      </c>
      <c r="J419" s="33" t="s">
        <v>710</v>
      </c>
      <c r="K419" s="33" t="s">
        <v>726</v>
      </c>
      <c r="L419" s="33" t="s">
        <v>728</v>
      </c>
      <c r="M419" s="34" t="s">
        <v>1151</v>
      </c>
      <c r="N419" s="35">
        <v>80.59</v>
      </c>
      <c r="O419" s="35">
        <v>157.82</v>
      </c>
      <c r="P419" s="30" t="str">
        <f t="shared" si="56"/>
        <v>Low</v>
      </c>
      <c r="Q419" s="43">
        <v>0.217</v>
      </c>
      <c r="R419" s="42" t="str">
        <f t="shared" si="57"/>
        <v>High</v>
      </c>
      <c r="S419" s="17">
        <v>6</v>
      </c>
      <c r="T419" s="30">
        <v>741.43835999999999</v>
      </c>
      <c r="U419" s="30">
        <v>483.54</v>
      </c>
      <c r="V419" s="30">
        <v>257.89835999999997</v>
      </c>
      <c r="W419" s="30">
        <v>0.34783519967863541</v>
      </c>
      <c r="X419" t="str">
        <f t="shared" si="58"/>
        <v>Delayed</v>
      </c>
      <c r="Y419" t="str">
        <f t="shared" si="59"/>
        <v>Non-compliant Discount</v>
      </c>
      <c r="Z419" s="9">
        <f>MIN(Q419,'Scenario Modelling'!$B$2)</f>
        <v>0.2</v>
      </c>
      <c r="AA419">
        <f t="shared" si="60"/>
        <v>126.256</v>
      </c>
      <c r="AB419">
        <f>N419*(1+'Scenario Modelling'!$B$3)</f>
        <v>88.649000000000015</v>
      </c>
      <c r="AC419">
        <f>ROUNDUP(S419*(1+'Scenario Modelling'!$B$4),0)</f>
        <v>7</v>
      </c>
      <c r="AD419">
        <f t="shared" si="61"/>
        <v>883.79200000000003</v>
      </c>
      <c r="AE419">
        <f t="shared" si="62"/>
        <v>263.24899999999991</v>
      </c>
    </row>
    <row r="420" spans="1:31" x14ac:dyDescent="0.3">
      <c r="A420" s="36" t="s">
        <v>433</v>
      </c>
      <c r="B420" s="49">
        <v>45307</v>
      </c>
      <c r="C420" s="47" t="str">
        <f t="shared" si="55"/>
        <v>Q1-2024</v>
      </c>
      <c r="D420" s="37">
        <v>45333</v>
      </c>
      <c r="E420" s="16">
        <f t="shared" si="54"/>
        <v>26</v>
      </c>
      <c r="F420" s="38" t="s">
        <v>649</v>
      </c>
      <c r="G420" s="38" t="s">
        <v>656</v>
      </c>
      <c r="H420" s="38" t="s">
        <v>698</v>
      </c>
      <c r="I420" s="38" t="s">
        <v>703</v>
      </c>
      <c r="J420" s="38" t="s">
        <v>710</v>
      </c>
      <c r="K420" s="38" t="s">
        <v>718</v>
      </c>
      <c r="L420" s="38" t="s">
        <v>732</v>
      </c>
      <c r="M420" s="39" t="s">
        <v>1152</v>
      </c>
      <c r="N420" s="40">
        <v>504.93</v>
      </c>
      <c r="O420" s="40">
        <v>819.06</v>
      </c>
      <c r="P420" s="30" t="str">
        <f t="shared" si="56"/>
        <v>Low</v>
      </c>
      <c r="Q420" s="44">
        <v>0.22600000000000001</v>
      </c>
      <c r="R420" s="42" t="str">
        <f t="shared" si="57"/>
        <v>High</v>
      </c>
      <c r="S420" s="16">
        <v>15</v>
      </c>
      <c r="T420" s="30">
        <v>9509.2865999999995</v>
      </c>
      <c r="U420" s="30">
        <v>7573.95</v>
      </c>
      <c r="V420" s="30">
        <v>1935.3365999999996</v>
      </c>
      <c r="W420" s="30">
        <v>0.20352069312959814</v>
      </c>
      <c r="X420" t="str">
        <f t="shared" si="58"/>
        <v>Delayed</v>
      </c>
      <c r="Y420" t="str">
        <f t="shared" si="59"/>
        <v>Non-compliant Discount</v>
      </c>
      <c r="Z420" s="9">
        <f>MIN(Q420,'Scenario Modelling'!$B$2)</f>
        <v>0.2</v>
      </c>
      <c r="AA420">
        <f t="shared" si="60"/>
        <v>655.24800000000005</v>
      </c>
      <c r="AB420">
        <f>N420*(1+'Scenario Modelling'!$B$3)</f>
        <v>555.423</v>
      </c>
      <c r="AC420">
        <f>ROUNDUP(S420*(1+'Scenario Modelling'!$B$4),0)</f>
        <v>16</v>
      </c>
      <c r="AD420">
        <f t="shared" si="61"/>
        <v>10483.968000000001</v>
      </c>
      <c r="AE420">
        <f t="shared" si="62"/>
        <v>1597.2000000000007</v>
      </c>
    </row>
    <row r="421" spans="1:31" x14ac:dyDescent="0.3">
      <c r="A421" s="31" t="s">
        <v>434</v>
      </c>
      <c r="B421" s="48">
        <v>45211</v>
      </c>
      <c r="C421" s="47" t="str">
        <f t="shared" si="55"/>
        <v>Q4-2023</v>
      </c>
      <c r="D421" s="32">
        <v>45228</v>
      </c>
      <c r="E421" s="17">
        <f t="shared" si="54"/>
        <v>17</v>
      </c>
      <c r="F421" s="33" t="s">
        <v>647</v>
      </c>
      <c r="G421" s="33" t="s">
        <v>652</v>
      </c>
      <c r="H421" s="33" t="s">
        <v>694</v>
      </c>
      <c r="I421" s="33" t="s">
        <v>703</v>
      </c>
      <c r="J421" s="33" t="s">
        <v>711</v>
      </c>
      <c r="K421" s="33" t="s">
        <v>722</v>
      </c>
      <c r="L421" s="33" t="s">
        <v>730</v>
      </c>
      <c r="M421" s="34" t="s">
        <v>1153</v>
      </c>
      <c r="N421" s="35">
        <v>1102.19</v>
      </c>
      <c r="O421" s="35">
        <v>1711.16</v>
      </c>
      <c r="P421" s="30" t="str">
        <f t="shared" si="56"/>
        <v>High</v>
      </c>
      <c r="Q421" s="43">
        <v>0.151</v>
      </c>
      <c r="R421" s="42" t="str">
        <f t="shared" si="57"/>
        <v>Medium</v>
      </c>
      <c r="S421" s="17">
        <v>10</v>
      </c>
      <c r="T421" s="30">
        <v>14527.748400000002</v>
      </c>
      <c r="U421" s="30">
        <v>11021.900000000001</v>
      </c>
      <c r="V421" s="30">
        <v>3505.8484000000008</v>
      </c>
      <c r="W421" s="30">
        <v>0.24132083675127525</v>
      </c>
      <c r="X421" t="str">
        <f t="shared" si="58"/>
        <v>Delayed</v>
      </c>
      <c r="Y421" t="str">
        <f t="shared" si="59"/>
        <v>Compliant Discount</v>
      </c>
      <c r="Z421" s="9">
        <f>MIN(Q421,'Scenario Modelling'!$B$2)</f>
        <v>0.151</v>
      </c>
      <c r="AA421">
        <f t="shared" si="60"/>
        <v>1452.77484</v>
      </c>
      <c r="AB421">
        <f>N421*(1+'Scenario Modelling'!$B$3)</f>
        <v>1212.4090000000001</v>
      </c>
      <c r="AC421">
        <f>ROUNDUP(S421*(1+'Scenario Modelling'!$B$4),0)</f>
        <v>11</v>
      </c>
      <c r="AD421">
        <f t="shared" si="61"/>
        <v>15980.52324</v>
      </c>
      <c r="AE421">
        <f t="shared" si="62"/>
        <v>2644.0242399999993</v>
      </c>
    </row>
    <row r="422" spans="1:31" x14ac:dyDescent="0.3">
      <c r="A422" s="36" t="s">
        <v>435</v>
      </c>
      <c r="B422" s="49">
        <v>45713</v>
      </c>
      <c r="C422" s="47" t="str">
        <f t="shared" si="55"/>
        <v>Q1-2025</v>
      </c>
      <c r="D422" s="37">
        <v>45733</v>
      </c>
      <c r="E422" s="16">
        <f t="shared" si="54"/>
        <v>20</v>
      </c>
      <c r="F422" s="38" t="s">
        <v>648</v>
      </c>
      <c r="G422" s="38" t="s">
        <v>660</v>
      </c>
      <c r="H422" s="38" t="s">
        <v>686</v>
      </c>
      <c r="I422" s="38" t="s">
        <v>703</v>
      </c>
      <c r="J422" s="38" t="s">
        <v>709</v>
      </c>
      <c r="K422" s="38" t="s">
        <v>722</v>
      </c>
      <c r="L422" s="38" t="s">
        <v>730</v>
      </c>
      <c r="M422" s="39" t="s">
        <v>1154</v>
      </c>
      <c r="N422" s="40">
        <v>1205.26</v>
      </c>
      <c r="O422" s="40">
        <v>1696.35</v>
      </c>
      <c r="P422" s="30" t="str">
        <f t="shared" si="56"/>
        <v>High</v>
      </c>
      <c r="Q422" s="44">
        <v>1.9E-2</v>
      </c>
      <c r="R422" s="42" t="str">
        <f t="shared" si="57"/>
        <v>Low</v>
      </c>
      <c r="S422" s="16">
        <v>6</v>
      </c>
      <c r="T422" s="30">
        <v>9984.7160999999978</v>
      </c>
      <c r="U422" s="30">
        <v>7231.5599999999995</v>
      </c>
      <c r="V422" s="30">
        <v>2753.1560999999983</v>
      </c>
      <c r="W422" s="30">
        <v>0.27573704374028213</v>
      </c>
      <c r="X422" t="str">
        <f t="shared" si="58"/>
        <v>Delayed</v>
      </c>
      <c r="Y422" t="str">
        <f t="shared" si="59"/>
        <v>Compliant Discount</v>
      </c>
      <c r="Z422" s="9">
        <f>MIN(Q422,'Scenario Modelling'!$B$2)</f>
        <v>1.9E-2</v>
      </c>
      <c r="AA422">
        <f t="shared" si="60"/>
        <v>1664.1193499999999</v>
      </c>
      <c r="AB422">
        <f>N422*(1+'Scenario Modelling'!$B$3)</f>
        <v>1325.7860000000001</v>
      </c>
      <c r="AC422">
        <f>ROUNDUP(S422*(1+'Scenario Modelling'!$B$4),0)</f>
        <v>7</v>
      </c>
      <c r="AD422">
        <f t="shared" si="61"/>
        <v>11648.835449999999</v>
      </c>
      <c r="AE422">
        <f t="shared" si="62"/>
        <v>2368.3334499999992</v>
      </c>
    </row>
    <row r="423" spans="1:31" x14ac:dyDescent="0.3">
      <c r="A423" s="31" t="s">
        <v>436</v>
      </c>
      <c r="B423" s="48">
        <v>45841</v>
      </c>
      <c r="C423" s="47" t="str">
        <f t="shared" si="55"/>
        <v>Q3-2025</v>
      </c>
      <c r="D423" s="32">
        <v>45844</v>
      </c>
      <c r="E423" s="17">
        <f t="shared" si="54"/>
        <v>3</v>
      </c>
      <c r="F423" s="33" t="s">
        <v>646</v>
      </c>
      <c r="G423" s="33" t="s">
        <v>651</v>
      </c>
      <c r="H423" s="33" t="s">
        <v>665</v>
      </c>
      <c r="I423" s="33" t="s">
        <v>704</v>
      </c>
      <c r="J423" s="33" t="s">
        <v>708</v>
      </c>
      <c r="K423" s="33" t="s">
        <v>1424</v>
      </c>
      <c r="L423" s="33" t="s">
        <v>731</v>
      </c>
      <c r="M423" s="34" t="s">
        <v>1155</v>
      </c>
      <c r="N423" s="35">
        <v>1313.3</v>
      </c>
      <c r="O423" s="35">
        <v>2884.34</v>
      </c>
      <c r="P423" s="30" t="str">
        <f t="shared" si="56"/>
        <v>High</v>
      </c>
      <c r="Q423" s="43">
        <v>0.157</v>
      </c>
      <c r="R423" s="42" t="str">
        <f t="shared" si="57"/>
        <v>Medium</v>
      </c>
      <c r="S423" s="17">
        <v>42</v>
      </c>
      <c r="T423" s="30">
        <v>102122.94203999999</v>
      </c>
      <c r="U423" s="30">
        <v>55158.6</v>
      </c>
      <c r="V423" s="30">
        <v>46964.342039999996</v>
      </c>
      <c r="W423" s="30">
        <v>0.45988042551305253</v>
      </c>
      <c r="X423" t="str">
        <f t="shared" si="58"/>
        <v>On-time</v>
      </c>
      <c r="Y423" t="str">
        <f t="shared" si="59"/>
        <v>Compliant Discount</v>
      </c>
      <c r="Z423" s="9">
        <f>MIN(Q423,'Scenario Modelling'!$B$2)</f>
        <v>0.157</v>
      </c>
      <c r="AA423">
        <f t="shared" si="60"/>
        <v>2431.4986199999998</v>
      </c>
      <c r="AB423">
        <f>N423*(1+'Scenario Modelling'!$B$3)</f>
        <v>1444.63</v>
      </c>
      <c r="AC423">
        <f>ROUNDUP(S423*(1+'Scenario Modelling'!$B$4),0)</f>
        <v>45</v>
      </c>
      <c r="AD423">
        <f t="shared" si="61"/>
        <v>109417.43789999999</v>
      </c>
      <c r="AE423">
        <f t="shared" si="62"/>
        <v>44409.087899999991</v>
      </c>
    </row>
    <row r="424" spans="1:31" x14ac:dyDescent="0.3">
      <c r="A424" s="36" t="s">
        <v>437</v>
      </c>
      <c r="B424" s="49">
        <v>45915</v>
      </c>
      <c r="C424" s="47" t="str">
        <f t="shared" si="55"/>
        <v>Q3-2025</v>
      </c>
      <c r="D424" s="37">
        <v>45925</v>
      </c>
      <c r="E424" s="16">
        <f t="shared" si="54"/>
        <v>10</v>
      </c>
      <c r="F424" s="38" t="s">
        <v>647</v>
      </c>
      <c r="G424" s="38" t="s">
        <v>654</v>
      </c>
      <c r="H424" s="38" t="s">
        <v>680</v>
      </c>
      <c r="I424" s="38" t="s">
        <v>704</v>
      </c>
      <c r="J424" s="38" t="s">
        <v>707</v>
      </c>
      <c r="K424" s="38" t="s">
        <v>720</v>
      </c>
      <c r="L424" s="38" t="s">
        <v>730</v>
      </c>
      <c r="M424" s="39" t="s">
        <v>1156</v>
      </c>
      <c r="N424" s="40">
        <v>1488.91</v>
      </c>
      <c r="O424" s="40">
        <v>1483.74</v>
      </c>
      <c r="P424" s="30" t="str">
        <f t="shared" si="56"/>
        <v>Medium</v>
      </c>
      <c r="Q424" s="44">
        <v>0.16800000000000001</v>
      </c>
      <c r="R424" s="42" t="str">
        <f t="shared" si="57"/>
        <v>Medium</v>
      </c>
      <c r="S424" s="16">
        <v>24</v>
      </c>
      <c r="T424" s="30">
        <v>29627.320319999999</v>
      </c>
      <c r="U424" s="30">
        <v>35733.840000000004</v>
      </c>
      <c r="V424" s="30">
        <v>-6106.5196800000049</v>
      </c>
      <c r="W424" s="30">
        <v>-0.20611110333450519</v>
      </c>
      <c r="X424" t="str">
        <f t="shared" si="58"/>
        <v>Delayed</v>
      </c>
      <c r="Y424" t="str">
        <f t="shared" si="59"/>
        <v>Compliant Discount</v>
      </c>
      <c r="Z424" s="9">
        <f>MIN(Q424,'Scenario Modelling'!$B$2)</f>
        <v>0.16800000000000001</v>
      </c>
      <c r="AA424">
        <f t="shared" si="60"/>
        <v>1234.4716799999999</v>
      </c>
      <c r="AB424">
        <f>N424*(1+'Scenario Modelling'!$B$3)</f>
        <v>1637.8010000000002</v>
      </c>
      <c r="AC424">
        <f>ROUNDUP(S424*(1+'Scenario Modelling'!$B$4),0)</f>
        <v>26</v>
      </c>
      <c r="AD424">
        <f t="shared" si="61"/>
        <v>32096.263679999996</v>
      </c>
      <c r="AE424">
        <f t="shared" si="62"/>
        <v>-10486.562320000008</v>
      </c>
    </row>
    <row r="425" spans="1:31" x14ac:dyDescent="0.3">
      <c r="A425" s="31" t="s">
        <v>438</v>
      </c>
      <c r="B425" s="48">
        <v>45341</v>
      </c>
      <c r="C425" s="47" t="str">
        <f t="shared" si="55"/>
        <v>Q1-2024</v>
      </c>
      <c r="D425" s="32">
        <v>45357</v>
      </c>
      <c r="E425" s="17">
        <f t="shared" si="54"/>
        <v>16</v>
      </c>
      <c r="F425" s="33" t="s">
        <v>647</v>
      </c>
      <c r="G425" s="33" t="s">
        <v>659</v>
      </c>
      <c r="H425" s="33" t="s">
        <v>699</v>
      </c>
      <c r="I425" s="33" t="s">
        <v>702</v>
      </c>
      <c r="J425" s="33" t="s">
        <v>709</v>
      </c>
      <c r="K425" s="33" t="s">
        <v>719</v>
      </c>
      <c r="L425" s="33" t="s">
        <v>728</v>
      </c>
      <c r="M425" s="34" t="s">
        <v>1157</v>
      </c>
      <c r="N425" s="35">
        <v>1477.84</v>
      </c>
      <c r="O425" s="35">
        <v>3197.47</v>
      </c>
      <c r="P425" s="30" t="str">
        <f t="shared" si="56"/>
        <v>High</v>
      </c>
      <c r="Q425" s="43">
        <v>0.24299999999999999</v>
      </c>
      <c r="R425" s="42" t="str">
        <f t="shared" si="57"/>
        <v>High</v>
      </c>
      <c r="S425" s="17">
        <v>24</v>
      </c>
      <c r="T425" s="30">
        <v>58091.634960000003</v>
      </c>
      <c r="U425" s="30">
        <v>35468.159999999996</v>
      </c>
      <c r="V425" s="30">
        <v>22623.474960000007</v>
      </c>
      <c r="W425" s="30">
        <v>0.38944462443823091</v>
      </c>
      <c r="X425" t="str">
        <f t="shared" si="58"/>
        <v>Delayed</v>
      </c>
      <c r="Y425" t="str">
        <f t="shared" si="59"/>
        <v>Non-compliant Discount</v>
      </c>
      <c r="Z425" s="9">
        <f>MIN(Q425,'Scenario Modelling'!$B$2)</f>
        <v>0.2</v>
      </c>
      <c r="AA425">
        <f t="shared" si="60"/>
        <v>2557.9760000000001</v>
      </c>
      <c r="AB425">
        <f>N425*(1+'Scenario Modelling'!$B$3)</f>
        <v>1625.624</v>
      </c>
      <c r="AC425">
        <f>ROUNDUP(S425*(1+'Scenario Modelling'!$B$4),0)</f>
        <v>26</v>
      </c>
      <c r="AD425">
        <f t="shared" si="61"/>
        <v>66507.376000000004</v>
      </c>
      <c r="AE425">
        <f t="shared" si="62"/>
        <v>24241.152000000002</v>
      </c>
    </row>
    <row r="426" spans="1:31" x14ac:dyDescent="0.3">
      <c r="A426" s="36" t="s">
        <v>439</v>
      </c>
      <c r="B426" s="49">
        <v>45349</v>
      </c>
      <c r="C426" s="47" t="str">
        <f t="shared" si="55"/>
        <v>Q1-2024</v>
      </c>
      <c r="D426" s="37">
        <v>45377</v>
      </c>
      <c r="E426" s="16">
        <f t="shared" si="54"/>
        <v>28</v>
      </c>
      <c r="F426" s="38" t="s">
        <v>647</v>
      </c>
      <c r="G426" s="38" t="s">
        <v>654</v>
      </c>
      <c r="H426" s="38" t="s">
        <v>691</v>
      </c>
      <c r="I426" s="38" t="s">
        <v>702</v>
      </c>
      <c r="J426" s="38" t="s">
        <v>709</v>
      </c>
      <c r="K426" s="38" t="s">
        <v>715</v>
      </c>
      <c r="L426" s="38" t="s">
        <v>731</v>
      </c>
      <c r="M426" s="39" t="s">
        <v>1158</v>
      </c>
      <c r="N426" s="40">
        <v>1035.19</v>
      </c>
      <c r="O426" s="40">
        <v>2322.6999999999998</v>
      </c>
      <c r="P426" s="30" t="str">
        <f t="shared" si="56"/>
        <v>High</v>
      </c>
      <c r="Q426" s="44">
        <v>0.17299999999999999</v>
      </c>
      <c r="R426" s="42" t="str">
        <f t="shared" si="57"/>
        <v>Medium</v>
      </c>
      <c r="S426" s="16">
        <v>8</v>
      </c>
      <c r="T426" s="30">
        <v>15366.983199999999</v>
      </c>
      <c r="U426" s="30">
        <v>8281.52</v>
      </c>
      <c r="V426" s="30">
        <v>7085.4631999999983</v>
      </c>
      <c r="W426" s="30">
        <v>0.46108355217047409</v>
      </c>
      <c r="X426" t="str">
        <f t="shared" si="58"/>
        <v>Delayed</v>
      </c>
      <c r="Y426" t="str">
        <f t="shared" si="59"/>
        <v>Compliant Discount</v>
      </c>
      <c r="Z426" s="9">
        <f>MIN(Q426,'Scenario Modelling'!$B$2)</f>
        <v>0.17299999999999999</v>
      </c>
      <c r="AA426">
        <f t="shared" si="60"/>
        <v>1920.8728999999998</v>
      </c>
      <c r="AB426">
        <f>N426*(1+'Scenario Modelling'!$B$3)</f>
        <v>1138.7090000000001</v>
      </c>
      <c r="AC426">
        <f>ROUNDUP(S426*(1+'Scenario Modelling'!$B$4),0)</f>
        <v>9</v>
      </c>
      <c r="AD426">
        <f t="shared" si="61"/>
        <v>17287.856099999997</v>
      </c>
      <c r="AE426">
        <f t="shared" si="62"/>
        <v>7039.4750999999978</v>
      </c>
    </row>
    <row r="427" spans="1:31" x14ac:dyDescent="0.3">
      <c r="A427" s="31" t="s">
        <v>440</v>
      </c>
      <c r="B427" s="48">
        <v>45897</v>
      </c>
      <c r="C427" s="47" t="str">
        <f t="shared" si="55"/>
        <v>Q3-2025</v>
      </c>
      <c r="D427" s="32">
        <v>45905</v>
      </c>
      <c r="E427" s="17">
        <f t="shared" si="54"/>
        <v>8</v>
      </c>
      <c r="F427" s="33" t="s">
        <v>646</v>
      </c>
      <c r="G427" s="33" t="s">
        <v>651</v>
      </c>
      <c r="H427" s="33" t="s">
        <v>663</v>
      </c>
      <c r="I427" s="33" t="s">
        <v>705</v>
      </c>
      <c r="J427" s="33" t="s">
        <v>709</v>
      </c>
      <c r="K427" s="33" t="s">
        <v>718</v>
      </c>
      <c r="L427" s="33" t="s">
        <v>731</v>
      </c>
      <c r="M427" s="34" t="s">
        <v>1159</v>
      </c>
      <c r="N427" s="35">
        <v>1271.0999999999999</v>
      </c>
      <c r="O427" s="35">
        <v>1932.42</v>
      </c>
      <c r="P427" s="30" t="str">
        <f t="shared" si="56"/>
        <v>High</v>
      </c>
      <c r="Q427" s="43">
        <v>0.25</v>
      </c>
      <c r="R427" s="42" t="str">
        <f t="shared" si="57"/>
        <v>High</v>
      </c>
      <c r="S427" s="17">
        <v>21</v>
      </c>
      <c r="T427" s="30">
        <v>30435.614999999998</v>
      </c>
      <c r="U427" s="30">
        <v>26693.1</v>
      </c>
      <c r="V427" s="30">
        <v>3742.5149999999994</v>
      </c>
      <c r="W427" s="30">
        <v>0.12296498690760807</v>
      </c>
      <c r="X427" t="str">
        <f t="shared" si="58"/>
        <v>Delayed</v>
      </c>
      <c r="Y427" t="str">
        <f t="shared" si="59"/>
        <v>Non-compliant Discount</v>
      </c>
      <c r="Z427" s="9">
        <f>MIN(Q427,'Scenario Modelling'!$B$2)</f>
        <v>0.2</v>
      </c>
      <c r="AA427">
        <f t="shared" si="60"/>
        <v>1545.9360000000001</v>
      </c>
      <c r="AB427">
        <f>N427*(1+'Scenario Modelling'!$B$3)</f>
        <v>1398.21</v>
      </c>
      <c r="AC427">
        <f>ROUNDUP(S427*(1+'Scenario Modelling'!$B$4),0)</f>
        <v>23</v>
      </c>
      <c r="AD427">
        <f t="shared" si="61"/>
        <v>35556.528000000006</v>
      </c>
      <c r="AE427">
        <f t="shared" si="62"/>
        <v>3397.6980000000026</v>
      </c>
    </row>
    <row r="428" spans="1:31" x14ac:dyDescent="0.3">
      <c r="A428" s="36" t="s">
        <v>441</v>
      </c>
      <c r="B428" s="49">
        <v>45522</v>
      </c>
      <c r="C428" s="47" t="str">
        <f t="shared" si="55"/>
        <v>Q3-2024</v>
      </c>
      <c r="D428" s="37">
        <v>45547</v>
      </c>
      <c r="E428" s="16">
        <f t="shared" si="54"/>
        <v>25</v>
      </c>
      <c r="F428" s="38" t="s">
        <v>647</v>
      </c>
      <c r="G428" s="38" t="s">
        <v>654</v>
      </c>
      <c r="H428" s="38" t="s">
        <v>691</v>
      </c>
      <c r="I428" s="38" t="s">
        <v>704</v>
      </c>
      <c r="J428" s="38" t="s">
        <v>709</v>
      </c>
      <c r="K428" s="38" t="s">
        <v>712</v>
      </c>
      <c r="L428" s="38" t="s">
        <v>730</v>
      </c>
      <c r="M428" s="39" t="s">
        <v>1160</v>
      </c>
      <c r="N428" s="40">
        <v>1154.03</v>
      </c>
      <c r="O428" s="40">
        <v>1590.36</v>
      </c>
      <c r="P428" s="30" t="str">
        <f t="shared" si="56"/>
        <v>Medium</v>
      </c>
      <c r="Q428" s="44">
        <v>0.3</v>
      </c>
      <c r="R428" s="42" t="str">
        <f t="shared" si="57"/>
        <v>High</v>
      </c>
      <c r="S428" s="16">
        <v>18</v>
      </c>
      <c r="T428" s="30">
        <v>20038.536</v>
      </c>
      <c r="U428" s="30">
        <v>20772.54</v>
      </c>
      <c r="V428" s="30">
        <v>-734.00400000000081</v>
      </c>
      <c r="W428" s="30">
        <v>-3.6629622044245191E-2</v>
      </c>
      <c r="X428" t="str">
        <f t="shared" si="58"/>
        <v>Delayed</v>
      </c>
      <c r="Y428" t="str">
        <f t="shared" si="59"/>
        <v>Non-compliant Discount</v>
      </c>
      <c r="Z428" s="9">
        <f>MIN(Q428,'Scenario Modelling'!$B$2)</f>
        <v>0.2</v>
      </c>
      <c r="AA428">
        <f t="shared" si="60"/>
        <v>1272.288</v>
      </c>
      <c r="AB428">
        <f>N428*(1+'Scenario Modelling'!$B$3)</f>
        <v>1269.433</v>
      </c>
      <c r="AC428">
        <f>ROUNDUP(S428*(1+'Scenario Modelling'!$B$4),0)</f>
        <v>19</v>
      </c>
      <c r="AD428">
        <f t="shared" si="61"/>
        <v>24173.472000000002</v>
      </c>
      <c r="AE428">
        <f t="shared" si="62"/>
        <v>54.245000000000346</v>
      </c>
    </row>
    <row r="429" spans="1:31" x14ac:dyDescent="0.3">
      <c r="A429" s="31" t="s">
        <v>442</v>
      </c>
      <c r="B429" s="48">
        <v>45347</v>
      </c>
      <c r="C429" s="47" t="str">
        <f t="shared" si="55"/>
        <v>Q1-2024</v>
      </c>
      <c r="D429" s="32">
        <v>45360</v>
      </c>
      <c r="E429" s="17">
        <f t="shared" si="54"/>
        <v>13</v>
      </c>
      <c r="F429" s="33" t="s">
        <v>649</v>
      </c>
      <c r="G429" s="33" t="s">
        <v>657</v>
      </c>
      <c r="H429" s="33" t="s">
        <v>673</v>
      </c>
      <c r="I429" s="33" t="s">
        <v>705</v>
      </c>
      <c r="J429" s="33" t="s">
        <v>710</v>
      </c>
      <c r="K429" s="33" t="s">
        <v>718</v>
      </c>
      <c r="L429" s="33" t="s">
        <v>732</v>
      </c>
      <c r="M429" s="34" t="s">
        <v>1161</v>
      </c>
      <c r="N429" s="35">
        <v>322.44</v>
      </c>
      <c r="O429" s="35">
        <v>395.61</v>
      </c>
      <c r="P429" s="30" t="str">
        <f t="shared" si="56"/>
        <v>Low</v>
      </c>
      <c r="Q429" s="43">
        <v>0</v>
      </c>
      <c r="R429" s="42" t="str">
        <f t="shared" si="57"/>
        <v>Low</v>
      </c>
      <c r="S429" s="17">
        <v>34</v>
      </c>
      <c r="T429" s="30">
        <v>13450.74</v>
      </c>
      <c r="U429" s="30">
        <v>10962.96</v>
      </c>
      <c r="V429" s="30">
        <v>2487.7800000000007</v>
      </c>
      <c r="W429" s="30">
        <v>0.18495487980586947</v>
      </c>
      <c r="X429" t="str">
        <f t="shared" si="58"/>
        <v>Delayed</v>
      </c>
      <c r="Y429" t="str">
        <f t="shared" si="59"/>
        <v>Compliant Discount</v>
      </c>
      <c r="Z429" s="9">
        <f>MIN(Q429,'Scenario Modelling'!$B$2)</f>
        <v>0</v>
      </c>
      <c r="AA429">
        <f t="shared" si="60"/>
        <v>395.61</v>
      </c>
      <c r="AB429">
        <f>N429*(1+'Scenario Modelling'!$B$3)</f>
        <v>354.68400000000003</v>
      </c>
      <c r="AC429">
        <f>ROUNDUP(S429*(1+'Scenario Modelling'!$B$4),0)</f>
        <v>36</v>
      </c>
      <c r="AD429">
        <f t="shared" si="61"/>
        <v>14241.960000000001</v>
      </c>
      <c r="AE429">
        <f t="shared" si="62"/>
        <v>1473.3359999999996</v>
      </c>
    </row>
    <row r="430" spans="1:31" x14ac:dyDescent="0.3">
      <c r="A430" s="36" t="s">
        <v>443</v>
      </c>
      <c r="B430" s="49">
        <v>45784</v>
      </c>
      <c r="C430" s="47" t="str">
        <f t="shared" si="55"/>
        <v>Q2-2025</v>
      </c>
      <c r="D430" s="37">
        <v>45790</v>
      </c>
      <c r="E430" s="16">
        <f t="shared" si="54"/>
        <v>6</v>
      </c>
      <c r="F430" s="38" t="s">
        <v>647</v>
      </c>
      <c r="G430" s="38" t="s">
        <v>654</v>
      </c>
      <c r="H430" s="38" t="s">
        <v>668</v>
      </c>
      <c r="I430" s="38" t="s">
        <v>706</v>
      </c>
      <c r="J430" s="38" t="s">
        <v>711</v>
      </c>
      <c r="K430" s="38" t="s">
        <v>713</v>
      </c>
      <c r="L430" s="38" t="s">
        <v>730</v>
      </c>
      <c r="M430" s="39" t="s">
        <v>1162</v>
      </c>
      <c r="N430" s="40">
        <v>935.98</v>
      </c>
      <c r="O430" s="40">
        <v>2077.69</v>
      </c>
      <c r="P430" s="30" t="str">
        <f t="shared" si="56"/>
        <v>High</v>
      </c>
      <c r="Q430" s="44">
        <v>0.17499999999999999</v>
      </c>
      <c r="R430" s="42" t="str">
        <f t="shared" si="57"/>
        <v>Medium</v>
      </c>
      <c r="S430" s="16">
        <v>24</v>
      </c>
      <c r="T430" s="30">
        <v>41138.261999999995</v>
      </c>
      <c r="U430" s="30">
        <v>22463.52</v>
      </c>
      <c r="V430" s="30">
        <v>18674.741999999995</v>
      </c>
      <c r="W430" s="30">
        <v>0.45395067978321491</v>
      </c>
      <c r="X430" t="str">
        <f t="shared" si="58"/>
        <v>On-time</v>
      </c>
      <c r="Y430" t="str">
        <f t="shared" si="59"/>
        <v>Compliant Discount</v>
      </c>
      <c r="Z430" s="9">
        <f>MIN(Q430,'Scenario Modelling'!$B$2)</f>
        <v>0.17499999999999999</v>
      </c>
      <c r="AA430">
        <f t="shared" si="60"/>
        <v>1714.0942499999999</v>
      </c>
      <c r="AB430">
        <f>N430*(1+'Scenario Modelling'!$B$3)</f>
        <v>1029.5780000000002</v>
      </c>
      <c r="AC430">
        <f>ROUNDUP(S430*(1+'Scenario Modelling'!$B$4),0)</f>
        <v>26</v>
      </c>
      <c r="AD430">
        <f t="shared" si="61"/>
        <v>44566.450499999999</v>
      </c>
      <c r="AE430">
        <f t="shared" si="62"/>
        <v>17797.422499999993</v>
      </c>
    </row>
    <row r="431" spans="1:31" x14ac:dyDescent="0.3">
      <c r="A431" s="31" t="s">
        <v>444</v>
      </c>
      <c r="B431" s="48">
        <v>45597</v>
      </c>
      <c r="C431" s="47" t="str">
        <f t="shared" si="55"/>
        <v>Q4-2024</v>
      </c>
      <c r="D431" s="32">
        <v>45608</v>
      </c>
      <c r="E431" s="17">
        <f t="shared" si="54"/>
        <v>11</v>
      </c>
      <c r="F431" s="33" t="s">
        <v>649</v>
      </c>
      <c r="G431" s="33" t="s">
        <v>656</v>
      </c>
      <c r="H431" s="33" t="s">
        <v>698</v>
      </c>
      <c r="I431" s="33" t="s">
        <v>704</v>
      </c>
      <c r="J431" s="33" t="s">
        <v>708</v>
      </c>
      <c r="K431" s="33" t="s">
        <v>717</v>
      </c>
      <c r="L431" s="33" t="s">
        <v>728</v>
      </c>
      <c r="M431" s="34" t="s">
        <v>1163</v>
      </c>
      <c r="N431" s="35">
        <v>599.84</v>
      </c>
      <c r="O431" s="35">
        <v>1330.85</v>
      </c>
      <c r="P431" s="30" t="str">
        <f t="shared" si="56"/>
        <v>Medium</v>
      </c>
      <c r="Q431" s="43">
        <v>0.115</v>
      </c>
      <c r="R431" s="42" t="str">
        <f t="shared" si="57"/>
        <v>Medium</v>
      </c>
      <c r="S431" s="17">
        <v>11</v>
      </c>
      <c r="T431" s="30">
        <v>12955.824749999998</v>
      </c>
      <c r="U431" s="30">
        <v>6598.2400000000007</v>
      </c>
      <c r="V431" s="30">
        <v>6357.5847499999973</v>
      </c>
      <c r="W431" s="30">
        <v>0.49071246892252063</v>
      </c>
      <c r="X431" t="str">
        <f t="shared" si="58"/>
        <v>Delayed</v>
      </c>
      <c r="Y431" t="str">
        <f t="shared" si="59"/>
        <v>Compliant Discount</v>
      </c>
      <c r="Z431" s="9">
        <f>MIN(Q431,'Scenario Modelling'!$B$2)</f>
        <v>0.115</v>
      </c>
      <c r="AA431">
        <f t="shared" si="60"/>
        <v>1177.80225</v>
      </c>
      <c r="AB431">
        <f>N431*(1+'Scenario Modelling'!$B$3)</f>
        <v>659.82400000000007</v>
      </c>
      <c r="AC431">
        <f>ROUNDUP(S431*(1+'Scenario Modelling'!$B$4),0)</f>
        <v>12</v>
      </c>
      <c r="AD431">
        <f t="shared" si="61"/>
        <v>14133.627</v>
      </c>
      <c r="AE431">
        <f t="shared" si="62"/>
        <v>6215.7389999999987</v>
      </c>
    </row>
    <row r="432" spans="1:31" x14ac:dyDescent="0.3">
      <c r="A432" s="36" t="s">
        <v>445</v>
      </c>
      <c r="B432" s="49">
        <v>45654</v>
      </c>
      <c r="C432" s="47" t="str">
        <f t="shared" si="55"/>
        <v>Q4-2024</v>
      </c>
      <c r="D432" s="37">
        <v>45665</v>
      </c>
      <c r="E432" s="16">
        <f t="shared" si="54"/>
        <v>11</v>
      </c>
      <c r="F432" s="38" t="s">
        <v>647</v>
      </c>
      <c r="G432" s="38" t="s">
        <v>659</v>
      </c>
      <c r="H432" s="38" t="s">
        <v>676</v>
      </c>
      <c r="I432" s="38" t="s">
        <v>706</v>
      </c>
      <c r="J432" s="38" t="s">
        <v>708</v>
      </c>
      <c r="K432" s="38" t="s">
        <v>723</v>
      </c>
      <c r="L432" s="38" t="s">
        <v>731</v>
      </c>
      <c r="M432" s="39" t="s">
        <v>1164</v>
      </c>
      <c r="N432" s="40">
        <v>1201.31</v>
      </c>
      <c r="O432" s="40">
        <v>2764.65</v>
      </c>
      <c r="P432" s="30" t="str">
        <f t="shared" si="56"/>
        <v>High</v>
      </c>
      <c r="Q432" s="44">
        <v>0</v>
      </c>
      <c r="R432" s="42" t="str">
        <f t="shared" si="57"/>
        <v>Low</v>
      </c>
      <c r="S432" s="16">
        <v>21</v>
      </c>
      <c r="T432" s="30">
        <v>58057.65</v>
      </c>
      <c r="U432" s="30">
        <v>25227.51</v>
      </c>
      <c r="V432" s="30">
        <v>32830.14</v>
      </c>
      <c r="W432" s="30">
        <v>0.56547483406579491</v>
      </c>
      <c r="X432" t="str">
        <f t="shared" si="58"/>
        <v>Delayed</v>
      </c>
      <c r="Y432" t="str">
        <f t="shared" si="59"/>
        <v>Compliant Discount</v>
      </c>
      <c r="Z432" s="9">
        <f>MIN(Q432,'Scenario Modelling'!$B$2)</f>
        <v>0</v>
      </c>
      <c r="AA432">
        <f t="shared" si="60"/>
        <v>2764.65</v>
      </c>
      <c r="AB432">
        <f>N432*(1+'Scenario Modelling'!$B$3)</f>
        <v>1321.441</v>
      </c>
      <c r="AC432">
        <f>ROUNDUP(S432*(1+'Scenario Modelling'!$B$4),0)</f>
        <v>23</v>
      </c>
      <c r="AD432">
        <f t="shared" si="61"/>
        <v>63586.950000000004</v>
      </c>
      <c r="AE432">
        <f t="shared" si="62"/>
        <v>33193.807000000001</v>
      </c>
    </row>
    <row r="433" spans="1:31" x14ac:dyDescent="0.3">
      <c r="A433" s="31" t="s">
        <v>446</v>
      </c>
      <c r="B433" s="48">
        <v>45220</v>
      </c>
      <c r="C433" s="47" t="str">
        <f t="shared" si="55"/>
        <v>Q4-2023</v>
      </c>
      <c r="D433" s="32">
        <v>45220</v>
      </c>
      <c r="E433" s="17">
        <f t="shared" si="54"/>
        <v>0</v>
      </c>
      <c r="F433" s="33" t="s">
        <v>649</v>
      </c>
      <c r="G433" s="33" t="s">
        <v>658</v>
      </c>
      <c r="H433" s="33" t="s">
        <v>693</v>
      </c>
      <c r="I433" s="33" t="s">
        <v>706</v>
      </c>
      <c r="J433" s="33" t="s">
        <v>710</v>
      </c>
      <c r="K433" s="33" t="s">
        <v>713</v>
      </c>
      <c r="L433" s="33" t="s">
        <v>732</v>
      </c>
      <c r="M433" s="34" t="s">
        <v>1165</v>
      </c>
      <c r="N433" s="35">
        <v>384.19</v>
      </c>
      <c r="O433" s="35">
        <v>278.35000000000002</v>
      </c>
      <c r="P433" s="30" t="str">
        <f t="shared" si="56"/>
        <v>Low</v>
      </c>
      <c r="Q433" s="43">
        <v>5.6000000000000001E-2</v>
      </c>
      <c r="R433" s="42" t="str">
        <f t="shared" si="57"/>
        <v>Low</v>
      </c>
      <c r="S433" s="17">
        <v>10</v>
      </c>
      <c r="T433" s="30">
        <v>2627.6239999999998</v>
      </c>
      <c r="U433" s="30">
        <v>3841.9</v>
      </c>
      <c r="V433" s="30">
        <v>-1214.2760000000003</v>
      </c>
      <c r="W433" s="30">
        <v>-0.46211938998882657</v>
      </c>
      <c r="X433" t="str">
        <f t="shared" si="58"/>
        <v>On-time</v>
      </c>
      <c r="Y433" t="str">
        <f t="shared" si="59"/>
        <v>Compliant Discount</v>
      </c>
      <c r="Z433" s="9">
        <f>MIN(Q433,'Scenario Modelling'!$B$2)</f>
        <v>5.6000000000000001E-2</v>
      </c>
      <c r="AA433">
        <f t="shared" si="60"/>
        <v>262.76240000000001</v>
      </c>
      <c r="AB433">
        <f>N433*(1+'Scenario Modelling'!$B$3)</f>
        <v>422.60900000000004</v>
      </c>
      <c r="AC433">
        <f>ROUNDUP(S433*(1+'Scenario Modelling'!$B$4),0)</f>
        <v>11</v>
      </c>
      <c r="AD433">
        <f t="shared" si="61"/>
        <v>2890.3864000000003</v>
      </c>
      <c r="AE433">
        <f t="shared" si="62"/>
        <v>-1758.3126000000002</v>
      </c>
    </row>
    <row r="434" spans="1:31" x14ac:dyDescent="0.3">
      <c r="A434" s="36" t="s">
        <v>447</v>
      </c>
      <c r="B434" s="49">
        <v>45636</v>
      </c>
      <c r="C434" s="47" t="str">
        <f t="shared" si="55"/>
        <v>Q4-2024</v>
      </c>
      <c r="D434" s="37">
        <v>45645</v>
      </c>
      <c r="E434" s="16">
        <f t="shared" si="54"/>
        <v>9</v>
      </c>
      <c r="F434" s="38" t="s">
        <v>646</v>
      </c>
      <c r="G434" s="38" t="s">
        <v>651</v>
      </c>
      <c r="H434" s="38" t="s">
        <v>665</v>
      </c>
      <c r="I434" s="38" t="s">
        <v>701</v>
      </c>
      <c r="J434" s="38" t="s">
        <v>707</v>
      </c>
      <c r="K434" s="38" t="s">
        <v>719</v>
      </c>
      <c r="L434" s="38" t="s">
        <v>732</v>
      </c>
      <c r="M434" s="39" t="s">
        <v>1166</v>
      </c>
      <c r="N434" s="40">
        <v>488.68</v>
      </c>
      <c r="O434" s="40">
        <v>984.36</v>
      </c>
      <c r="P434" s="30" t="str">
        <f t="shared" si="56"/>
        <v>Medium</v>
      </c>
      <c r="Q434" s="44">
        <v>5.8999999999999997E-2</v>
      </c>
      <c r="R434" s="42" t="str">
        <f t="shared" si="57"/>
        <v>Low</v>
      </c>
      <c r="S434" s="16">
        <v>14</v>
      </c>
      <c r="T434" s="30">
        <v>12967.958640000001</v>
      </c>
      <c r="U434" s="30">
        <v>6841.52</v>
      </c>
      <c r="V434" s="30">
        <v>6126.4386400000003</v>
      </c>
      <c r="W434" s="30">
        <v>0.47242891576649876</v>
      </c>
      <c r="X434" t="str">
        <f t="shared" si="58"/>
        <v>Delayed</v>
      </c>
      <c r="Y434" t="str">
        <f t="shared" si="59"/>
        <v>Compliant Discount</v>
      </c>
      <c r="Z434" s="9">
        <f>MIN(Q434,'Scenario Modelling'!$B$2)</f>
        <v>5.8999999999999997E-2</v>
      </c>
      <c r="AA434">
        <f t="shared" si="60"/>
        <v>926.28276000000005</v>
      </c>
      <c r="AB434">
        <f>N434*(1+'Scenario Modelling'!$B$3)</f>
        <v>537.548</v>
      </c>
      <c r="AC434">
        <f>ROUNDUP(S434*(1+'Scenario Modelling'!$B$4),0)</f>
        <v>15</v>
      </c>
      <c r="AD434">
        <f t="shared" si="61"/>
        <v>13894.241400000001</v>
      </c>
      <c r="AE434">
        <f t="shared" si="62"/>
        <v>5831.0214000000005</v>
      </c>
    </row>
    <row r="435" spans="1:31" x14ac:dyDescent="0.3">
      <c r="A435" s="31" t="s">
        <v>448</v>
      </c>
      <c r="B435" s="48">
        <v>45542</v>
      </c>
      <c r="C435" s="47" t="str">
        <f t="shared" si="55"/>
        <v>Q3-2024</v>
      </c>
      <c r="D435" s="32">
        <v>45553</v>
      </c>
      <c r="E435" s="17">
        <f t="shared" si="54"/>
        <v>11</v>
      </c>
      <c r="F435" s="33" t="s">
        <v>647</v>
      </c>
      <c r="G435" s="33" t="s">
        <v>659</v>
      </c>
      <c r="H435" s="33" t="s">
        <v>699</v>
      </c>
      <c r="I435" s="33" t="s">
        <v>704</v>
      </c>
      <c r="J435" s="33" t="s">
        <v>710</v>
      </c>
      <c r="K435" s="33" t="s">
        <v>719</v>
      </c>
      <c r="L435" s="33" t="s">
        <v>729</v>
      </c>
      <c r="M435" s="34" t="s">
        <v>1167</v>
      </c>
      <c r="N435" s="35">
        <v>181.74</v>
      </c>
      <c r="O435" s="35">
        <v>190.84</v>
      </c>
      <c r="P435" s="30" t="str">
        <f t="shared" si="56"/>
        <v>Low</v>
      </c>
      <c r="Q435" s="43">
        <v>0.214</v>
      </c>
      <c r="R435" s="42" t="str">
        <f t="shared" si="57"/>
        <v>High</v>
      </c>
      <c r="S435" s="17">
        <v>13</v>
      </c>
      <c r="T435" s="30">
        <v>1950.0031200000001</v>
      </c>
      <c r="U435" s="30">
        <v>2362.62</v>
      </c>
      <c r="V435" s="30">
        <v>-412.61687999999981</v>
      </c>
      <c r="W435" s="30">
        <v>-0.21159806144310159</v>
      </c>
      <c r="X435" t="str">
        <f t="shared" si="58"/>
        <v>Delayed</v>
      </c>
      <c r="Y435" t="str">
        <f t="shared" si="59"/>
        <v>Non-compliant Discount</v>
      </c>
      <c r="Z435" s="9">
        <f>MIN(Q435,'Scenario Modelling'!$B$2)</f>
        <v>0.2</v>
      </c>
      <c r="AA435">
        <f t="shared" si="60"/>
        <v>152.672</v>
      </c>
      <c r="AB435">
        <f>N435*(1+'Scenario Modelling'!$B$3)</f>
        <v>199.91400000000002</v>
      </c>
      <c r="AC435">
        <f>ROUNDUP(S435*(1+'Scenario Modelling'!$B$4),0)</f>
        <v>14</v>
      </c>
      <c r="AD435">
        <f t="shared" si="61"/>
        <v>2137.4079999999999</v>
      </c>
      <c r="AE435">
        <f t="shared" si="62"/>
        <v>-661.38800000000026</v>
      </c>
    </row>
    <row r="436" spans="1:31" x14ac:dyDescent="0.3">
      <c r="A436" s="36" t="s">
        <v>449</v>
      </c>
      <c r="B436" s="49">
        <v>45217</v>
      </c>
      <c r="C436" s="47" t="str">
        <f t="shared" si="55"/>
        <v>Q4-2023</v>
      </c>
      <c r="D436" s="37">
        <v>45219</v>
      </c>
      <c r="E436" s="16">
        <f t="shared" si="54"/>
        <v>2</v>
      </c>
      <c r="F436" s="38" t="s">
        <v>646</v>
      </c>
      <c r="G436" s="38" t="s">
        <v>650</v>
      </c>
      <c r="H436" s="38" t="s">
        <v>662</v>
      </c>
      <c r="I436" s="38" t="s">
        <v>704</v>
      </c>
      <c r="J436" s="38" t="s">
        <v>707</v>
      </c>
      <c r="K436" s="38" t="s">
        <v>713</v>
      </c>
      <c r="L436" s="38" t="s">
        <v>730</v>
      </c>
      <c r="M436" s="39" t="s">
        <v>1168</v>
      </c>
      <c r="N436" s="40">
        <v>774.12</v>
      </c>
      <c r="O436" s="40">
        <v>908.3</v>
      </c>
      <c r="P436" s="30" t="str">
        <f t="shared" si="56"/>
        <v>Medium</v>
      </c>
      <c r="Q436" s="44">
        <v>0</v>
      </c>
      <c r="R436" s="42" t="str">
        <f t="shared" si="57"/>
        <v>Low</v>
      </c>
      <c r="S436" s="16">
        <v>30</v>
      </c>
      <c r="T436" s="30">
        <v>27249</v>
      </c>
      <c r="U436" s="30">
        <v>23223.599999999999</v>
      </c>
      <c r="V436" s="30">
        <v>4025.4000000000015</v>
      </c>
      <c r="W436" s="30">
        <v>0.14772652207420461</v>
      </c>
      <c r="X436" t="str">
        <f t="shared" si="58"/>
        <v>On-time</v>
      </c>
      <c r="Y436" t="str">
        <f t="shared" si="59"/>
        <v>Compliant Discount</v>
      </c>
      <c r="Z436" s="9">
        <f>MIN(Q436,'Scenario Modelling'!$B$2)</f>
        <v>0</v>
      </c>
      <c r="AA436">
        <f t="shared" si="60"/>
        <v>908.3</v>
      </c>
      <c r="AB436">
        <f>N436*(1+'Scenario Modelling'!$B$3)</f>
        <v>851.53200000000004</v>
      </c>
      <c r="AC436">
        <f>ROUNDUP(S436*(1+'Scenario Modelling'!$B$4),0)</f>
        <v>32</v>
      </c>
      <c r="AD436">
        <f t="shared" si="61"/>
        <v>29065.599999999999</v>
      </c>
      <c r="AE436">
        <f t="shared" si="62"/>
        <v>1816.5759999999973</v>
      </c>
    </row>
    <row r="437" spans="1:31" x14ac:dyDescent="0.3">
      <c r="A437" s="31" t="s">
        <v>450</v>
      </c>
      <c r="B437" s="48">
        <v>45650</v>
      </c>
      <c r="C437" s="47" t="str">
        <f t="shared" si="55"/>
        <v>Q4-2024</v>
      </c>
      <c r="D437" s="32">
        <v>45670</v>
      </c>
      <c r="E437" s="17">
        <f t="shared" si="54"/>
        <v>20</v>
      </c>
      <c r="F437" s="33" t="s">
        <v>647</v>
      </c>
      <c r="G437" s="33" t="s">
        <v>654</v>
      </c>
      <c r="H437" s="33" t="s">
        <v>668</v>
      </c>
      <c r="I437" s="33" t="s">
        <v>701</v>
      </c>
      <c r="J437" s="33" t="s">
        <v>709</v>
      </c>
      <c r="K437" s="33" t="s">
        <v>726</v>
      </c>
      <c r="L437" s="33" t="s">
        <v>729</v>
      </c>
      <c r="M437" s="34" t="s">
        <v>1169</v>
      </c>
      <c r="N437" s="35">
        <v>126.15</v>
      </c>
      <c r="O437" s="35">
        <v>284.23</v>
      </c>
      <c r="P437" s="30" t="str">
        <f t="shared" si="56"/>
        <v>Low</v>
      </c>
      <c r="Q437" s="43">
        <v>0.113</v>
      </c>
      <c r="R437" s="42" t="str">
        <f t="shared" si="57"/>
        <v>Medium</v>
      </c>
      <c r="S437" s="17">
        <v>22</v>
      </c>
      <c r="T437" s="30">
        <v>5546.4642200000008</v>
      </c>
      <c r="U437" s="30">
        <v>2775.3</v>
      </c>
      <c r="V437" s="30">
        <v>2771.1642200000006</v>
      </c>
      <c r="W437" s="30">
        <v>0.49962716968541088</v>
      </c>
      <c r="X437" t="str">
        <f t="shared" si="58"/>
        <v>Delayed</v>
      </c>
      <c r="Y437" t="str">
        <f t="shared" si="59"/>
        <v>Compliant Discount</v>
      </c>
      <c r="Z437" s="9">
        <f>MIN(Q437,'Scenario Modelling'!$B$2)</f>
        <v>0.113</v>
      </c>
      <c r="AA437">
        <f t="shared" si="60"/>
        <v>252.11201000000003</v>
      </c>
      <c r="AB437">
        <f>N437*(1+'Scenario Modelling'!$B$3)</f>
        <v>138.76500000000001</v>
      </c>
      <c r="AC437">
        <f>ROUNDUP(S437*(1+'Scenario Modelling'!$B$4),0)</f>
        <v>24</v>
      </c>
      <c r="AD437">
        <f t="shared" si="61"/>
        <v>6050.6882400000004</v>
      </c>
      <c r="AE437">
        <f t="shared" si="62"/>
        <v>2720.3282400000003</v>
      </c>
    </row>
    <row r="438" spans="1:31" x14ac:dyDescent="0.3">
      <c r="A438" s="36" t="s">
        <v>451</v>
      </c>
      <c r="B438" s="49">
        <v>45037</v>
      </c>
      <c r="C438" s="47" t="str">
        <f t="shared" si="55"/>
        <v>Q2-2023</v>
      </c>
      <c r="D438" s="37">
        <v>45044</v>
      </c>
      <c r="E438" s="16">
        <f t="shared" si="54"/>
        <v>7</v>
      </c>
      <c r="F438" s="38" t="s">
        <v>647</v>
      </c>
      <c r="G438" s="38" t="s">
        <v>652</v>
      </c>
      <c r="H438" s="38" t="s">
        <v>694</v>
      </c>
      <c r="I438" s="38" t="s">
        <v>705</v>
      </c>
      <c r="J438" s="38" t="s">
        <v>711</v>
      </c>
      <c r="K438" s="38" t="s">
        <v>724</v>
      </c>
      <c r="L438" s="38" t="s">
        <v>727</v>
      </c>
      <c r="M438" s="39" t="s">
        <v>1170</v>
      </c>
      <c r="N438" s="40">
        <v>607.04</v>
      </c>
      <c r="O438" s="40">
        <v>1229.3399999999999</v>
      </c>
      <c r="P438" s="30" t="str">
        <f t="shared" si="56"/>
        <v>Medium</v>
      </c>
      <c r="Q438" s="44">
        <v>0.14699999999999999</v>
      </c>
      <c r="R438" s="42" t="str">
        <f t="shared" si="57"/>
        <v>Medium</v>
      </c>
      <c r="S438" s="16">
        <v>7</v>
      </c>
      <c r="T438" s="30">
        <v>7340.3891399999993</v>
      </c>
      <c r="U438" s="30">
        <v>4249.28</v>
      </c>
      <c r="V438" s="30">
        <v>3091.1091399999996</v>
      </c>
      <c r="W438" s="30">
        <v>0.42110970972310058</v>
      </c>
      <c r="X438" t="str">
        <f t="shared" si="58"/>
        <v>On-time</v>
      </c>
      <c r="Y438" t="str">
        <f t="shared" si="59"/>
        <v>Compliant Discount</v>
      </c>
      <c r="Z438" s="9">
        <f>MIN(Q438,'Scenario Modelling'!$B$2)</f>
        <v>0.14699999999999999</v>
      </c>
      <c r="AA438">
        <f t="shared" si="60"/>
        <v>1048.6270199999999</v>
      </c>
      <c r="AB438">
        <f>N438*(1+'Scenario Modelling'!$B$3)</f>
        <v>667.74400000000003</v>
      </c>
      <c r="AC438">
        <f>ROUNDUP(S438*(1+'Scenario Modelling'!$B$4),0)</f>
        <v>8</v>
      </c>
      <c r="AD438">
        <f t="shared" si="61"/>
        <v>8389.0161599999992</v>
      </c>
      <c r="AE438">
        <f t="shared" si="62"/>
        <v>3047.064159999999</v>
      </c>
    </row>
    <row r="439" spans="1:31" x14ac:dyDescent="0.3">
      <c r="A439" s="31" t="s">
        <v>452</v>
      </c>
      <c r="B439" s="48">
        <v>45290</v>
      </c>
      <c r="C439" s="47" t="str">
        <f t="shared" si="55"/>
        <v>Q4-2023</v>
      </c>
      <c r="D439" s="32">
        <v>45299</v>
      </c>
      <c r="E439" s="17">
        <f t="shared" si="54"/>
        <v>9</v>
      </c>
      <c r="F439" s="33" t="s">
        <v>649</v>
      </c>
      <c r="G439" s="33" t="s">
        <v>657</v>
      </c>
      <c r="H439" s="33" t="s">
        <v>673</v>
      </c>
      <c r="I439" s="33" t="s">
        <v>704</v>
      </c>
      <c r="J439" s="33" t="s">
        <v>709</v>
      </c>
      <c r="K439" s="33" t="s">
        <v>716</v>
      </c>
      <c r="L439" s="33" t="s">
        <v>733</v>
      </c>
      <c r="M439" s="34" t="s">
        <v>1171</v>
      </c>
      <c r="N439" s="35">
        <v>861.1</v>
      </c>
      <c r="O439" s="35">
        <v>1224.72</v>
      </c>
      <c r="P439" s="30" t="str">
        <f t="shared" si="56"/>
        <v>Medium</v>
      </c>
      <c r="Q439" s="43">
        <v>0.17399999999999999</v>
      </c>
      <c r="R439" s="42" t="str">
        <f t="shared" si="57"/>
        <v>Medium</v>
      </c>
      <c r="S439" s="17">
        <v>24</v>
      </c>
      <c r="T439" s="30">
        <v>24278.849280000002</v>
      </c>
      <c r="U439" s="30">
        <v>20666.400000000001</v>
      </c>
      <c r="V439" s="30">
        <v>3612.4492800000007</v>
      </c>
      <c r="W439" s="30">
        <v>0.14878997098827909</v>
      </c>
      <c r="X439" t="str">
        <f t="shared" si="58"/>
        <v>Delayed</v>
      </c>
      <c r="Y439" t="str">
        <f t="shared" si="59"/>
        <v>Compliant Discount</v>
      </c>
      <c r="Z439" s="9">
        <f>MIN(Q439,'Scenario Modelling'!$B$2)</f>
        <v>0.17399999999999999</v>
      </c>
      <c r="AA439">
        <f t="shared" si="60"/>
        <v>1011.6187200000001</v>
      </c>
      <c r="AB439">
        <f>N439*(1+'Scenario Modelling'!$B$3)</f>
        <v>947.21000000000015</v>
      </c>
      <c r="AC439">
        <f>ROUNDUP(S439*(1+'Scenario Modelling'!$B$4),0)</f>
        <v>26</v>
      </c>
      <c r="AD439">
        <f t="shared" si="61"/>
        <v>26302.086720000003</v>
      </c>
      <c r="AE439">
        <f t="shared" si="62"/>
        <v>1674.6267199999975</v>
      </c>
    </row>
    <row r="440" spans="1:31" x14ac:dyDescent="0.3">
      <c r="A440" s="36" t="s">
        <v>453</v>
      </c>
      <c r="B440" s="49">
        <v>44978</v>
      </c>
      <c r="C440" s="47" t="str">
        <f t="shared" si="55"/>
        <v>Q1-2023</v>
      </c>
      <c r="D440" s="37">
        <v>44997</v>
      </c>
      <c r="E440" s="16">
        <f t="shared" si="54"/>
        <v>19</v>
      </c>
      <c r="F440" s="38" t="s">
        <v>646</v>
      </c>
      <c r="G440" s="38" t="s">
        <v>650</v>
      </c>
      <c r="H440" s="38" t="s">
        <v>678</v>
      </c>
      <c r="I440" s="38" t="s">
        <v>701</v>
      </c>
      <c r="J440" s="38" t="s">
        <v>708</v>
      </c>
      <c r="K440" s="38" t="s">
        <v>721</v>
      </c>
      <c r="L440" s="38" t="s">
        <v>729</v>
      </c>
      <c r="M440" s="39" t="s">
        <v>1172</v>
      </c>
      <c r="N440" s="40">
        <v>352.65</v>
      </c>
      <c r="O440" s="40">
        <v>485.86</v>
      </c>
      <c r="P440" s="30" t="str">
        <f t="shared" si="56"/>
        <v>Low</v>
      </c>
      <c r="Q440" s="44">
        <v>4.1000000000000002E-2</v>
      </c>
      <c r="R440" s="42" t="str">
        <f t="shared" si="57"/>
        <v>Low</v>
      </c>
      <c r="S440" s="16">
        <v>6</v>
      </c>
      <c r="T440" s="30">
        <v>2795.6384399999997</v>
      </c>
      <c r="U440" s="30">
        <v>2115.8999999999996</v>
      </c>
      <c r="V440" s="30">
        <v>679.73844000000008</v>
      </c>
      <c r="W440" s="30">
        <v>0.24314247159943908</v>
      </c>
      <c r="X440" t="str">
        <f t="shared" si="58"/>
        <v>Delayed</v>
      </c>
      <c r="Y440" t="str">
        <f t="shared" si="59"/>
        <v>Compliant Discount</v>
      </c>
      <c r="Z440" s="9">
        <f>MIN(Q440,'Scenario Modelling'!$B$2)</f>
        <v>4.1000000000000002E-2</v>
      </c>
      <c r="AA440">
        <f t="shared" si="60"/>
        <v>465.93973999999997</v>
      </c>
      <c r="AB440">
        <f>N440*(1+'Scenario Modelling'!$B$3)</f>
        <v>387.91500000000002</v>
      </c>
      <c r="AC440">
        <f>ROUNDUP(S440*(1+'Scenario Modelling'!$B$4),0)</f>
        <v>7</v>
      </c>
      <c r="AD440">
        <f t="shared" si="61"/>
        <v>3261.57818</v>
      </c>
      <c r="AE440">
        <f t="shared" si="62"/>
        <v>546.17317999999966</v>
      </c>
    </row>
    <row r="441" spans="1:31" x14ac:dyDescent="0.3">
      <c r="A441" s="31" t="s">
        <v>454</v>
      </c>
      <c r="B441" s="48">
        <v>45063</v>
      </c>
      <c r="C441" s="47" t="str">
        <f t="shared" si="55"/>
        <v>Q2-2023</v>
      </c>
      <c r="D441" s="32">
        <v>45080</v>
      </c>
      <c r="E441" s="17">
        <f t="shared" si="54"/>
        <v>17</v>
      </c>
      <c r="F441" s="33" t="s">
        <v>647</v>
      </c>
      <c r="G441" s="33" t="s">
        <v>659</v>
      </c>
      <c r="H441" s="33" t="s">
        <v>699</v>
      </c>
      <c r="I441" s="33" t="s">
        <v>703</v>
      </c>
      <c r="J441" s="33" t="s">
        <v>710</v>
      </c>
      <c r="K441" s="33" t="s">
        <v>724</v>
      </c>
      <c r="L441" s="33" t="s">
        <v>728</v>
      </c>
      <c r="M441" s="34" t="s">
        <v>1173</v>
      </c>
      <c r="N441" s="35">
        <v>979.59</v>
      </c>
      <c r="O441" s="35">
        <v>2210.94</v>
      </c>
      <c r="P441" s="30" t="str">
        <f t="shared" si="56"/>
        <v>High</v>
      </c>
      <c r="Q441" s="43">
        <v>0.15</v>
      </c>
      <c r="R441" s="42" t="str">
        <f t="shared" si="57"/>
        <v>Medium</v>
      </c>
      <c r="S441" s="17">
        <v>11</v>
      </c>
      <c r="T441" s="30">
        <v>20672.289000000001</v>
      </c>
      <c r="U441" s="30">
        <v>10775.49</v>
      </c>
      <c r="V441" s="30">
        <v>9896.7990000000009</v>
      </c>
      <c r="W441" s="30">
        <v>0.47874712858358359</v>
      </c>
      <c r="X441" t="str">
        <f t="shared" si="58"/>
        <v>Delayed</v>
      </c>
      <c r="Y441" t="str">
        <f t="shared" si="59"/>
        <v>Compliant Discount</v>
      </c>
      <c r="Z441" s="9">
        <f>MIN(Q441,'Scenario Modelling'!$B$2)</f>
        <v>0.15</v>
      </c>
      <c r="AA441">
        <f t="shared" si="60"/>
        <v>1879.299</v>
      </c>
      <c r="AB441">
        <f>N441*(1+'Scenario Modelling'!$B$3)</f>
        <v>1077.5490000000002</v>
      </c>
      <c r="AC441">
        <f>ROUNDUP(S441*(1+'Scenario Modelling'!$B$4),0)</f>
        <v>12</v>
      </c>
      <c r="AD441">
        <f t="shared" si="61"/>
        <v>22551.588</v>
      </c>
      <c r="AE441">
        <f t="shared" si="62"/>
        <v>9620.9999999999964</v>
      </c>
    </row>
    <row r="442" spans="1:31" x14ac:dyDescent="0.3">
      <c r="A442" s="36" t="s">
        <v>455</v>
      </c>
      <c r="B442" s="49">
        <v>45374</v>
      </c>
      <c r="C442" s="47" t="str">
        <f t="shared" si="55"/>
        <v>Q1-2024</v>
      </c>
      <c r="D442" s="37">
        <v>45377</v>
      </c>
      <c r="E442" s="16">
        <f t="shared" si="54"/>
        <v>3</v>
      </c>
      <c r="F442" s="38" t="s">
        <v>647</v>
      </c>
      <c r="G442" s="38" t="s">
        <v>654</v>
      </c>
      <c r="H442" s="38" t="s">
        <v>668</v>
      </c>
      <c r="I442" s="38" t="s">
        <v>702</v>
      </c>
      <c r="J442" s="38" t="s">
        <v>711</v>
      </c>
      <c r="K442" s="38" t="s">
        <v>715</v>
      </c>
      <c r="L442" s="38" t="s">
        <v>730</v>
      </c>
      <c r="M442" s="39" t="s">
        <v>1174</v>
      </c>
      <c r="N442" s="40">
        <v>382.21</v>
      </c>
      <c r="O442" s="40">
        <v>571.89</v>
      </c>
      <c r="P442" s="30" t="str">
        <f t="shared" si="56"/>
        <v>Low</v>
      </c>
      <c r="Q442" s="44">
        <v>0.14799999999999999</v>
      </c>
      <c r="R442" s="42" t="str">
        <f t="shared" si="57"/>
        <v>Medium</v>
      </c>
      <c r="S442" s="16">
        <v>26</v>
      </c>
      <c r="T442" s="30">
        <v>12668.50728</v>
      </c>
      <c r="U442" s="30">
        <v>9937.4599999999991</v>
      </c>
      <c r="V442" s="30">
        <v>2731.0472800000007</v>
      </c>
      <c r="W442" s="30">
        <v>0.2155776698578809</v>
      </c>
      <c r="X442" t="str">
        <f t="shared" si="58"/>
        <v>On-time</v>
      </c>
      <c r="Y442" t="str">
        <f t="shared" si="59"/>
        <v>Compliant Discount</v>
      </c>
      <c r="Z442" s="9">
        <f>MIN(Q442,'Scenario Modelling'!$B$2)</f>
        <v>0.14799999999999999</v>
      </c>
      <c r="AA442">
        <f t="shared" si="60"/>
        <v>487.25027999999998</v>
      </c>
      <c r="AB442">
        <f>N442*(1+'Scenario Modelling'!$B$3)</f>
        <v>420.43099999999998</v>
      </c>
      <c r="AC442">
        <f>ROUNDUP(S442*(1+'Scenario Modelling'!$B$4),0)</f>
        <v>28</v>
      </c>
      <c r="AD442">
        <f t="shared" si="61"/>
        <v>13643.007839999998</v>
      </c>
      <c r="AE442">
        <f t="shared" si="62"/>
        <v>1870.9398399999998</v>
      </c>
    </row>
    <row r="443" spans="1:31" x14ac:dyDescent="0.3">
      <c r="A443" s="31" t="s">
        <v>456</v>
      </c>
      <c r="B443" s="48">
        <v>45189</v>
      </c>
      <c r="C443" s="47" t="str">
        <f t="shared" si="55"/>
        <v>Q3-2023</v>
      </c>
      <c r="D443" s="32">
        <v>45197</v>
      </c>
      <c r="E443" s="17">
        <f t="shared" si="54"/>
        <v>8</v>
      </c>
      <c r="F443" s="33" t="s">
        <v>647</v>
      </c>
      <c r="G443" s="33" t="s">
        <v>654</v>
      </c>
      <c r="H443" s="33" t="s">
        <v>1424</v>
      </c>
      <c r="I443" s="33" t="s">
        <v>701</v>
      </c>
      <c r="J443" s="33" t="s">
        <v>1424</v>
      </c>
      <c r="K443" s="33" t="s">
        <v>717</v>
      </c>
      <c r="L443" s="33" t="s">
        <v>733</v>
      </c>
      <c r="M443" s="34" t="s">
        <v>1175</v>
      </c>
      <c r="N443" s="35">
        <v>1362.06</v>
      </c>
      <c r="O443" s="35">
        <v>3398.37</v>
      </c>
      <c r="P443" s="30" t="str">
        <f t="shared" si="56"/>
        <v>High</v>
      </c>
      <c r="Q443" s="43">
        <v>0.157</v>
      </c>
      <c r="R443" s="42" t="str">
        <f t="shared" si="57"/>
        <v>Medium</v>
      </c>
      <c r="S443" s="17">
        <v>11</v>
      </c>
      <c r="T443" s="30">
        <v>31513.085009999999</v>
      </c>
      <c r="U443" s="30">
        <v>14982.66</v>
      </c>
      <c r="V443" s="30">
        <v>16530.425009999999</v>
      </c>
      <c r="W443" s="30">
        <v>0.52455749745714919</v>
      </c>
      <c r="X443" t="str">
        <f t="shared" si="58"/>
        <v>Delayed</v>
      </c>
      <c r="Y443" t="str">
        <f t="shared" si="59"/>
        <v>Compliant Discount</v>
      </c>
      <c r="Z443" s="9">
        <f>MIN(Q443,'Scenario Modelling'!$B$2)</f>
        <v>0.157</v>
      </c>
      <c r="AA443">
        <f t="shared" si="60"/>
        <v>2864.82591</v>
      </c>
      <c r="AB443">
        <f>N443*(1+'Scenario Modelling'!$B$3)</f>
        <v>1498.2660000000001</v>
      </c>
      <c r="AC443">
        <f>ROUNDUP(S443*(1+'Scenario Modelling'!$B$4),0)</f>
        <v>12</v>
      </c>
      <c r="AD443">
        <f t="shared" si="61"/>
        <v>34377.910920000002</v>
      </c>
      <c r="AE443">
        <f t="shared" si="62"/>
        <v>16398.718919999999</v>
      </c>
    </row>
    <row r="444" spans="1:31" x14ac:dyDescent="0.3">
      <c r="A444" s="36" t="s">
        <v>457</v>
      </c>
      <c r="B444" s="49">
        <v>45526</v>
      </c>
      <c r="C444" s="47" t="str">
        <f t="shared" si="55"/>
        <v>Q3-2024</v>
      </c>
      <c r="D444" s="37">
        <v>45539</v>
      </c>
      <c r="E444" s="16">
        <f t="shared" si="54"/>
        <v>13</v>
      </c>
      <c r="F444" s="38" t="s">
        <v>649</v>
      </c>
      <c r="G444" s="38" t="s">
        <v>656</v>
      </c>
      <c r="H444" s="38" t="s">
        <v>698</v>
      </c>
      <c r="I444" s="38" t="s">
        <v>703</v>
      </c>
      <c r="J444" s="38" t="s">
        <v>707</v>
      </c>
      <c r="K444" s="38" t="s">
        <v>716</v>
      </c>
      <c r="L444" s="38" t="s">
        <v>728</v>
      </c>
      <c r="M444" s="39" t="s">
        <v>1176</v>
      </c>
      <c r="N444" s="40">
        <v>90.04</v>
      </c>
      <c r="O444" s="40">
        <v>194.62</v>
      </c>
      <c r="P444" s="30" t="str">
        <f t="shared" si="56"/>
        <v>Low</v>
      </c>
      <c r="Q444" s="44">
        <v>4.2999999999999997E-2</v>
      </c>
      <c r="R444" s="42" t="str">
        <f t="shared" si="57"/>
        <v>Low</v>
      </c>
      <c r="S444" s="16">
        <v>32</v>
      </c>
      <c r="T444" s="30">
        <v>5960.04288</v>
      </c>
      <c r="U444" s="30">
        <v>2881.28</v>
      </c>
      <c r="V444" s="30">
        <v>3078.7628799999998</v>
      </c>
      <c r="W444" s="30">
        <v>0.51656723650954672</v>
      </c>
      <c r="X444" t="str">
        <f t="shared" si="58"/>
        <v>Delayed</v>
      </c>
      <c r="Y444" t="str">
        <f t="shared" si="59"/>
        <v>Compliant Discount</v>
      </c>
      <c r="Z444" s="9">
        <f>MIN(Q444,'Scenario Modelling'!$B$2)</f>
        <v>4.2999999999999997E-2</v>
      </c>
      <c r="AA444">
        <f t="shared" si="60"/>
        <v>186.25134</v>
      </c>
      <c r="AB444">
        <f>N444*(1+'Scenario Modelling'!$B$3)</f>
        <v>99.044000000000011</v>
      </c>
      <c r="AC444">
        <f>ROUNDUP(S444*(1+'Scenario Modelling'!$B$4),0)</f>
        <v>34</v>
      </c>
      <c r="AD444">
        <f t="shared" si="61"/>
        <v>6332.5455599999996</v>
      </c>
      <c r="AE444">
        <f t="shared" si="62"/>
        <v>2965.0495599999995</v>
      </c>
    </row>
    <row r="445" spans="1:31" x14ac:dyDescent="0.3">
      <c r="A445" s="31" t="s">
        <v>458</v>
      </c>
      <c r="B445" s="48">
        <v>45560</v>
      </c>
      <c r="C445" s="47" t="str">
        <f t="shared" si="55"/>
        <v>Q3-2024</v>
      </c>
      <c r="D445" s="32">
        <v>45568</v>
      </c>
      <c r="E445" s="17">
        <f t="shared" si="54"/>
        <v>8</v>
      </c>
      <c r="F445" s="33" t="s">
        <v>648</v>
      </c>
      <c r="G445" s="33" t="s">
        <v>653</v>
      </c>
      <c r="H445" s="33" t="s">
        <v>667</v>
      </c>
      <c r="I445" s="33" t="s">
        <v>704</v>
      </c>
      <c r="J445" s="33" t="s">
        <v>708</v>
      </c>
      <c r="K445" s="33" t="s">
        <v>718</v>
      </c>
      <c r="L445" s="33" t="s">
        <v>728</v>
      </c>
      <c r="M445" s="34" t="s">
        <v>1177</v>
      </c>
      <c r="N445" s="35">
        <v>558.19000000000005</v>
      </c>
      <c r="O445" s="35">
        <v>1031.6400000000001</v>
      </c>
      <c r="P445" s="30" t="str">
        <f t="shared" si="56"/>
        <v>Medium</v>
      </c>
      <c r="Q445" s="43">
        <v>0</v>
      </c>
      <c r="R445" s="42" t="str">
        <f t="shared" si="57"/>
        <v>Low</v>
      </c>
      <c r="S445" s="17">
        <v>21</v>
      </c>
      <c r="T445" s="30">
        <v>21664.440000000002</v>
      </c>
      <c r="U445" s="30">
        <v>11721.990000000002</v>
      </c>
      <c r="V445" s="30">
        <v>9942.4500000000007</v>
      </c>
      <c r="W445" s="30">
        <v>0.45892947152107322</v>
      </c>
      <c r="X445" t="str">
        <f t="shared" si="58"/>
        <v>Delayed</v>
      </c>
      <c r="Y445" t="str">
        <f t="shared" si="59"/>
        <v>Compliant Discount</v>
      </c>
      <c r="Z445" s="9">
        <f>MIN(Q445,'Scenario Modelling'!$B$2)</f>
        <v>0</v>
      </c>
      <c r="AA445">
        <f t="shared" si="60"/>
        <v>1031.6400000000001</v>
      </c>
      <c r="AB445">
        <f>N445*(1+'Scenario Modelling'!$B$3)</f>
        <v>614.00900000000013</v>
      </c>
      <c r="AC445">
        <f>ROUNDUP(S445*(1+'Scenario Modelling'!$B$4),0)</f>
        <v>23</v>
      </c>
      <c r="AD445">
        <f t="shared" si="61"/>
        <v>23727.72</v>
      </c>
      <c r="AE445">
        <f t="shared" si="62"/>
        <v>9605.512999999999</v>
      </c>
    </row>
    <row r="446" spans="1:31" x14ac:dyDescent="0.3">
      <c r="A446" s="36" t="s">
        <v>459</v>
      </c>
      <c r="B446" s="49">
        <v>45090</v>
      </c>
      <c r="C446" s="47" t="str">
        <f t="shared" si="55"/>
        <v>Q2-2023</v>
      </c>
      <c r="D446" s="37">
        <v>45101</v>
      </c>
      <c r="E446" s="16">
        <f t="shared" si="54"/>
        <v>11</v>
      </c>
      <c r="F446" s="38" t="s">
        <v>648</v>
      </c>
      <c r="G446" s="38" t="s">
        <v>653</v>
      </c>
      <c r="H446" s="38" t="s">
        <v>667</v>
      </c>
      <c r="I446" s="38" t="s">
        <v>701</v>
      </c>
      <c r="J446" s="38" t="s">
        <v>708</v>
      </c>
      <c r="K446" s="38" t="s">
        <v>712</v>
      </c>
      <c r="L446" s="38" t="s">
        <v>728</v>
      </c>
      <c r="M446" s="39" t="s">
        <v>1178</v>
      </c>
      <c r="N446" s="40">
        <v>247.07</v>
      </c>
      <c r="O446" s="40">
        <v>495.19</v>
      </c>
      <c r="P446" s="30" t="str">
        <f t="shared" si="56"/>
        <v>Low</v>
      </c>
      <c r="Q446" s="44">
        <v>2.8000000000000001E-2</v>
      </c>
      <c r="R446" s="42" t="str">
        <f t="shared" si="57"/>
        <v>Low</v>
      </c>
      <c r="S446" s="16">
        <v>4</v>
      </c>
      <c r="T446" s="30">
        <v>1925.29872</v>
      </c>
      <c r="U446" s="30">
        <v>988.28</v>
      </c>
      <c r="V446" s="30">
        <v>937.01872000000003</v>
      </c>
      <c r="W446" s="30">
        <v>0.48668744764968214</v>
      </c>
      <c r="X446" t="str">
        <f t="shared" si="58"/>
        <v>Delayed</v>
      </c>
      <c r="Y446" t="str">
        <f t="shared" si="59"/>
        <v>Compliant Discount</v>
      </c>
      <c r="Z446" s="9">
        <f>MIN(Q446,'Scenario Modelling'!$B$2)</f>
        <v>2.8000000000000001E-2</v>
      </c>
      <c r="AA446">
        <f t="shared" si="60"/>
        <v>481.32468</v>
      </c>
      <c r="AB446">
        <f>N446*(1+'Scenario Modelling'!$B$3)</f>
        <v>271.77699999999999</v>
      </c>
      <c r="AC446">
        <f>ROUNDUP(S446*(1+'Scenario Modelling'!$B$4),0)</f>
        <v>5</v>
      </c>
      <c r="AD446">
        <f t="shared" si="61"/>
        <v>2406.6233999999999</v>
      </c>
      <c r="AE446">
        <f t="shared" si="62"/>
        <v>1047.7384000000002</v>
      </c>
    </row>
    <row r="447" spans="1:31" x14ac:dyDescent="0.3">
      <c r="A447" s="31" t="s">
        <v>460</v>
      </c>
      <c r="B447" s="48">
        <v>45284</v>
      </c>
      <c r="C447" s="47" t="str">
        <f t="shared" si="55"/>
        <v>Q4-2023</v>
      </c>
      <c r="D447" s="32">
        <v>45304</v>
      </c>
      <c r="E447" s="17">
        <f t="shared" si="54"/>
        <v>20</v>
      </c>
      <c r="F447" s="33" t="s">
        <v>647</v>
      </c>
      <c r="G447" s="33" t="s">
        <v>652</v>
      </c>
      <c r="H447" s="33" t="s">
        <v>694</v>
      </c>
      <c r="I447" s="33" t="s">
        <v>702</v>
      </c>
      <c r="J447" s="33" t="s">
        <v>711</v>
      </c>
      <c r="K447" s="33" t="s">
        <v>717</v>
      </c>
      <c r="L447" s="33" t="s">
        <v>731</v>
      </c>
      <c r="M447" s="34" t="s">
        <v>1179</v>
      </c>
      <c r="N447" s="35">
        <v>625.37</v>
      </c>
      <c r="O447" s="35">
        <v>1319.04</v>
      </c>
      <c r="P447" s="30" t="str">
        <f t="shared" si="56"/>
        <v>Medium</v>
      </c>
      <c r="Q447" s="43">
        <v>7.3999999999999996E-2</v>
      </c>
      <c r="R447" s="42" t="str">
        <f t="shared" si="57"/>
        <v>Low</v>
      </c>
      <c r="S447" s="17">
        <v>8</v>
      </c>
      <c r="T447" s="30">
        <v>9771.4483199999995</v>
      </c>
      <c r="U447" s="30">
        <v>5002.96</v>
      </c>
      <c r="V447" s="30">
        <v>4768.4883199999995</v>
      </c>
      <c r="W447" s="30">
        <v>0.48800220436513547</v>
      </c>
      <c r="X447" t="str">
        <f t="shared" si="58"/>
        <v>Delayed</v>
      </c>
      <c r="Y447" t="str">
        <f t="shared" si="59"/>
        <v>Compliant Discount</v>
      </c>
      <c r="Z447" s="9">
        <f>MIN(Q447,'Scenario Modelling'!$B$2)</f>
        <v>7.3999999999999996E-2</v>
      </c>
      <c r="AA447">
        <f t="shared" si="60"/>
        <v>1221.4310399999999</v>
      </c>
      <c r="AB447">
        <f>N447*(1+'Scenario Modelling'!$B$3)</f>
        <v>687.90700000000004</v>
      </c>
      <c r="AC447">
        <f>ROUNDUP(S447*(1+'Scenario Modelling'!$B$4),0)</f>
        <v>9</v>
      </c>
      <c r="AD447">
        <f t="shared" si="61"/>
        <v>10992.879359999999</v>
      </c>
      <c r="AE447">
        <f t="shared" si="62"/>
        <v>4801.7163599999994</v>
      </c>
    </row>
    <row r="448" spans="1:31" x14ac:dyDescent="0.3">
      <c r="A448" s="36" t="s">
        <v>461</v>
      </c>
      <c r="B448" s="49">
        <v>45746</v>
      </c>
      <c r="C448" s="47" t="str">
        <f t="shared" si="55"/>
        <v>Q1-2025</v>
      </c>
      <c r="D448" s="37">
        <v>45776</v>
      </c>
      <c r="E448" s="16">
        <f t="shared" si="54"/>
        <v>30</v>
      </c>
      <c r="F448" s="38" t="s">
        <v>646</v>
      </c>
      <c r="G448" s="38" t="s">
        <v>661</v>
      </c>
      <c r="H448" s="38" t="s">
        <v>687</v>
      </c>
      <c r="I448" s="38" t="s">
        <v>704</v>
      </c>
      <c r="J448" s="38" t="s">
        <v>709</v>
      </c>
      <c r="K448" s="38" t="s">
        <v>713</v>
      </c>
      <c r="L448" s="38" t="s">
        <v>732</v>
      </c>
      <c r="M448" s="39" t="s">
        <v>1180</v>
      </c>
      <c r="N448" s="40">
        <v>194.6</v>
      </c>
      <c r="O448" s="40">
        <v>314.87</v>
      </c>
      <c r="P448" s="30" t="str">
        <f t="shared" si="56"/>
        <v>Low</v>
      </c>
      <c r="Q448" s="44">
        <v>0.29299999999999998</v>
      </c>
      <c r="R448" s="42" t="str">
        <f t="shared" si="57"/>
        <v>High</v>
      </c>
      <c r="S448" s="16">
        <v>25</v>
      </c>
      <c r="T448" s="30">
        <v>5565.3272500000003</v>
      </c>
      <c r="U448" s="30">
        <v>4865</v>
      </c>
      <c r="V448" s="30">
        <v>700.32725000000028</v>
      </c>
      <c r="W448" s="30">
        <v>0.1258375686712763</v>
      </c>
      <c r="X448" t="str">
        <f t="shared" si="58"/>
        <v>Delayed</v>
      </c>
      <c r="Y448" t="str">
        <f t="shared" si="59"/>
        <v>Non-compliant Discount</v>
      </c>
      <c r="Z448" s="9">
        <f>MIN(Q448,'Scenario Modelling'!$B$2)</f>
        <v>0.2</v>
      </c>
      <c r="AA448">
        <f t="shared" si="60"/>
        <v>251.89600000000002</v>
      </c>
      <c r="AB448">
        <f>N448*(1+'Scenario Modelling'!$B$3)</f>
        <v>214.06</v>
      </c>
      <c r="AC448">
        <f>ROUNDUP(S448*(1+'Scenario Modelling'!$B$4),0)</f>
        <v>27</v>
      </c>
      <c r="AD448">
        <f t="shared" si="61"/>
        <v>6801.192</v>
      </c>
      <c r="AE448">
        <f t="shared" si="62"/>
        <v>1021.5720000000003</v>
      </c>
    </row>
    <row r="449" spans="1:31" x14ac:dyDescent="0.3">
      <c r="A449" s="31" t="s">
        <v>462</v>
      </c>
      <c r="B449" s="48">
        <v>45446</v>
      </c>
      <c r="C449" s="47" t="str">
        <f t="shared" si="55"/>
        <v>Q2-2024</v>
      </c>
      <c r="D449" s="32">
        <v>45467</v>
      </c>
      <c r="E449" s="17">
        <f t="shared" si="54"/>
        <v>21</v>
      </c>
      <c r="F449" s="33" t="s">
        <v>648</v>
      </c>
      <c r="G449" s="33" t="s">
        <v>653</v>
      </c>
      <c r="H449" s="33" t="s">
        <v>667</v>
      </c>
      <c r="I449" s="33" t="s">
        <v>705</v>
      </c>
      <c r="J449" s="33" t="s">
        <v>711</v>
      </c>
      <c r="K449" s="33" t="s">
        <v>715</v>
      </c>
      <c r="L449" s="33" t="s">
        <v>732</v>
      </c>
      <c r="M449" s="34" t="s">
        <v>1181</v>
      </c>
      <c r="N449" s="35">
        <v>1205.5</v>
      </c>
      <c r="O449" s="35">
        <v>2210.17</v>
      </c>
      <c r="P449" s="30" t="str">
        <f t="shared" si="56"/>
        <v>High</v>
      </c>
      <c r="Q449" s="43">
        <v>0.104</v>
      </c>
      <c r="R449" s="42" t="str">
        <f t="shared" si="57"/>
        <v>Medium</v>
      </c>
      <c r="S449" s="17">
        <v>23</v>
      </c>
      <c r="T449" s="30">
        <v>45547.183360000003</v>
      </c>
      <c r="U449" s="30">
        <v>27726.5</v>
      </c>
      <c r="V449" s="30">
        <v>17820.683360000003</v>
      </c>
      <c r="W449" s="30">
        <v>0.39125763758314652</v>
      </c>
      <c r="X449" t="str">
        <f t="shared" si="58"/>
        <v>Delayed</v>
      </c>
      <c r="Y449" t="str">
        <f t="shared" si="59"/>
        <v>Compliant Discount</v>
      </c>
      <c r="Z449" s="9">
        <f>MIN(Q449,'Scenario Modelling'!$B$2)</f>
        <v>0.104</v>
      </c>
      <c r="AA449">
        <f t="shared" si="60"/>
        <v>1980.31232</v>
      </c>
      <c r="AB449">
        <f>N449*(1+'Scenario Modelling'!$B$3)</f>
        <v>1326.0500000000002</v>
      </c>
      <c r="AC449">
        <f>ROUNDUP(S449*(1+'Scenario Modelling'!$B$4),0)</f>
        <v>25</v>
      </c>
      <c r="AD449">
        <f t="shared" si="61"/>
        <v>49507.807999999997</v>
      </c>
      <c r="AE449">
        <f t="shared" si="62"/>
        <v>16356.557999999995</v>
      </c>
    </row>
    <row r="450" spans="1:31" x14ac:dyDescent="0.3">
      <c r="A450" s="36" t="s">
        <v>463</v>
      </c>
      <c r="B450" s="49">
        <v>45454</v>
      </c>
      <c r="C450" s="47" t="str">
        <f t="shared" si="55"/>
        <v>Q2-2024</v>
      </c>
      <c r="D450" s="37">
        <v>45482</v>
      </c>
      <c r="E450" s="16">
        <f t="shared" ref="E450:E513" si="63">D450-B450</f>
        <v>28</v>
      </c>
      <c r="F450" s="38" t="s">
        <v>646</v>
      </c>
      <c r="G450" s="38" t="s">
        <v>651</v>
      </c>
      <c r="H450" s="38" t="s">
        <v>663</v>
      </c>
      <c r="I450" s="38" t="s">
        <v>701</v>
      </c>
      <c r="J450" s="38" t="s">
        <v>709</v>
      </c>
      <c r="K450" s="38" t="s">
        <v>714</v>
      </c>
      <c r="L450" s="38" t="s">
        <v>730</v>
      </c>
      <c r="M450" s="39" t="s">
        <v>1182</v>
      </c>
      <c r="N450" s="40">
        <v>895.54</v>
      </c>
      <c r="O450" s="40">
        <v>1045</v>
      </c>
      <c r="P450" s="30" t="str">
        <f t="shared" si="56"/>
        <v>Medium</v>
      </c>
      <c r="Q450" s="44">
        <v>0.216</v>
      </c>
      <c r="R450" s="42" t="str">
        <f t="shared" si="57"/>
        <v>High</v>
      </c>
      <c r="S450" s="16">
        <v>15</v>
      </c>
      <c r="T450" s="30">
        <v>12289.2</v>
      </c>
      <c r="U450" s="30">
        <v>13433.099999999999</v>
      </c>
      <c r="V450" s="30">
        <v>-1143.8999999999978</v>
      </c>
      <c r="W450" s="30">
        <v>-9.3081730299775234E-2</v>
      </c>
      <c r="X450" t="str">
        <f t="shared" si="58"/>
        <v>Delayed</v>
      </c>
      <c r="Y450" t="str">
        <f t="shared" si="59"/>
        <v>Non-compliant Discount</v>
      </c>
      <c r="Z450" s="9">
        <f>MIN(Q450,'Scenario Modelling'!$B$2)</f>
        <v>0.2</v>
      </c>
      <c r="AA450">
        <f t="shared" si="60"/>
        <v>836</v>
      </c>
      <c r="AB450">
        <f>N450*(1+'Scenario Modelling'!$B$3)</f>
        <v>985.09400000000005</v>
      </c>
      <c r="AC450">
        <f>ROUNDUP(S450*(1+'Scenario Modelling'!$B$4),0)</f>
        <v>16</v>
      </c>
      <c r="AD450">
        <f t="shared" si="61"/>
        <v>13376</v>
      </c>
      <c r="AE450">
        <f t="shared" si="62"/>
        <v>-2385.5040000000008</v>
      </c>
    </row>
    <row r="451" spans="1:31" x14ac:dyDescent="0.3">
      <c r="A451" s="31" t="s">
        <v>464</v>
      </c>
      <c r="B451" s="48">
        <v>45129</v>
      </c>
      <c r="C451" s="47" t="str">
        <f t="shared" ref="C451:C514" si="64">"Q"&amp;ROUNDUP(MONTH(B451)/3,0)&amp;"-"&amp;YEAR(B451)</f>
        <v>Q3-2023</v>
      </c>
      <c r="D451" s="32">
        <v>45136</v>
      </c>
      <c r="E451" s="17">
        <f t="shared" si="63"/>
        <v>7</v>
      </c>
      <c r="F451" s="33" t="s">
        <v>647</v>
      </c>
      <c r="G451" s="33" t="s">
        <v>654</v>
      </c>
      <c r="H451" s="33" t="s">
        <v>680</v>
      </c>
      <c r="I451" s="33" t="s">
        <v>705</v>
      </c>
      <c r="J451" s="33" t="s">
        <v>710</v>
      </c>
      <c r="K451" s="33" t="s">
        <v>718</v>
      </c>
      <c r="L451" s="33" t="s">
        <v>728</v>
      </c>
      <c r="M451" s="34" t="s">
        <v>1183</v>
      </c>
      <c r="N451" s="35">
        <v>946.99</v>
      </c>
      <c r="O451" s="35">
        <v>2132.19</v>
      </c>
      <c r="P451" s="30" t="str">
        <f t="shared" ref="P451:P514" si="65">IF(O451&lt;=_xlfn.PERCENTILE.INC(IF(L451:L1081=L451, O451:O1081), 0.33), "Low", IF(O451&lt;=_xlfn.PERCENTILE.INC(IF(L451:L1081=L451, O451:O1081), 0.66), "Medium", IF(O451 &gt; _xlfn.PERCENTILE.INC(IF(L451:L1081=L451, O451:O1081), 0.66), "High")))</f>
        <v>High</v>
      </c>
      <c r="Q451" s="43">
        <v>0.16500000000000001</v>
      </c>
      <c r="R451" s="42" t="str">
        <f t="shared" ref="R451:R514" si="66">IF(Q451&lt;=0.1,"Low",IF(Q451&gt;0.2,"High","Medium"))</f>
        <v>Medium</v>
      </c>
      <c r="S451" s="17">
        <v>7</v>
      </c>
      <c r="T451" s="30">
        <v>12462.65055</v>
      </c>
      <c r="U451" s="30">
        <v>6628.93</v>
      </c>
      <c r="V451" s="30">
        <v>5833.72055</v>
      </c>
      <c r="W451" s="30">
        <v>0.46809629513362228</v>
      </c>
      <c r="X451" t="str">
        <f t="shared" ref="X451:X514" si="67">IF(E451&lt;=7,"On-time","Delayed")</f>
        <v>On-time</v>
      </c>
      <c r="Y451" t="str">
        <f t="shared" ref="Y451:Y514" si="68">IF(Q451&lt;=0.2, "Compliant Discount", "Non-compliant Discount")</f>
        <v>Compliant Discount</v>
      </c>
      <c r="Z451" s="9">
        <f>MIN(Q451,'Scenario Modelling'!$B$2)</f>
        <v>0.16500000000000001</v>
      </c>
      <c r="AA451">
        <f t="shared" ref="AA451:AA514" si="69">O451*(1-Z451)</f>
        <v>1780.3786499999999</v>
      </c>
      <c r="AB451">
        <f>N451*(1+'Scenario Modelling'!$B$3)</f>
        <v>1041.6890000000001</v>
      </c>
      <c r="AC451">
        <f>ROUNDUP(S451*(1+'Scenario Modelling'!$B$4),0)</f>
        <v>8</v>
      </c>
      <c r="AD451">
        <f t="shared" ref="AD451:AD514" si="70">AA451*AC451</f>
        <v>14243.029199999999</v>
      </c>
      <c r="AE451">
        <f t="shared" ref="AE451:AE514" si="71">(AA451-AB451)*AC451</f>
        <v>5909.5171999999984</v>
      </c>
    </row>
    <row r="452" spans="1:31" x14ac:dyDescent="0.3">
      <c r="A452" s="36" t="s">
        <v>465</v>
      </c>
      <c r="B452" s="49">
        <v>44945</v>
      </c>
      <c r="C452" s="47" t="str">
        <f t="shared" si="64"/>
        <v>Q1-2023</v>
      </c>
      <c r="D452" s="37">
        <v>44960</v>
      </c>
      <c r="E452" s="16">
        <f t="shared" si="63"/>
        <v>15</v>
      </c>
      <c r="F452" s="38" t="s">
        <v>649</v>
      </c>
      <c r="G452" s="38" t="s">
        <v>658</v>
      </c>
      <c r="H452" s="38" t="s">
        <v>683</v>
      </c>
      <c r="I452" s="38" t="s">
        <v>706</v>
      </c>
      <c r="J452" s="38" t="s">
        <v>710</v>
      </c>
      <c r="K452" s="38" t="s">
        <v>715</v>
      </c>
      <c r="L452" s="38" t="s">
        <v>733</v>
      </c>
      <c r="M452" s="39" t="s">
        <v>1184</v>
      </c>
      <c r="N452" s="40">
        <v>873.06</v>
      </c>
      <c r="O452" s="40">
        <v>2101.5500000000002</v>
      </c>
      <c r="P452" s="30" t="str">
        <f t="shared" si="65"/>
        <v>High</v>
      </c>
      <c r="Q452" s="44">
        <v>6.6000000000000003E-2</v>
      </c>
      <c r="R452" s="42" t="str">
        <f t="shared" si="66"/>
        <v>Low</v>
      </c>
      <c r="S452" s="16">
        <v>10</v>
      </c>
      <c r="T452" s="30">
        <v>19628.476999999999</v>
      </c>
      <c r="U452" s="30">
        <v>8730.5999999999985</v>
      </c>
      <c r="V452" s="30">
        <v>10897.877</v>
      </c>
      <c r="W452" s="30">
        <v>0.55520746719167269</v>
      </c>
      <c r="X452" t="str">
        <f t="shared" si="67"/>
        <v>Delayed</v>
      </c>
      <c r="Y452" t="str">
        <f t="shared" si="68"/>
        <v>Compliant Discount</v>
      </c>
      <c r="Z452" s="9">
        <f>MIN(Q452,'Scenario Modelling'!$B$2)</f>
        <v>6.6000000000000003E-2</v>
      </c>
      <c r="AA452">
        <f t="shared" si="69"/>
        <v>1962.8477</v>
      </c>
      <c r="AB452">
        <f>N452*(1+'Scenario Modelling'!$B$3)</f>
        <v>960.36599999999999</v>
      </c>
      <c r="AC452">
        <f>ROUNDUP(S452*(1+'Scenario Modelling'!$B$4),0)</f>
        <v>11</v>
      </c>
      <c r="AD452">
        <f t="shared" si="70"/>
        <v>21591.324700000001</v>
      </c>
      <c r="AE452">
        <f t="shared" si="71"/>
        <v>11027.298700000001</v>
      </c>
    </row>
    <row r="453" spans="1:31" x14ac:dyDescent="0.3">
      <c r="A453" s="31" t="s">
        <v>466</v>
      </c>
      <c r="B453" s="48">
        <v>45413</v>
      </c>
      <c r="C453" s="47" t="str">
        <f t="shared" si="64"/>
        <v>Q2-2024</v>
      </c>
      <c r="D453" s="32">
        <v>45428</v>
      </c>
      <c r="E453" s="17">
        <f t="shared" si="63"/>
        <v>15</v>
      </c>
      <c r="F453" s="33" t="s">
        <v>647</v>
      </c>
      <c r="G453" s="33" t="s">
        <v>654</v>
      </c>
      <c r="H453" s="33" t="s">
        <v>668</v>
      </c>
      <c r="I453" s="33" t="s">
        <v>705</v>
      </c>
      <c r="J453" s="33" t="s">
        <v>707</v>
      </c>
      <c r="K453" s="33" t="s">
        <v>716</v>
      </c>
      <c r="L453" s="33" t="s">
        <v>727</v>
      </c>
      <c r="M453" s="34" t="s">
        <v>1185</v>
      </c>
      <c r="N453" s="35">
        <v>901.19</v>
      </c>
      <c r="O453" s="35">
        <v>2125.44</v>
      </c>
      <c r="P453" s="30" t="str">
        <f t="shared" si="65"/>
        <v>High</v>
      </c>
      <c r="Q453" s="43">
        <v>7.0999999999999994E-2</v>
      </c>
      <c r="R453" s="42" t="str">
        <f t="shared" si="66"/>
        <v>Low</v>
      </c>
      <c r="S453" s="17">
        <v>12</v>
      </c>
      <c r="T453" s="30">
        <v>23694.405119999999</v>
      </c>
      <c r="U453" s="30">
        <v>10814.28</v>
      </c>
      <c r="V453" s="30">
        <v>12880.125119999999</v>
      </c>
      <c r="W453" s="30">
        <v>0.54359352154100415</v>
      </c>
      <c r="X453" t="str">
        <f t="shared" si="67"/>
        <v>Delayed</v>
      </c>
      <c r="Y453" t="str">
        <f t="shared" si="68"/>
        <v>Compliant Discount</v>
      </c>
      <c r="Z453" s="9">
        <f>MIN(Q453,'Scenario Modelling'!$B$2)</f>
        <v>7.0999999999999994E-2</v>
      </c>
      <c r="AA453">
        <f t="shared" si="69"/>
        <v>1974.5337600000003</v>
      </c>
      <c r="AB453">
        <f>N453*(1+'Scenario Modelling'!$B$3)</f>
        <v>991.3090000000002</v>
      </c>
      <c r="AC453">
        <f>ROUNDUP(S453*(1+'Scenario Modelling'!$B$4),0)</f>
        <v>13</v>
      </c>
      <c r="AD453">
        <f t="shared" si="70"/>
        <v>25668.938880000002</v>
      </c>
      <c r="AE453">
        <f t="shared" si="71"/>
        <v>12781.921880000002</v>
      </c>
    </row>
    <row r="454" spans="1:31" x14ac:dyDescent="0.3">
      <c r="A454" s="36" t="s">
        <v>467</v>
      </c>
      <c r="B454" s="49">
        <v>45817</v>
      </c>
      <c r="C454" s="47" t="str">
        <f t="shared" si="64"/>
        <v>Q2-2025</v>
      </c>
      <c r="D454" s="37">
        <v>45832</v>
      </c>
      <c r="E454" s="16">
        <f t="shared" si="63"/>
        <v>15</v>
      </c>
      <c r="F454" s="38" t="s">
        <v>647</v>
      </c>
      <c r="G454" s="38" t="s">
        <v>652</v>
      </c>
      <c r="H454" s="38" t="s">
        <v>694</v>
      </c>
      <c r="I454" s="38" t="s">
        <v>701</v>
      </c>
      <c r="J454" s="38" t="s">
        <v>711</v>
      </c>
      <c r="K454" s="38" t="s">
        <v>717</v>
      </c>
      <c r="L454" s="38" t="s">
        <v>730</v>
      </c>
      <c r="M454" s="39" t="s">
        <v>1186</v>
      </c>
      <c r="N454" s="40">
        <v>400.39</v>
      </c>
      <c r="O454" s="40">
        <v>712.75</v>
      </c>
      <c r="P454" s="30" t="str">
        <f t="shared" si="65"/>
        <v>Low</v>
      </c>
      <c r="Q454" s="44">
        <v>0.115</v>
      </c>
      <c r="R454" s="42" t="str">
        <f t="shared" si="66"/>
        <v>Medium</v>
      </c>
      <c r="S454" s="16">
        <v>19</v>
      </c>
      <c r="T454" s="30">
        <v>11984.891250000001</v>
      </c>
      <c r="U454" s="30">
        <v>7607.41</v>
      </c>
      <c r="V454" s="30">
        <v>4377.4812500000007</v>
      </c>
      <c r="W454" s="30">
        <v>0.36524997671547504</v>
      </c>
      <c r="X454" t="str">
        <f t="shared" si="67"/>
        <v>Delayed</v>
      </c>
      <c r="Y454" t="str">
        <f t="shared" si="68"/>
        <v>Compliant Discount</v>
      </c>
      <c r="Z454" s="9">
        <f>MIN(Q454,'Scenario Modelling'!$B$2)</f>
        <v>0.115</v>
      </c>
      <c r="AA454">
        <f t="shared" si="69"/>
        <v>630.78375000000005</v>
      </c>
      <c r="AB454">
        <f>N454*(1+'Scenario Modelling'!$B$3)</f>
        <v>440.42900000000003</v>
      </c>
      <c r="AC454">
        <f>ROUNDUP(S454*(1+'Scenario Modelling'!$B$4),0)</f>
        <v>20</v>
      </c>
      <c r="AD454">
        <f t="shared" si="70"/>
        <v>12615.675000000001</v>
      </c>
      <c r="AE454">
        <f t="shared" si="71"/>
        <v>3807.0950000000003</v>
      </c>
    </row>
    <row r="455" spans="1:31" x14ac:dyDescent="0.3">
      <c r="A455" s="31" t="s">
        <v>468</v>
      </c>
      <c r="B455" s="48">
        <v>45070</v>
      </c>
      <c r="C455" s="47" t="str">
        <f t="shared" si="64"/>
        <v>Q2-2023</v>
      </c>
      <c r="D455" s="32">
        <v>45098</v>
      </c>
      <c r="E455" s="17">
        <f t="shared" si="63"/>
        <v>28</v>
      </c>
      <c r="F455" s="33" t="s">
        <v>648</v>
      </c>
      <c r="G455" s="33" t="s">
        <v>660</v>
      </c>
      <c r="H455" s="33" t="s">
        <v>697</v>
      </c>
      <c r="I455" s="33" t="s">
        <v>705</v>
      </c>
      <c r="J455" s="33" t="s">
        <v>709</v>
      </c>
      <c r="K455" s="33" t="s">
        <v>715</v>
      </c>
      <c r="L455" s="33" t="s">
        <v>732</v>
      </c>
      <c r="M455" s="34" t="s">
        <v>1187</v>
      </c>
      <c r="N455" s="35">
        <v>813.97</v>
      </c>
      <c r="O455" s="35">
        <v>1568.83</v>
      </c>
      <c r="P455" s="30" t="str">
        <f t="shared" si="65"/>
        <v>Medium</v>
      </c>
      <c r="Q455" s="43">
        <v>1.7000000000000001E-2</v>
      </c>
      <c r="R455" s="42" t="str">
        <f t="shared" si="66"/>
        <v>Low</v>
      </c>
      <c r="S455" s="17">
        <v>15</v>
      </c>
      <c r="T455" s="30">
        <v>23132.398349999996</v>
      </c>
      <c r="U455" s="30">
        <v>12209.550000000001</v>
      </c>
      <c r="V455" s="30">
        <v>10922.848349999995</v>
      </c>
      <c r="W455" s="30">
        <v>0.4721883215364911</v>
      </c>
      <c r="X455" t="str">
        <f t="shared" si="67"/>
        <v>Delayed</v>
      </c>
      <c r="Y455" t="str">
        <f t="shared" si="68"/>
        <v>Compliant Discount</v>
      </c>
      <c r="Z455" s="9">
        <f>MIN(Q455,'Scenario Modelling'!$B$2)</f>
        <v>1.7000000000000001E-2</v>
      </c>
      <c r="AA455">
        <f t="shared" si="69"/>
        <v>1542.1598899999999</v>
      </c>
      <c r="AB455">
        <f>N455*(1+'Scenario Modelling'!$B$3)</f>
        <v>895.36700000000008</v>
      </c>
      <c r="AC455">
        <f>ROUNDUP(S455*(1+'Scenario Modelling'!$B$4),0)</f>
        <v>16</v>
      </c>
      <c r="AD455">
        <f t="shared" si="70"/>
        <v>24674.558239999998</v>
      </c>
      <c r="AE455">
        <f t="shared" si="71"/>
        <v>10348.686239999997</v>
      </c>
    </row>
    <row r="456" spans="1:31" x14ac:dyDescent="0.3">
      <c r="A456" s="36" t="s">
        <v>469</v>
      </c>
      <c r="B456" s="49">
        <v>45653</v>
      </c>
      <c r="C456" s="47" t="str">
        <f t="shared" si="64"/>
        <v>Q4-2024</v>
      </c>
      <c r="D456" s="37">
        <v>45655</v>
      </c>
      <c r="E456" s="16">
        <f t="shared" si="63"/>
        <v>2</v>
      </c>
      <c r="F456" s="38" t="s">
        <v>648</v>
      </c>
      <c r="G456" s="38" t="s">
        <v>653</v>
      </c>
      <c r="H456" s="38" t="s">
        <v>688</v>
      </c>
      <c r="I456" s="38" t="s">
        <v>706</v>
      </c>
      <c r="J456" s="38" t="s">
        <v>709</v>
      </c>
      <c r="K456" s="38" t="s">
        <v>712</v>
      </c>
      <c r="L456" s="38" t="s">
        <v>733</v>
      </c>
      <c r="M456" s="39" t="s">
        <v>1188</v>
      </c>
      <c r="N456" s="40">
        <v>1146.72</v>
      </c>
      <c r="O456" s="40">
        <v>2074.34</v>
      </c>
      <c r="P456" s="30" t="str">
        <f t="shared" si="65"/>
        <v>High</v>
      </c>
      <c r="Q456" s="44">
        <v>0.111</v>
      </c>
      <c r="R456" s="42" t="str">
        <f t="shared" si="66"/>
        <v>Medium</v>
      </c>
      <c r="S456" s="16">
        <v>8</v>
      </c>
      <c r="T456" s="30">
        <v>14752.706080000002</v>
      </c>
      <c r="U456" s="30">
        <v>9173.76</v>
      </c>
      <c r="V456" s="30">
        <v>5578.9460800000015</v>
      </c>
      <c r="W456" s="30">
        <v>0.37816425337472737</v>
      </c>
      <c r="X456" t="str">
        <f t="shared" si="67"/>
        <v>On-time</v>
      </c>
      <c r="Y456" t="str">
        <f t="shared" si="68"/>
        <v>Compliant Discount</v>
      </c>
      <c r="Z456" s="9">
        <f>MIN(Q456,'Scenario Modelling'!$B$2)</f>
        <v>0.111</v>
      </c>
      <c r="AA456">
        <f t="shared" si="69"/>
        <v>1844.0882600000002</v>
      </c>
      <c r="AB456">
        <f>N456*(1+'Scenario Modelling'!$B$3)</f>
        <v>1261.3920000000001</v>
      </c>
      <c r="AC456">
        <f>ROUNDUP(S456*(1+'Scenario Modelling'!$B$4),0)</f>
        <v>9</v>
      </c>
      <c r="AD456">
        <f t="shared" si="70"/>
        <v>16596.79434</v>
      </c>
      <c r="AE456">
        <f t="shared" si="71"/>
        <v>5244.2663400000019</v>
      </c>
    </row>
    <row r="457" spans="1:31" x14ac:dyDescent="0.3">
      <c r="A457" s="31" t="s">
        <v>470</v>
      </c>
      <c r="B457" s="48">
        <v>45265</v>
      </c>
      <c r="C457" s="47" t="str">
        <f t="shared" si="64"/>
        <v>Q4-2023</v>
      </c>
      <c r="D457" s="32">
        <v>45272</v>
      </c>
      <c r="E457" s="17">
        <f t="shared" si="63"/>
        <v>7</v>
      </c>
      <c r="F457" s="33" t="s">
        <v>648</v>
      </c>
      <c r="G457" s="33" t="s">
        <v>655</v>
      </c>
      <c r="H457" s="33" t="s">
        <v>672</v>
      </c>
      <c r="I457" s="33" t="s">
        <v>701</v>
      </c>
      <c r="J457" s="33" t="s">
        <v>711</v>
      </c>
      <c r="K457" s="33" t="s">
        <v>721</v>
      </c>
      <c r="L457" s="33" t="s">
        <v>730</v>
      </c>
      <c r="M457" s="34" t="s">
        <v>1189</v>
      </c>
      <c r="N457" s="35">
        <v>307.43</v>
      </c>
      <c r="O457" s="35">
        <v>495.19</v>
      </c>
      <c r="P457" s="30" t="str">
        <f t="shared" si="65"/>
        <v>Low</v>
      </c>
      <c r="Q457" s="43">
        <v>0</v>
      </c>
      <c r="R457" s="42" t="str">
        <f t="shared" si="66"/>
        <v>Low</v>
      </c>
      <c r="S457" s="17">
        <v>42</v>
      </c>
      <c r="T457" s="30">
        <v>20797.98</v>
      </c>
      <c r="U457" s="30">
        <v>12912.06</v>
      </c>
      <c r="V457" s="30">
        <v>7885.92</v>
      </c>
      <c r="W457" s="30">
        <v>0.37916759223732305</v>
      </c>
      <c r="X457" t="str">
        <f t="shared" si="67"/>
        <v>On-time</v>
      </c>
      <c r="Y457" t="str">
        <f t="shared" si="68"/>
        <v>Compliant Discount</v>
      </c>
      <c r="Z457" s="9">
        <f>MIN(Q457,'Scenario Modelling'!$B$2)</f>
        <v>0</v>
      </c>
      <c r="AA457">
        <f t="shared" si="69"/>
        <v>495.19</v>
      </c>
      <c r="AB457">
        <f>N457*(1+'Scenario Modelling'!$B$3)</f>
        <v>338.17300000000006</v>
      </c>
      <c r="AC457">
        <f>ROUNDUP(S457*(1+'Scenario Modelling'!$B$4),0)</f>
        <v>45</v>
      </c>
      <c r="AD457">
        <f t="shared" si="70"/>
        <v>22283.55</v>
      </c>
      <c r="AE457">
        <f t="shared" si="71"/>
        <v>7065.7649999999976</v>
      </c>
    </row>
    <row r="458" spans="1:31" x14ac:dyDescent="0.3">
      <c r="A458" s="36" t="s">
        <v>471</v>
      </c>
      <c r="B458" s="49">
        <v>45048</v>
      </c>
      <c r="C458" s="47" t="str">
        <f t="shared" si="64"/>
        <v>Q2-2023</v>
      </c>
      <c r="D458" s="37">
        <v>45065</v>
      </c>
      <c r="E458" s="16">
        <f t="shared" si="63"/>
        <v>17</v>
      </c>
      <c r="F458" s="38" t="s">
        <v>647</v>
      </c>
      <c r="G458" s="38" t="s">
        <v>659</v>
      </c>
      <c r="H458" s="38" t="s">
        <v>685</v>
      </c>
      <c r="I458" s="38" t="s">
        <v>703</v>
      </c>
      <c r="J458" s="38" t="s">
        <v>711</v>
      </c>
      <c r="K458" s="38" t="s">
        <v>713</v>
      </c>
      <c r="L458" s="38" t="s">
        <v>732</v>
      </c>
      <c r="M458" s="39" t="s">
        <v>1190</v>
      </c>
      <c r="N458" s="40">
        <v>714.28</v>
      </c>
      <c r="O458" s="40">
        <v>757.59</v>
      </c>
      <c r="P458" s="30" t="str">
        <f t="shared" si="65"/>
        <v>Low</v>
      </c>
      <c r="Q458" s="44">
        <v>0.13600000000000001</v>
      </c>
      <c r="R458" s="42" t="str">
        <f t="shared" si="66"/>
        <v>Medium</v>
      </c>
      <c r="S458" s="16">
        <v>12</v>
      </c>
      <c r="T458" s="30">
        <v>7854.6931199999999</v>
      </c>
      <c r="U458" s="30">
        <v>8571.36</v>
      </c>
      <c r="V458" s="30">
        <v>-716.66688000000067</v>
      </c>
      <c r="W458" s="30">
        <v>-9.1240595787910383E-2</v>
      </c>
      <c r="X458" t="str">
        <f t="shared" si="67"/>
        <v>Delayed</v>
      </c>
      <c r="Y458" t="str">
        <f t="shared" si="68"/>
        <v>Compliant Discount</v>
      </c>
      <c r="Z458" s="9">
        <f>MIN(Q458,'Scenario Modelling'!$B$2)</f>
        <v>0.13600000000000001</v>
      </c>
      <c r="AA458">
        <f t="shared" si="69"/>
        <v>654.55776000000003</v>
      </c>
      <c r="AB458">
        <f>N458*(1+'Scenario Modelling'!$B$3)</f>
        <v>785.70800000000008</v>
      </c>
      <c r="AC458">
        <f>ROUNDUP(S458*(1+'Scenario Modelling'!$B$4),0)</f>
        <v>13</v>
      </c>
      <c r="AD458">
        <f t="shared" si="70"/>
        <v>8509.2508799999996</v>
      </c>
      <c r="AE458">
        <f t="shared" si="71"/>
        <v>-1704.9531200000006</v>
      </c>
    </row>
    <row r="459" spans="1:31" x14ac:dyDescent="0.3">
      <c r="A459" s="31" t="s">
        <v>472</v>
      </c>
      <c r="B459" s="48">
        <v>45260</v>
      </c>
      <c r="C459" s="47" t="str">
        <f t="shared" si="64"/>
        <v>Q4-2023</v>
      </c>
      <c r="D459" s="32">
        <v>45270</v>
      </c>
      <c r="E459" s="17">
        <f t="shared" si="63"/>
        <v>10</v>
      </c>
      <c r="F459" s="33" t="s">
        <v>649</v>
      </c>
      <c r="G459" s="33" t="s">
        <v>656</v>
      </c>
      <c r="H459" s="33" t="s">
        <v>684</v>
      </c>
      <c r="I459" s="33" t="s">
        <v>705</v>
      </c>
      <c r="J459" s="33" t="s">
        <v>711</v>
      </c>
      <c r="K459" s="33" t="s">
        <v>721</v>
      </c>
      <c r="L459" s="33" t="s">
        <v>731</v>
      </c>
      <c r="M459" s="34" t="s">
        <v>1191</v>
      </c>
      <c r="N459" s="35">
        <v>174.74</v>
      </c>
      <c r="O459" s="35">
        <v>415.96</v>
      </c>
      <c r="P459" s="30" t="str">
        <f t="shared" si="65"/>
        <v>Low</v>
      </c>
      <c r="Q459" s="43">
        <v>0.125</v>
      </c>
      <c r="R459" s="42" t="str">
        <f t="shared" si="66"/>
        <v>Medium</v>
      </c>
      <c r="S459" s="17">
        <v>21</v>
      </c>
      <c r="T459" s="30">
        <v>7643.2649999999994</v>
      </c>
      <c r="U459" s="30">
        <v>3669.54</v>
      </c>
      <c r="V459" s="30">
        <v>3973.7249999999995</v>
      </c>
      <c r="W459" s="30">
        <v>0.51989889137691803</v>
      </c>
      <c r="X459" t="str">
        <f t="shared" si="67"/>
        <v>Delayed</v>
      </c>
      <c r="Y459" t="str">
        <f t="shared" si="68"/>
        <v>Compliant Discount</v>
      </c>
      <c r="Z459" s="9">
        <f>MIN(Q459,'Scenario Modelling'!$B$2)</f>
        <v>0.125</v>
      </c>
      <c r="AA459">
        <f t="shared" si="69"/>
        <v>363.96499999999997</v>
      </c>
      <c r="AB459">
        <f>N459*(1+'Scenario Modelling'!$B$3)</f>
        <v>192.21400000000003</v>
      </c>
      <c r="AC459">
        <f>ROUNDUP(S459*(1+'Scenario Modelling'!$B$4),0)</f>
        <v>23</v>
      </c>
      <c r="AD459">
        <f t="shared" si="70"/>
        <v>8371.1949999999997</v>
      </c>
      <c r="AE459">
        <f t="shared" si="71"/>
        <v>3950.2729999999988</v>
      </c>
    </row>
    <row r="460" spans="1:31" x14ac:dyDescent="0.3">
      <c r="A460" s="36" t="s">
        <v>473</v>
      </c>
      <c r="B460" s="49">
        <v>45417</v>
      </c>
      <c r="C460" s="47" t="str">
        <f t="shared" si="64"/>
        <v>Q2-2024</v>
      </c>
      <c r="D460" s="37">
        <v>45430</v>
      </c>
      <c r="E460" s="16">
        <f t="shared" si="63"/>
        <v>13</v>
      </c>
      <c r="F460" s="38" t="s">
        <v>649</v>
      </c>
      <c r="G460" s="38" t="s">
        <v>657</v>
      </c>
      <c r="H460" s="38" t="s">
        <v>673</v>
      </c>
      <c r="I460" s="38" t="s">
        <v>701</v>
      </c>
      <c r="J460" s="38" t="s">
        <v>709</v>
      </c>
      <c r="K460" s="38" t="s">
        <v>720</v>
      </c>
      <c r="L460" s="38" t="s">
        <v>727</v>
      </c>
      <c r="M460" s="39" t="s">
        <v>1192</v>
      </c>
      <c r="N460" s="40">
        <v>1264.04</v>
      </c>
      <c r="O460" s="40">
        <v>1870.89</v>
      </c>
      <c r="P460" s="30" t="str">
        <f t="shared" si="65"/>
        <v>High</v>
      </c>
      <c r="Q460" s="44">
        <v>0</v>
      </c>
      <c r="R460" s="42" t="str">
        <f t="shared" si="66"/>
        <v>Low</v>
      </c>
      <c r="S460" s="16">
        <v>13</v>
      </c>
      <c r="T460" s="30">
        <v>24321.57</v>
      </c>
      <c r="U460" s="30">
        <v>16432.52</v>
      </c>
      <c r="V460" s="30">
        <v>7889.0499999999993</v>
      </c>
      <c r="W460" s="30">
        <v>0.32436433996653996</v>
      </c>
      <c r="X460" t="str">
        <f t="shared" si="67"/>
        <v>Delayed</v>
      </c>
      <c r="Y460" t="str">
        <f t="shared" si="68"/>
        <v>Compliant Discount</v>
      </c>
      <c r="Z460" s="9">
        <f>MIN(Q460,'Scenario Modelling'!$B$2)</f>
        <v>0</v>
      </c>
      <c r="AA460">
        <f t="shared" si="69"/>
        <v>1870.89</v>
      </c>
      <c r="AB460">
        <f>N460*(1+'Scenario Modelling'!$B$3)</f>
        <v>1390.444</v>
      </c>
      <c r="AC460">
        <f>ROUNDUP(S460*(1+'Scenario Modelling'!$B$4),0)</f>
        <v>14</v>
      </c>
      <c r="AD460">
        <f t="shared" si="70"/>
        <v>26192.460000000003</v>
      </c>
      <c r="AE460">
        <f t="shared" si="71"/>
        <v>6726.2440000000024</v>
      </c>
    </row>
    <row r="461" spans="1:31" x14ac:dyDescent="0.3">
      <c r="A461" s="31" t="s">
        <v>474</v>
      </c>
      <c r="B461" s="48">
        <v>45116</v>
      </c>
      <c r="C461" s="47" t="str">
        <f t="shared" si="64"/>
        <v>Q3-2023</v>
      </c>
      <c r="D461" s="32">
        <v>45126</v>
      </c>
      <c r="E461" s="17">
        <f t="shared" si="63"/>
        <v>10</v>
      </c>
      <c r="F461" s="33" t="s">
        <v>647</v>
      </c>
      <c r="G461" s="33" t="s">
        <v>652</v>
      </c>
      <c r="H461" s="33" t="s">
        <v>689</v>
      </c>
      <c r="I461" s="33" t="s">
        <v>706</v>
      </c>
      <c r="J461" s="33" t="s">
        <v>710</v>
      </c>
      <c r="K461" s="33" t="s">
        <v>725</v>
      </c>
      <c r="L461" s="33" t="s">
        <v>727</v>
      </c>
      <c r="M461" s="34" t="s">
        <v>1193</v>
      </c>
      <c r="N461" s="35">
        <v>141.26</v>
      </c>
      <c r="O461" s="35">
        <v>206.88</v>
      </c>
      <c r="P461" s="30" t="str">
        <f t="shared" si="65"/>
        <v>Low</v>
      </c>
      <c r="Q461" s="43">
        <v>0.107</v>
      </c>
      <c r="R461" s="42" t="str">
        <f t="shared" si="66"/>
        <v>Medium</v>
      </c>
      <c r="S461" s="17">
        <v>9</v>
      </c>
      <c r="T461" s="30">
        <v>1662.6945600000001</v>
      </c>
      <c r="U461" s="30">
        <v>1271.3399999999999</v>
      </c>
      <c r="V461" s="30">
        <v>391.35456000000022</v>
      </c>
      <c r="W461" s="30">
        <v>0.23537369365062469</v>
      </c>
      <c r="X461" t="str">
        <f t="shared" si="67"/>
        <v>Delayed</v>
      </c>
      <c r="Y461" t="str">
        <f t="shared" si="68"/>
        <v>Compliant Discount</v>
      </c>
      <c r="Z461" s="9">
        <f>MIN(Q461,'Scenario Modelling'!$B$2)</f>
        <v>0.107</v>
      </c>
      <c r="AA461">
        <f t="shared" si="69"/>
        <v>184.74384000000001</v>
      </c>
      <c r="AB461">
        <f>N461*(1+'Scenario Modelling'!$B$3)</f>
        <v>155.386</v>
      </c>
      <c r="AC461">
        <f>ROUNDUP(S461*(1+'Scenario Modelling'!$B$4),0)</f>
        <v>10</v>
      </c>
      <c r="AD461">
        <f t="shared" si="70"/>
        <v>1847.4384</v>
      </c>
      <c r="AE461">
        <f t="shared" si="71"/>
        <v>293.5784000000001</v>
      </c>
    </row>
    <row r="462" spans="1:31" x14ac:dyDescent="0.3">
      <c r="A462" s="36" t="s">
        <v>475</v>
      </c>
      <c r="B462" s="49">
        <v>45063</v>
      </c>
      <c r="C462" s="47" t="str">
        <f t="shared" si="64"/>
        <v>Q2-2023</v>
      </c>
      <c r="D462" s="37">
        <v>45092</v>
      </c>
      <c r="E462" s="16">
        <f t="shared" si="63"/>
        <v>29</v>
      </c>
      <c r="F462" s="38" t="s">
        <v>646</v>
      </c>
      <c r="G462" s="38" t="s">
        <v>661</v>
      </c>
      <c r="H462" s="38" t="s">
        <v>687</v>
      </c>
      <c r="I462" s="38" t="s">
        <v>706</v>
      </c>
      <c r="J462" s="38" t="s">
        <v>707</v>
      </c>
      <c r="K462" s="38" t="s">
        <v>723</v>
      </c>
      <c r="L462" s="38" t="s">
        <v>733</v>
      </c>
      <c r="M462" s="39" t="s">
        <v>1194</v>
      </c>
      <c r="N462" s="40">
        <v>40.89</v>
      </c>
      <c r="O462" s="40">
        <v>62.82</v>
      </c>
      <c r="P462" s="30" t="str">
        <f t="shared" si="65"/>
        <v>Low</v>
      </c>
      <c r="Q462" s="44">
        <v>0.129</v>
      </c>
      <c r="R462" s="42" t="str">
        <f t="shared" si="66"/>
        <v>Medium</v>
      </c>
      <c r="S462" s="16">
        <v>17</v>
      </c>
      <c r="T462" s="30">
        <v>930.17574000000002</v>
      </c>
      <c r="U462" s="30">
        <v>695.13</v>
      </c>
      <c r="V462" s="30">
        <v>235.04574000000002</v>
      </c>
      <c r="W462" s="30">
        <v>0.25268960465470752</v>
      </c>
      <c r="X462" t="str">
        <f t="shared" si="67"/>
        <v>Delayed</v>
      </c>
      <c r="Y462" t="str">
        <f t="shared" si="68"/>
        <v>Compliant Discount</v>
      </c>
      <c r="Z462" s="9">
        <f>MIN(Q462,'Scenario Modelling'!$B$2)</f>
        <v>0.129</v>
      </c>
      <c r="AA462">
        <f t="shared" si="69"/>
        <v>54.71622</v>
      </c>
      <c r="AB462">
        <f>N462*(1+'Scenario Modelling'!$B$3)</f>
        <v>44.979000000000006</v>
      </c>
      <c r="AC462">
        <f>ROUNDUP(S462*(1+'Scenario Modelling'!$B$4),0)</f>
        <v>18</v>
      </c>
      <c r="AD462">
        <f t="shared" si="70"/>
        <v>984.89196000000004</v>
      </c>
      <c r="AE462">
        <f t="shared" si="71"/>
        <v>175.26995999999988</v>
      </c>
    </row>
    <row r="463" spans="1:31" x14ac:dyDescent="0.3">
      <c r="A463" s="31" t="s">
        <v>476</v>
      </c>
      <c r="B463" s="48">
        <v>45358</v>
      </c>
      <c r="C463" s="47" t="str">
        <f t="shared" si="64"/>
        <v>Q1-2024</v>
      </c>
      <c r="D463" s="32">
        <v>45385</v>
      </c>
      <c r="E463" s="17">
        <f t="shared" si="63"/>
        <v>27</v>
      </c>
      <c r="F463" s="33" t="s">
        <v>649</v>
      </c>
      <c r="G463" s="33" t="s">
        <v>656</v>
      </c>
      <c r="H463" s="33" t="s">
        <v>698</v>
      </c>
      <c r="I463" s="33" t="s">
        <v>701</v>
      </c>
      <c r="J463" s="33" t="s">
        <v>711</v>
      </c>
      <c r="K463" s="33" t="s">
        <v>724</v>
      </c>
      <c r="L463" s="33" t="s">
        <v>728</v>
      </c>
      <c r="M463" s="34" t="s">
        <v>1195</v>
      </c>
      <c r="N463" s="35">
        <v>738.16</v>
      </c>
      <c r="O463" s="35">
        <v>956.49</v>
      </c>
      <c r="P463" s="30" t="str">
        <f t="shared" si="65"/>
        <v>Medium</v>
      </c>
      <c r="Q463" s="43">
        <v>0.152</v>
      </c>
      <c r="R463" s="42" t="str">
        <f t="shared" si="66"/>
        <v>Medium</v>
      </c>
      <c r="S463" s="17">
        <v>5</v>
      </c>
      <c r="T463" s="30">
        <v>4055.5175999999997</v>
      </c>
      <c r="U463" s="30">
        <v>3690.7999999999997</v>
      </c>
      <c r="V463" s="30">
        <v>364.71759999999995</v>
      </c>
      <c r="W463" s="30">
        <v>8.9931208780847108E-2</v>
      </c>
      <c r="X463" t="str">
        <f t="shared" si="67"/>
        <v>Delayed</v>
      </c>
      <c r="Y463" t="str">
        <f t="shared" si="68"/>
        <v>Compliant Discount</v>
      </c>
      <c r="Z463" s="9">
        <f>MIN(Q463,'Scenario Modelling'!$B$2)</f>
        <v>0.152</v>
      </c>
      <c r="AA463">
        <f t="shared" si="69"/>
        <v>811.10352</v>
      </c>
      <c r="AB463">
        <f>N463*(1+'Scenario Modelling'!$B$3)</f>
        <v>811.976</v>
      </c>
      <c r="AC463">
        <f>ROUNDUP(S463*(1+'Scenario Modelling'!$B$4),0)</f>
        <v>6</v>
      </c>
      <c r="AD463">
        <f t="shared" si="70"/>
        <v>4866.6211199999998</v>
      </c>
      <c r="AE463">
        <f t="shared" si="71"/>
        <v>-5.2348799999999756</v>
      </c>
    </row>
    <row r="464" spans="1:31" x14ac:dyDescent="0.3">
      <c r="A464" s="36" t="s">
        <v>477</v>
      </c>
      <c r="B464" s="49">
        <v>45757</v>
      </c>
      <c r="C464" s="47" t="str">
        <f t="shared" si="64"/>
        <v>Q2-2025</v>
      </c>
      <c r="D464" s="37">
        <v>45766</v>
      </c>
      <c r="E464" s="16">
        <f t="shared" si="63"/>
        <v>9</v>
      </c>
      <c r="F464" s="38" t="s">
        <v>646</v>
      </c>
      <c r="G464" s="38" t="s">
        <v>661</v>
      </c>
      <c r="H464" s="38" t="s">
        <v>687</v>
      </c>
      <c r="I464" s="38" t="s">
        <v>706</v>
      </c>
      <c r="J464" s="38" t="s">
        <v>1424</v>
      </c>
      <c r="K464" s="38" t="s">
        <v>715</v>
      </c>
      <c r="L464" s="38" t="s">
        <v>729</v>
      </c>
      <c r="M464" s="39" t="s">
        <v>1196</v>
      </c>
      <c r="N464" s="40">
        <v>113.74</v>
      </c>
      <c r="O464" s="40">
        <v>165.7</v>
      </c>
      <c r="P464" s="30" t="str">
        <f t="shared" si="65"/>
        <v>Low</v>
      </c>
      <c r="Q464" s="44">
        <v>0.124</v>
      </c>
      <c r="R464" s="42" t="str">
        <f t="shared" si="66"/>
        <v>Medium</v>
      </c>
      <c r="S464" s="16">
        <v>13</v>
      </c>
      <c r="T464" s="30">
        <v>1886.9915999999998</v>
      </c>
      <c r="U464" s="30">
        <v>1478.62</v>
      </c>
      <c r="V464" s="30">
        <v>408.37159999999994</v>
      </c>
      <c r="W464" s="30">
        <v>0.21641410592394794</v>
      </c>
      <c r="X464" t="str">
        <f t="shared" si="67"/>
        <v>Delayed</v>
      </c>
      <c r="Y464" t="str">
        <f t="shared" si="68"/>
        <v>Compliant Discount</v>
      </c>
      <c r="Z464" s="9">
        <f>MIN(Q464,'Scenario Modelling'!$B$2)</f>
        <v>0.124</v>
      </c>
      <c r="AA464">
        <f t="shared" si="69"/>
        <v>145.1532</v>
      </c>
      <c r="AB464">
        <f>N464*(1+'Scenario Modelling'!$B$3)</f>
        <v>125.114</v>
      </c>
      <c r="AC464">
        <f>ROUNDUP(S464*(1+'Scenario Modelling'!$B$4),0)</f>
        <v>14</v>
      </c>
      <c r="AD464">
        <f t="shared" si="70"/>
        <v>2032.1448</v>
      </c>
      <c r="AE464">
        <f t="shared" si="71"/>
        <v>280.54879999999991</v>
      </c>
    </row>
    <row r="465" spans="1:31" x14ac:dyDescent="0.3">
      <c r="A465" s="31" t="s">
        <v>478</v>
      </c>
      <c r="B465" s="48">
        <v>45865</v>
      </c>
      <c r="C465" s="47" t="str">
        <f t="shared" si="64"/>
        <v>Q3-2025</v>
      </c>
      <c r="D465" s="32">
        <v>45884</v>
      </c>
      <c r="E465" s="17">
        <f t="shared" si="63"/>
        <v>19</v>
      </c>
      <c r="F465" s="33" t="s">
        <v>647</v>
      </c>
      <c r="G465" s="33" t="s">
        <v>652</v>
      </c>
      <c r="H465" s="33" t="s">
        <v>689</v>
      </c>
      <c r="I465" s="33" t="s">
        <v>705</v>
      </c>
      <c r="J465" s="33" t="s">
        <v>709</v>
      </c>
      <c r="K465" s="33" t="s">
        <v>713</v>
      </c>
      <c r="L465" s="33" t="s">
        <v>727</v>
      </c>
      <c r="M465" s="34" t="s">
        <v>1197</v>
      </c>
      <c r="N465" s="35">
        <v>275.43</v>
      </c>
      <c r="O465" s="35">
        <v>608.36</v>
      </c>
      <c r="P465" s="30" t="str">
        <f t="shared" si="65"/>
        <v>Low</v>
      </c>
      <c r="Q465" s="43">
        <v>0.25700000000000001</v>
      </c>
      <c r="R465" s="42" t="str">
        <f t="shared" si="66"/>
        <v>High</v>
      </c>
      <c r="S465" s="17">
        <v>4</v>
      </c>
      <c r="T465" s="30">
        <v>1808.04592</v>
      </c>
      <c r="U465" s="30">
        <v>1101.72</v>
      </c>
      <c r="V465" s="30">
        <v>706.32592</v>
      </c>
      <c r="W465" s="30">
        <v>0.39065706915231446</v>
      </c>
      <c r="X465" t="str">
        <f t="shared" si="67"/>
        <v>Delayed</v>
      </c>
      <c r="Y465" t="str">
        <f t="shared" si="68"/>
        <v>Non-compliant Discount</v>
      </c>
      <c r="Z465" s="9">
        <f>MIN(Q465,'Scenario Modelling'!$B$2)</f>
        <v>0.2</v>
      </c>
      <c r="AA465">
        <f t="shared" si="69"/>
        <v>486.68800000000005</v>
      </c>
      <c r="AB465">
        <f>N465*(1+'Scenario Modelling'!$B$3)</f>
        <v>302.97300000000001</v>
      </c>
      <c r="AC465">
        <f>ROUNDUP(S465*(1+'Scenario Modelling'!$B$4),0)</f>
        <v>5</v>
      </c>
      <c r="AD465">
        <f t="shared" si="70"/>
        <v>2433.44</v>
      </c>
      <c r="AE465">
        <f t="shared" si="71"/>
        <v>918.57500000000016</v>
      </c>
    </row>
    <row r="466" spans="1:31" x14ac:dyDescent="0.3">
      <c r="A466" s="36" t="s">
        <v>479</v>
      </c>
      <c r="B466" s="49">
        <v>45618</v>
      </c>
      <c r="C466" s="47" t="str">
        <f t="shared" si="64"/>
        <v>Q4-2024</v>
      </c>
      <c r="D466" s="37">
        <v>45641</v>
      </c>
      <c r="E466" s="16">
        <f t="shared" si="63"/>
        <v>23</v>
      </c>
      <c r="F466" s="38" t="s">
        <v>646</v>
      </c>
      <c r="G466" s="38" t="s">
        <v>650</v>
      </c>
      <c r="H466" s="38" t="s">
        <v>675</v>
      </c>
      <c r="I466" s="38" t="s">
        <v>703</v>
      </c>
      <c r="J466" s="38" t="s">
        <v>710</v>
      </c>
      <c r="K466" s="38" t="s">
        <v>712</v>
      </c>
      <c r="L466" s="38" t="s">
        <v>727</v>
      </c>
      <c r="M466" s="39" t="s">
        <v>1198</v>
      </c>
      <c r="N466" s="40">
        <v>1335.76</v>
      </c>
      <c r="O466" s="40">
        <v>2665.91</v>
      </c>
      <c r="P466" s="30" t="str">
        <f t="shared" si="65"/>
        <v>High</v>
      </c>
      <c r="Q466" s="44">
        <v>0.21099999999999999</v>
      </c>
      <c r="R466" s="42" t="str">
        <f t="shared" si="66"/>
        <v>High</v>
      </c>
      <c r="S466" s="16">
        <v>40</v>
      </c>
      <c r="T466" s="30">
        <v>84136.119600000005</v>
      </c>
      <c r="U466" s="30">
        <v>53430.400000000001</v>
      </c>
      <c r="V466" s="30">
        <v>30705.719600000004</v>
      </c>
      <c r="W466" s="30">
        <v>0.36495288522909253</v>
      </c>
      <c r="X466" t="str">
        <f t="shared" si="67"/>
        <v>Delayed</v>
      </c>
      <c r="Y466" t="str">
        <f t="shared" si="68"/>
        <v>Non-compliant Discount</v>
      </c>
      <c r="Z466" s="9">
        <f>MIN(Q466,'Scenario Modelling'!$B$2)</f>
        <v>0.2</v>
      </c>
      <c r="AA466">
        <f t="shared" si="69"/>
        <v>2132.7280000000001</v>
      </c>
      <c r="AB466">
        <f>N466*(1+'Scenario Modelling'!$B$3)</f>
        <v>1469.336</v>
      </c>
      <c r="AC466">
        <f>ROUNDUP(S466*(1+'Scenario Modelling'!$B$4),0)</f>
        <v>42</v>
      </c>
      <c r="AD466">
        <f t="shared" si="70"/>
        <v>89574.576000000001</v>
      </c>
      <c r="AE466">
        <f t="shared" si="71"/>
        <v>27862.464000000004</v>
      </c>
    </row>
    <row r="467" spans="1:31" x14ac:dyDescent="0.3">
      <c r="A467" s="31" t="s">
        <v>480</v>
      </c>
      <c r="B467" s="48">
        <v>45466</v>
      </c>
      <c r="C467" s="47" t="str">
        <f t="shared" si="64"/>
        <v>Q2-2024</v>
      </c>
      <c r="D467" s="32">
        <v>45471</v>
      </c>
      <c r="E467" s="17">
        <f t="shared" si="63"/>
        <v>5</v>
      </c>
      <c r="F467" s="33" t="s">
        <v>646</v>
      </c>
      <c r="G467" s="33" t="s">
        <v>651</v>
      </c>
      <c r="H467" s="33" t="s">
        <v>663</v>
      </c>
      <c r="I467" s="33" t="s">
        <v>703</v>
      </c>
      <c r="J467" s="33" t="s">
        <v>711</v>
      </c>
      <c r="K467" s="33" t="s">
        <v>724</v>
      </c>
      <c r="L467" s="33" t="s">
        <v>733</v>
      </c>
      <c r="M467" s="34" t="s">
        <v>1199</v>
      </c>
      <c r="N467" s="35">
        <v>242.31</v>
      </c>
      <c r="O467" s="35">
        <v>587.95000000000005</v>
      </c>
      <c r="P467" s="30" t="str">
        <f t="shared" si="65"/>
        <v>Low</v>
      </c>
      <c r="Q467" s="43">
        <v>0.22900000000000001</v>
      </c>
      <c r="R467" s="42" t="str">
        <f t="shared" si="66"/>
        <v>High</v>
      </c>
      <c r="S467" s="17">
        <v>6</v>
      </c>
      <c r="T467" s="30">
        <v>2719.8567000000003</v>
      </c>
      <c r="U467" s="30">
        <v>1453.8600000000001</v>
      </c>
      <c r="V467" s="30">
        <v>1265.9967000000001</v>
      </c>
      <c r="W467" s="30">
        <v>0.46546448568411714</v>
      </c>
      <c r="X467" t="str">
        <f t="shared" si="67"/>
        <v>On-time</v>
      </c>
      <c r="Y467" t="str">
        <f t="shared" si="68"/>
        <v>Non-compliant Discount</v>
      </c>
      <c r="Z467" s="9">
        <f>MIN(Q467,'Scenario Modelling'!$B$2)</f>
        <v>0.2</v>
      </c>
      <c r="AA467">
        <f t="shared" si="69"/>
        <v>470.36000000000007</v>
      </c>
      <c r="AB467">
        <f>N467*(1+'Scenario Modelling'!$B$3)</f>
        <v>266.541</v>
      </c>
      <c r="AC467">
        <f>ROUNDUP(S467*(1+'Scenario Modelling'!$B$4),0)</f>
        <v>7</v>
      </c>
      <c r="AD467">
        <f t="shared" si="70"/>
        <v>3292.5200000000004</v>
      </c>
      <c r="AE467">
        <f t="shared" si="71"/>
        <v>1426.7330000000006</v>
      </c>
    </row>
    <row r="468" spans="1:31" x14ac:dyDescent="0.3">
      <c r="A468" s="36" t="s">
        <v>481</v>
      </c>
      <c r="B468" s="49">
        <v>45278</v>
      </c>
      <c r="C468" s="47" t="str">
        <f t="shared" si="64"/>
        <v>Q4-2023</v>
      </c>
      <c r="D468" s="37">
        <v>45305</v>
      </c>
      <c r="E468" s="16">
        <f t="shared" si="63"/>
        <v>27</v>
      </c>
      <c r="F468" s="38" t="s">
        <v>647</v>
      </c>
      <c r="G468" s="38" t="s">
        <v>654</v>
      </c>
      <c r="H468" s="38" t="s">
        <v>691</v>
      </c>
      <c r="I468" s="38" t="s">
        <v>704</v>
      </c>
      <c r="J468" s="38" t="s">
        <v>710</v>
      </c>
      <c r="K468" s="38" t="s">
        <v>726</v>
      </c>
      <c r="L468" s="38" t="s">
        <v>729</v>
      </c>
      <c r="M468" s="39" t="s">
        <v>1200</v>
      </c>
      <c r="N468" s="40">
        <v>1408.3</v>
      </c>
      <c r="O468" s="40">
        <v>2193.13</v>
      </c>
      <c r="P468" s="30" t="str">
        <f t="shared" si="65"/>
        <v>High</v>
      </c>
      <c r="Q468" s="44">
        <v>7.0999999999999994E-2</v>
      </c>
      <c r="R468" s="42" t="str">
        <f t="shared" si="66"/>
        <v>Low</v>
      </c>
      <c r="S468" s="16">
        <v>7</v>
      </c>
      <c r="T468" s="30">
        <v>14261.92439</v>
      </c>
      <c r="U468" s="30">
        <v>9858.1</v>
      </c>
      <c r="V468" s="30">
        <v>4403.8243899999998</v>
      </c>
      <c r="W468" s="30">
        <v>0.30878191957656281</v>
      </c>
      <c r="X468" t="str">
        <f t="shared" si="67"/>
        <v>Delayed</v>
      </c>
      <c r="Y468" t="str">
        <f t="shared" si="68"/>
        <v>Compliant Discount</v>
      </c>
      <c r="Z468" s="9">
        <f>MIN(Q468,'Scenario Modelling'!$B$2)</f>
        <v>7.0999999999999994E-2</v>
      </c>
      <c r="AA468">
        <f t="shared" si="69"/>
        <v>2037.4177700000002</v>
      </c>
      <c r="AB468">
        <f>N468*(1+'Scenario Modelling'!$B$3)</f>
        <v>1549.13</v>
      </c>
      <c r="AC468">
        <f>ROUNDUP(S468*(1+'Scenario Modelling'!$B$4),0)</f>
        <v>8</v>
      </c>
      <c r="AD468">
        <f t="shared" si="70"/>
        <v>16299.342160000002</v>
      </c>
      <c r="AE468">
        <f t="shared" si="71"/>
        <v>3906.3021600000011</v>
      </c>
    </row>
    <row r="469" spans="1:31" x14ac:dyDescent="0.3">
      <c r="A469" s="31" t="s">
        <v>482</v>
      </c>
      <c r="B469" s="48">
        <v>45809</v>
      </c>
      <c r="C469" s="47" t="str">
        <f t="shared" si="64"/>
        <v>Q2-2025</v>
      </c>
      <c r="D469" s="32">
        <v>45813</v>
      </c>
      <c r="E469" s="17">
        <f t="shared" si="63"/>
        <v>4</v>
      </c>
      <c r="F469" s="33" t="s">
        <v>649</v>
      </c>
      <c r="G469" s="33" t="s">
        <v>656</v>
      </c>
      <c r="H469" s="33" t="s">
        <v>684</v>
      </c>
      <c r="I469" s="33" t="s">
        <v>706</v>
      </c>
      <c r="J469" s="33" t="s">
        <v>711</v>
      </c>
      <c r="K469" s="33" t="s">
        <v>724</v>
      </c>
      <c r="L469" s="33" t="s">
        <v>727</v>
      </c>
      <c r="M469" s="34" t="s">
        <v>1201</v>
      </c>
      <c r="N469" s="35">
        <v>1171.42</v>
      </c>
      <c r="O469" s="35">
        <v>2187.8000000000002</v>
      </c>
      <c r="P469" s="30" t="str">
        <f t="shared" si="65"/>
        <v>High</v>
      </c>
      <c r="Q469" s="43">
        <v>0.23</v>
      </c>
      <c r="R469" s="42" t="str">
        <f t="shared" si="66"/>
        <v>High</v>
      </c>
      <c r="S469" s="17">
        <v>15</v>
      </c>
      <c r="T469" s="30">
        <v>25269.09</v>
      </c>
      <c r="U469" s="30">
        <v>17571.300000000003</v>
      </c>
      <c r="V469" s="30">
        <v>7697.7899999999972</v>
      </c>
      <c r="W469" s="30">
        <v>0.30463265594447592</v>
      </c>
      <c r="X469" t="str">
        <f t="shared" si="67"/>
        <v>On-time</v>
      </c>
      <c r="Y469" t="str">
        <f t="shared" si="68"/>
        <v>Non-compliant Discount</v>
      </c>
      <c r="Z469" s="9">
        <f>MIN(Q469,'Scenario Modelling'!$B$2)</f>
        <v>0.2</v>
      </c>
      <c r="AA469">
        <f t="shared" si="69"/>
        <v>1750.2400000000002</v>
      </c>
      <c r="AB469">
        <f>N469*(1+'Scenario Modelling'!$B$3)</f>
        <v>1288.5620000000001</v>
      </c>
      <c r="AC469">
        <f>ROUNDUP(S469*(1+'Scenario Modelling'!$B$4),0)</f>
        <v>16</v>
      </c>
      <c r="AD469">
        <f t="shared" si="70"/>
        <v>28003.840000000004</v>
      </c>
      <c r="AE469">
        <f t="shared" si="71"/>
        <v>7386.8480000000018</v>
      </c>
    </row>
    <row r="470" spans="1:31" x14ac:dyDescent="0.3">
      <c r="A470" s="36" t="s">
        <v>483</v>
      </c>
      <c r="B470" s="49">
        <v>45739</v>
      </c>
      <c r="C470" s="47" t="str">
        <f t="shared" si="64"/>
        <v>Q1-2025</v>
      </c>
      <c r="D470" s="37">
        <v>45749</v>
      </c>
      <c r="E470" s="16">
        <f t="shared" si="63"/>
        <v>10</v>
      </c>
      <c r="F470" s="38" t="s">
        <v>649</v>
      </c>
      <c r="G470" s="38" t="s">
        <v>656</v>
      </c>
      <c r="H470" s="38" t="s">
        <v>671</v>
      </c>
      <c r="I470" s="38" t="s">
        <v>706</v>
      </c>
      <c r="J470" s="38" t="s">
        <v>708</v>
      </c>
      <c r="K470" s="38" t="s">
        <v>718</v>
      </c>
      <c r="L470" s="38" t="s">
        <v>728</v>
      </c>
      <c r="M470" s="39" t="s">
        <v>1202</v>
      </c>
      <c r="N470" s="40">
        <v>663.61</v>
      </c>
      <c r="O470" s="40">
        <v>1002.11</v>
      </c>
      <c r="P470" s="30" t="str">
        <f t="shared" si="65"/>
        <v>Medium</v>
      </c>
      <c r="Q470" s="44">
        <v>4.5999999999999999E-2</v>
      </c>
      <c r="R470" s="42" t="str">
        <f t="shared" si="66"/>
        <v>Low</v>
      </c>
      <c r="S470" s="16">
        <v>17</v>
      </c>
      <c r="T470" s="30">
        <v>16252.219979999998</v>
      </c>
      <c r="U470" s="30">
        <v>11281.37</v>
      </c>
      <c r="V470" s="30">
        <v>4970.8499799999972</v>
      </c>
      <c r="W470" s="30">
        <v>0.30585667595670812</v>
      </c>
      <c r="X470" t="str">
        <f t="shared" si="67"/>
        <v>Delayed</v>
      </c>
      <c r="Y470" t="str">
        <f t="shared" si="68"/>
        <v>Compliant Discount</v>
      </c>
      <c r="Z470" s="9">
        <f>MIN(Q470,'Scenario Modelling'!$B$2)</f>
        <v>4.5999999999999999E-2</v>
      </c>
      <c r="AA470">
        <f t="shared" si="69"/>
        <v>956.01293999999996</v>
      </c>
      <c r="AB470">
        <f>N470*(1+'Scenario Modelling'!$B$3)</f>
        <v>729.97100000000012</v>
      </c>
      <c r="AC470">
        <f>ROUNDUP(S470*(1+'Scenario Modelling'!$B$4),0)</f>
        <v>18</v>
      </c>
      <c r="AD470">
        <f t="shared" si="70"/>
        <v>17208.232919999999</v>
      </c>
      <c r="AE470">
        <f t="shared" si="71"/>
        <v>4068.7549199999971</v>
      </c>
    </row>
    <row r="471" spans="1:31" x14ac:dyDescent="0.3">
      <c r="A471" s="31" t="s">
        <v>484</v>
      </c>
      <c r="B471" s="48">
        <v>45060</v>
      </c>
      <c r="C471" s="47" t="str">
        <f t="shared" si="64"/>
        <v>Q2-2023</v>
      </c>
      <c r="D471" s="32">
        <v>45068</v>
      </c>
      <c r="E471" s="17">
        <f t="shared" si="63"/>
        <v>8</v>
      </c>
      <c r="F471" s="33" t="s">
        <v>646</v>
      </c>
      <c r="G471" s="33" t="s">
        <v>650</v>
      </c>
      <c r="H471" s="33" t="s">
        <v>675</v>
      </c>
      <c r="I471" s="33" t="s">
        <v>705</v>
      </c>
      <c r="J471" s="33" t="s">
        <v>710</v>
      </c>
      <c r="K471" s="33" t="s">
        <v>721</v>
      </c>
      <c r="L471" s="33" t="s">
        <v>728</v>
      </c>
      <c r="M471" s="34" t="s">
        <v>1203</v>
      </c>
      <c r="N471" s="35">
        <v>432.01</v>
      </c>
      <c r="O471" s="35">
        <v>913.78</v>
      </c>
      <c r="P471" s="30" t="str">
        <f t="shared" si="65"/>
        <v>Medium</v>
      </c>
      <c r="Q471" s="43">
        <v>4.9000000000000002E-2</v>
      </c>
      <c r="R471" s="42" t="str">
        <f t="shared" si="66"/>
        <v>Low</v>
      </c>
      <c r="S471" s="17">
        <v>12</v>
      </c>
      <c r="T471" s="30">
        <v>10428.057360000001</v>
      </c>
      <c r="U471" s="30">
        <v>5184.12</v>
      </c>
      <c r="V471" s="30">
        <v>5243.9373600000008</v>
      </c>
      <c r="W471" s="30">
        <v>0.50286809699711899</v>
      </c>
      <c r="X471" t="str">
        <f t="shared" si="67"/>
        <v>Delayed</v>
      </c>
      <c r="Y471" t="str">
        <f t="shared" si="68"/>
        <v>Compliant Discount</v>
      </c>
      <c r="Z471" s="9">
        <f>MIN(Q471,'Scenario Modelling'!$B$2)</f>
        <v>4.9000000000000002E-2</v>
      </c>
      <c r="AA471">
        <f t="shared" si="69"/>
        <v>869.00477999999998</v>
      </c>
      <c r="AB471">
        <f>N471*(1+'Scenario Modelling'!$B$3)</f>
        <v>475.21100000000001</v>
      </c>
      <c r="AC471">
        <f>ROUNDUP(S471*(1+'Scenario Modelling'!$B$4),0)</f>
        <v>13</v>
      </c>
      <c r="AD471">
        <f t="shared" si="70"/>
        <v>11297.06214</v>
      </c>
      <c r="AE471">
        <f t="shared" si="71"/>
        <v>5119.3191399999996</v>
      </c>
    </row>
    <row r="472" spans="1:31" x14ac:dyDescent="0.3">
      <c r="A472" s="36" t="s">
        <v>485</v>
      </c>
      <c r="B472" s="49">
        <v>45167</v>
      </c>
      <c r="C472" s="47" t="str">
        <f t="shared" si="64"/>
        <v>Q3-2023</v>
      </c>
      <c r="D472" s="37">
        <v>45188</v>
      </c>
      <c r="E472" s="16">
        <f t="shared" si="63"/>
        <v>21</v>
      </c>
      <c r="F472" s="38" t="s">
        <v>649</v>
      </c>
      <c r="G472" s="38" t="s">
        <v>657</v>
      </c>
      <c r="H472" s="38" t="s">
        <v>679</v>
      </c>
      <c r="I472" s="38" t="s">
        <v>705</v>
      </c>
      <c r="J472" s="38" t="s">
        <v>711</v>
      </c>
      <c r="K472" s="38" t="s">
        <v>717</v>
      </c>
      <c r="L472" s="38" t="s">
        <v>728</v>
      </c>
      <c r="M472" s="39" t="s">
        <v>1204</v>
      </c>
      <c r="N472" s="40">
        <v>784.46</v>
      </c>
      <c r="O472" s="40">
        <v>1843.51</v>
      </c>
      <c r="P472" s="30" t="str">
        <f t="shared" si="65"/>
        <v>High</v>
      </c>
      <c r="Q472" s="44">
        <v>0.13800000000000001</v>
      </c>
      <c r="R472" s="42" t="str">
        <f t="shared" si="66"/>
        <v>Medium</v>
      </c>
      <c r="S472" s="16">
        <v>23</v>
      </c>
      <c r="T472" s="30">
        <v>36549.429260000004</v>
      </c>
      <c r="U472" s="30">
        <v>18042.580000000002</v>
      </c>
      <c r="V472" s="30">
        <v>18506.849260000003</v>
      </c>
      <c r="W472" s="30">
        <v>0.50635125184441798</v>
      </c>
      <c r="X472" t="str">
        <f t="shared" si="67"/>
        <v>Delayed</v>
      </c>
      <c r="Y472" t="str">
        <f t="shared" si="68"/>
        <v>Compliant Discount</v>
      </c>
      <c r="Z472" s="9">
        <f>MIN(Q472,'Scenario Modelling'!$B$2)</f>
        <v>0.13800000000000001</v>
      </c>
      <c r="AA472">
        <f t="shared" si="69"/>
        <v>1589.10562</v>
      </c>
      <c r="AB472">
        <f>N472*(1+'Scenario Modelling'!$B$3)</f>
        <v>862.90600000000006</v>
      </c>
      <c r="AC472">
        <f>ROUNDUP(S472*(1+'Scenario Modelling'!$B$4),0)</f>
        <v>25</v>
      </c>
      <c r="AD472">
        <f t="shared" si="70"/>
        <v>39727.640500000001</v>
      </c>
      <c r="AE472">
        <f t="shared" si="71"/>
        <v>18154.9905</v>
      </c>
    </row>
    <row r="473" spans="1:31" x14ac:dyDescent="0.3">
      <c r="A473" s="31" t="s">
        <v>486</v>
      </c>
      <c r="B473" s="48">
        <v>45841</v>
      </c>
      <c r="C473" s="47" t="str">
        <f t="shared" si="64"/>
        <v>Q3-2025</v>
      </c>
      <c r="D473" s="32">
        <v>45861</v>
      </c>
      <c r="E473" s="17">
        <f t="shared" si="63"/>
        <v>20</v>
      </c>
      <c r="F473" s="33" t="s">
        <v>647</v>
      </c>
      <c r="G473" s="33" t="s">
        <v>659</v>
      </c>
      <c r="H473" s="33" t="s">
        <v>699</v>
      </c>
      <c r="I473" s="33" t="s">
        <v>705</v>
      </c>
      <c r="J473" s="33" t="s">
        <v>708</v>
      </c>
      <c r="K473" s="33" t="s">
        <v>724</v>
      </c>
      <c r="L473" s="33" t="s">
        <v>727</v>
      </c>
      <c r="M473" s="34" t="s">
        <v>1205</v>
      </c>
      <c r="N473" s="35">
        <v>647.36</v>
      </c>
      <c r="O473" s="35">
        <v>1383.6</v>
      </c>
      <c r="P473" s="30" t="str">
        <f t="shared" si="65"/>
        <v>Medium</v>
      </c>
      <c r="Q473" s="43">
        <v>7.3999999999999996E-2</v>
      </c>
      <c r="R473" s="42" t="str">
        <f t="shared" si="66"/>
        <v>Low</v>
      </c>
      <c r="S473" s="17">
        <v>12</v>
      </c>
      <c r="T473" s="30">
        <v>15374.563199999999</v>
      </c>
      <c r="U473" s="30">
        <v>7768.32</v>
      </c>
      <c r="V473" s="30">
        <v>7606.243199999999</v>
      </c>
      <c r="W473" s="30">
        <v>0.49472906000997802</v>
      </c>
      <c r="X473" t="str">
        <f t="shared" si="67"/>
        <v>Delayed</v>
      </c>
      <c r="Y473" t="str">
        <f t="shared" si="68"/>
        <v>Compliant Discount</v>
      </c>
      <c r="Z473" s="9">
        <f>MIN(Q473,'Scenario Modelling'!$B$2)</f>
        <v>7.3999999999999996E-2</v>
      </c>
      <c r="AA473">
        <f t="shared" si="69"/>
        <v>1281.2136</v>
      </c>
      <c r="AB473">
        <f>N473*(1+'Scenario Modelling'!$B$3)</f>
        <v>712.09600000000012</v>
      </c>
      <c r="AC473">
        <f>ROUNDUP(S473*(1+'Scenario Modelling'!$B$4),0)</f>
        <v>13</v>
      </c>
      <c r="AD473">
        <f t="shared" si="70"/>
        <v>16655.7768</v>
      </c>
      <c r="AE473">
        <f t="shared" si="71"/>
        <v>7398.5287999999991</v>
      </c>
    </row>
    <row r="474" spans="1:31" x14ac:dyDescent="0.3">
      <c r="A474" s="36" t="s">
        <v>487</v>
      </c>
      <c r="B474" s="49">
        <v>45328</v>
      </c>
      <c r="C474" s="47" t="str">
        <f t="shared" si="64"/>
        <v>Q1-2024</v>
      </c>
      <c r="D474" s="37">
        <v>45350</v>
      </c>
      <c r="E474" s="16">
        <f t="shared" si="63"/>
        <v>22</v>
      </c>
      <c r="F474" s="38" t="s">
        <v>646</v>
      </c>
      <c r="G474" s="38" t="s">
        <v>650</v>
      </c>
      <c r="H474" s="38" t="s">
        <v>662</v>
      </c>
      <c r="I474" s="38" t="s">
        <v>703</v>
      </c>
      <c r="J474" s="38" t="s">
        <v>708</v>
      </c>
      <c r="K474" s="38" t="s">
        <v>723</v>
      </c>
      <c r="L474" s="38" t="s">
        <v>732</v>
      </c>
      <c r="M474" s="39" t="s">
        <v>1206</v>
      </c>
      <c r="N474" s="40">
        <v>834.93</v>
      </c>
      <c r="O474" s="40">
        <v>1588.53</v>
      </c>
      <c r="P474" s="30" t="str">
        <f t="shared" si="65"/>
        <v>Medium</v>
      </c>
      <c r="Q474" s="44">
        <v>0.126</v>
      </c>
      <c r="R474" s="42" t="str">
        <f t="shared" si="66"/>
        <v>Medium</v>
      </c>
      <c r="S474" s="16">
        <v>6</v>
      </c>
      <c r="T474" s="30">
        <v>8330.2513199999994</v>
      </c>
      <c r="U474" s="30">
        <v>5009.58</v>
      </c>
      <c r="V474" s="30">
        <v>3320.6713199999995</v>
      </c>
      <c r="W474" s="30">
        <v>0.39862798761274343</v>
      </c>
      <c r="X474" t="str">
        <f t="shared" si="67"/>
        <v>Delayed</v>
      </c>
      <c r="Y474" t="str">
        <f t="shared" si="68"/>
        <v>Compliant Discount</v>
      </c>
      <c r="Z474" s="9">
        <f>MIN(Q474,'Scenario Modelling'!$B$2)</f>
        <v>0.126</v>
      </c>
      <c r="AA474">
        <f t="shared" si="69"/>
        <v>1388.3752199999999</v>
      </c>
      <c r="AB474">
        <f>N474*(1+'Scenario Modelling'!$B$3)</f>
        <v>918.423</v>
      </c>
      <c r="AC474">
        <f>ROUNDUP(S474*(1+'Scenario Modelling'!$B$4),0)</f>
        <v>7</v>
      </c>
      <c r="AD474">
        <f t="shared" si="70"/>
        <v>9718.6265399999993</v>
      </c>
      <c r="AE474">
        <f t="shared" si="71"/>
        <v>3289.6655399999991</v>
      </c>
    </row>
    <row r="475" spans="1:31" x14ac:dyDescent="0.3">
      <c r="A475" s="31" t="s">
        <v>488</v>
      </c>
      <c r="B475" s="48">
        <v>45882</v>
      </c>
      <c r="C475" s="47" t="str">
        <f t="shared" si="64"/>
        <v>Q3-2025</v>
      </c>
      <c r="D475" s="32">
        <v>45903</v>
      </c>
      <c r="E475" s="17">
        <f t="shared" si="63"/>
        <v>21</v>
      </c>
      <c r="F475" s="33" t="s">
        <v>649</v>
      </c>
      <c r="G475" s="33" t="s">
        <v>657</v>
      </c>
      <c r="H475" s="33" t="s">
        <v>690</v>
      </c>
      <c r="I475" s="33" t="s">
        <v>702</v>
      </c>
      <c r="J475" s="33" t="s">
        <v>707</v>
      </c>
      <c r="K475" s="33" t="s">
        <v>714</v>
      </c>
      <c r="L475" s="33" t="s">
        <v>730</v>
      </c>
      <c r="M475" s="34" t="s">
        <v>1207</v>
      </c>
      <c r="N475" s="35">
        <v>603.47</v>
      </c>
      <c r="O475" s="35">
        <v>1344.05</v>
      </c>
      <c r="P475" s="30" t="str">
        <f t="shared" si="65"/>
        <v>Medium</v>
      </c>
      <c r="Q475" s="43">
        <v>0.20499999999999999</v>
      </c>
      <c r="R475" s="42" t="str">
        <f t="shared" si="66"/>
        <v>High</v>
      </c>
      <c r="S475" s="17">
        <v>18</v>
      </c>
      <c r="T475" s="30">
        <v>19233.355499999998</v>
      </c>
      <c r="U475" s="30">
        <v>10862.460000000001</v>
      </c>
      <c r="V475" s="30">
        <v>8370.8954999999969</v>
      </c>
      <c r="W475" s="30">
        <v>0.43522803392262976</v>
      </c>
      <c r="X475" t="str">
        <f t="shared" si="67"/>
        <v>Delayed</v>
      </c>
      <c r="Y475" t="str">
        <f t="shared" si="68"/>
        <v>Non-compliant Discount</v>
      </c>
      <c r="Z475" s="9">
        <f>MIN(Q475,'Scenario Modelling'!$B$2)</f>
        <v>0.2</v>
      </c>
      <c r="AA475">
        <f t="shared" si="69"/>
        <v>1075.24</v>
      </c>
      <c r="AB475">
        <f>N475*(1+'Scenario Modelling'!$B$3)</f>
        <v>663.81700000000012</v>
      </c>
      <c r="AC475">
        <f>ROUNDUP(S475*(1+'Scenario Modelling'!$B$4),0)</f>
        <v>19</v>
      </c>
      <c r="AD475">
        <f t="shared" si="70"/>
        <v>20429.560000000001</v>
      </c>
      <c r="AE475">
        <f t="shared" si="71"/>
        <v>7817.0369999999975</v>
      </c>
    </row>
    <row r="476" spans="1:31" x14ac:dyDescent="0.3">
      <c r="A476" s="36" t="s">
        <v>489</v>
      </c>
      <c r="B476" s="49">
        <v>45069</v>
      </c>
      <c r="C476" s="47" t="str">
        <f t="shared" si="64"/>
        <v>Q2-2023</v>
      </c>
      <c r="D476" s="37">
        <v>45071</v>
      </c>
      <c r="E476" s="16">
        <f t="shared" si="63"/>
        <v>2</v>
      </c>
      <c r="F476" s="38" t="s">
        <v>648</v>
      </c>
      <c r="G476" s="38" t="s">
        <v>655</v>
      </c>
      <c r="H476" s="38" t="s">
        <v>692</v>
      </c>
      <c r="I476" s="38" t="s">
        <v>706</v>
      </c>
      <c r="J476" s="38" t="s">
        <v>707</v>
      </c>
      <c r="K476" s="38" t="s">
        <v>724</v>
      </c>
      <c r="L476" s="38" t="s">
        <v>728</v>
      </c>
      <c r="M476" s="39" t="s">
        <v>1208</v>
      </c>
      <c r="N476" s="40">
        <v>690.49</v>
      </c>
      <c r="O476" s="40">
        <v>1290.29</v>
      </c>
      <c r="P476" s="30" t="str">
        <f t="shared" si="65"/>
        <v>Medium</v>
      </c>
      <c r="Q476" s="44">
        <v>4.2000000000000003E-2</v>
      </c>
      <c r="R476" s="42" t="str">
        <f t="shared" si="66"/>
        <v>Low</v>
      </c>
      <c r="S476" s="16">
        <v>22</v>
      </c>
      <c r="T476" s="30">
        <v>27194.152039999997</v>
      </c>
      <c r="U476" s="30">
        <v>15190.78</v>
      </c>
      <c r="V476" s="30">
        <v>12003.372039999997</v>
      </c>
      <c r="W476" s="30">
        <v>0.44139534199647718</v>
      </c>
      <c r="X476" t="str">
        <f t="shared" si="67"/>
        <v>On-time</v>
      </c>
      <c r="Y476" t="str">
        <f t="shared" si="68"/>
        <v>Compliant Discount</v>
      </c>
      <c r="Z476" s="9">
        <f>MIN(Q476,'Scenario Modelling'!$B$2)</f>
        <v>4.2000000000000003E-2</v>
      </c>
      <c r="AA476">
        <f t="shared" si="69"/>
        <v>1236.09782</v>
      </c>
      <c r="AB476">
        <f>N476*(1+'Scenario Modelling'!$B$3)</f>
        <v>759.5390000000001</v>
      </c>
      <c r="AC476">
        <f>ROUNDUP(S476*(1+'Scenario Modelling'!$B$4),0)</f>
        <v>24</v>
      </c>
      <c r="AD476">
        <f t="shared" si="70"/>
        <v>29666.347679999999</v>
      </c>
      <c r="AE476">
        <f t="shared" si="71"/>
        <v>11437.411679999997</v>
      </c>
    </row>
    <row r="477" spans="1:31" x14ac:dyDescent="0.3">
      <c r="A477" s="31" t="s">
        <v>490</v>
      </c>
      <c r="B477" s="48">
        <v>45422</v>
      </c>
      <c r="C477" s="47" t="str">
        <f t="shared" si="64"/>
        <v>Q2-2024</v>
      </c>
      <c r="D477" s="32">
        <v>45428</v>
      </c>
      <c r="E477" s="17">
        <f t="shared" si="63"/>
        <v>6</v>
      </c>
      <c r="F477" s="33" t="s">
        <v>649</v>
      </c>
      <c r="G477" s="33" t="s">
        <v>658</v>
      </c>
      <c r="H477" s="33" t="s">
        <v>674</v>
      </c>
      <c r="I477" s="33" t="s">
        <v>703</v>
      </c>
      <c r="J477" s="33" t="s">
        <v>711</v>
      </c>
      <c r="K477" s="33" t="s">
        <v>715</v>
      </c>
      <c r="L477" s="33" t="s">
        <v>731</v>
      </c>
      <c r="M477" s="34" t="s">
        <v>1209</v>
      </c>
      <c r="N477" s="35">
        <v>210.76</v>
      </c>
      <c r="O477" s="35">
        <v>221.58</v>
      </c>
      <c r="P477" s="30" t="str">
        <f t="shared" si="65"/>
        <v>Low</v>
      </c>
      <c r="Q477" s="43">
        <v>8.8999999999999996E-2</v>
      </c>
      <c r="R477" s="42" t="str">
        <f t="shared" si="66"/>
        <v>Low</v>
      </c>
      <c r="S477" s="17">
        <v>5</v>
      </c>
      <c r="T477" s="30">
        <v>1009.2969000000002</v>
      </c>
      <c r="U477" s="30">
        <v>1053.8</v>
      </c>
      <c r="V477" s="30">
        <v>-44.50309999999979</v>
      </c>
      <c r="W477" s="30">
        <v>-4.4093170205912434E-2</v>
      </c>
      <c r="X477" t="str">
        <f t="shared" si="67"/>
        <v>On-time</v>
      </c>
      <c r="Y477" t="str">
        <f t="shared" si="68"/>
        <v>Compliant Discount</v>
      </c>
      <c r="Z477" s="9">
        <f>MIN(Q477,'Scenario Modelling'!$B$2)</f>
        <v>8.8999999999999996E-2</v>
      </c>
      <c r="AA477">
        <f t="shared" si="69"/>
        <v>201.85938000000002</v>
      </c>
      <c r="AB477">
        <f>N477*(1+'Scenario Modelling'!$B$3)</f>
        <v>231.83600000000001</v>
      </c>
      <c r="AC477">
        <f>ROUNDUP(S477*(1+'Scenario Modelling'!$B$4),0)</f>
        <v>6</v>
      </c>
      <c r="AD477">
        <f t="shared" si="70"/>
        <v>1211.1562800000002</v>
      </c>
      <c r="AE477">
        <f t="shared" si="71"/>
        <v>-179.85971999999998</v>
      </c>
    </row>
    <row r="478" spans="1:31" x14ac:dyDescent="0.3">
      <c r="A478" s="36" t="s">
        <v>491</v>
      </c>
      <c r="B478" s="49">
        <v>44999</v>
      </c>
      <c r="C478" s="47" t="str">
        <f t="shared" si="64"/>
        <v>Q1-2023</v>
      </c>
      <c r="D478" s="37">
        <v>45003</v>
      </c>
      <c r="E478" s="16">
        <f t="shared" si="63"/>
        <v>4</v>
      </c>
      <c r="F478" s="38" t="s">
        <v>649</v>
      </c>
      <c r="G478" s="38" t="s">
        <v>656</v>
      </c>
      <c r="H478" s="38" t="s">
        <v>698</v>
      </c>
      <c r="I478" s="38" t="s">
        <v>706</v>
      </c>
      <c r="J478" s="38" t="s">
        <v>711</v>
      </c>
      <c r="K478" s="38" t="s">
        <v>720</v>
      </c>
      <c r="L478" s="38" t="s">
        <v>727</v>
      </c>
      <c r="M478" s="39" t="s">
        <v>1210</v>
      </c>
      <c r="N478" s="40">
        <v>472.33</v>
      </c>
      <c r="O478" s="40">
        <v>360.34</v>
      </c>
      <c r="P478" s="30" t="str">
        <f t="shared" si="65"/>
        <v>Low</v>
      </c>
      <c r="Q478" s="44">
        <v>0.16500000000000001</v>
      </c>
      <c r="R478" s="42" t="str">
        <f t="shared" si="66"/>
        <v>Medium</v>
      </c>
      <c r="S478" s="16">
        <v>14</v>
      </c>
      <c r="T478" s="30">
        <v>4212.3745999999992</v>
      </c>
      <c r="U478" s="30">
        <v>6612.62</v>
      </c>
      <c r="V478" s="30">
        <v>-2400.2454000000007</v>
      </c>
      <c r="W478" s="30">
        <v>-0.56980815523861561</v>
      </c>
      <c r="X478" t="str">
        <f t="shared" si="67"/>
        <v>On-time</v>
      </c>
      <c r="Y478" t="str">
        <f t="shared" si="68"/>
        <v>Compliant Discount</v>
      </c>
      <c r="Z478" s="9">
        <f>MIN(Q478,'Scenario Modelling'!$B$2)</f>
        <v>0.16500000000000001</v>
      </c>
      <c r="AA478">
        <f t="shared" si="69"/>
        <v>300.88389999999998</v>
      </c>
      <c r="AB478">
        <f>N478*(1+'Scenario Modelling'!$B$3)</f>
        <v>519.56299999999999</v>
      </c>
      <c r="AC478">
        <f>ROUNDUP(S478*(1+'Scenario Modelling'!$B$4),0)</f>
        <v>15</v>
      </c>
      <c r="AD478">
        <f t="shared" si="70"/>
        <v>4513.2584999999999</v>
      </c>
      <c r="AE478">
        <f t="shared" si="71"/>
        <v>-3280.1865000000003</v>
      </c>
    </row>
    <row r="479" spans="1:31" x14ac:dyDescent="0.3">
      <c r="A479" s="31" t="s">
        <v>492</v>
      </c>
      <c r="B479" s="48">
        <v>45123</v>
      </c>
      <c r="C479" s="47" t="str">
        <f t="shared" si="64"/>
        <v>Q3-2023</v>
      </c>
      <c r="D479" s="32">
        <v>45151</v>
      </c>
      <c r="E479" s="17">
        <f t="shared" si="63"/>
        <v>28</v>
      </c>
      <c r="F479" s="33" t="s">
        <v>649</v>
      </c>
      <c r="G479" s="33" t="s">
        <v>658</v>
      </c>
      <c r="H479" s="33" t="s">
        <v>693</v>
      </c>
      <c r="I479" s="33" t="s">
        <v>703</v>
      </c>
      <c r="J479" s="33" t="s">
        <v>708</v>
      </c>
      <c r="K479" s="33" t="s">
        <v>713</v>
      </c>
      <c r="L479" s="33" t="s">
        <v>731</v>
      </c>
      <c r="M479" s="34" t="s">
        <v>1211</v>
      </c>
      <c r="N479" s="35">
        <v>1039.03</v>
      </c>
      <c r="O479" s="35">
        <v>2545.81</v>
      </c>
      <c r="P479" s="30" t="str">
        <f t="shared" si="65"/>
        <v>High</v>
      </c>
      <c r="Q479" s="43">
        <v>0.216</v>
      </c>
      <c r="R479" s="42" t="str">
        <f t="shared" si="66"/>
        <v>High</v>
      </c>
      <c r="S479" s="17">
        <v>21</v>
      </c>
      <c r="T479" s="30">
        <v>41914.215840000004</v>
      </c>
      <c r="U479" s="30">
        <v>21819.63</v>
      </c>
      <c r="V479" s="30">
        <v>20094.585840000003</v>
      </c>
      <c r="W479" s="30">
        <v>0.47942172929364774</v>
      </c>
      <c r="X479" t="str">
        <f t="shared" si="67"/>
        <v>Delayed</v>
      </c>
      <c r="Y479" t="str">
        <f t="shared" si="68"/>
        <v>Non-compliant Discount</v>
      </c>
      <c r="Z479" s="9">
        <f>MIN(Q479,'Scenario Modelling'!$B$2)</f>
        <v>0.2</v>
      </c>
      <c r="AA479">
        <f t="shared" si="69"/>
        <v>2036.6480000000001</v>
      </c>
      <c r="AB479">
        <f>N479*(1+'Scenario Modelling'!$B$3)</f>
        <v>1142.933</v>
      </c>
      <c r="AC479">
        <f>ROUNDUP(S479*(1+'Scenario Modelling'!$B$4),0)</f>
        <v>23</v>
      </c>
      <c r="AD479">
        <f t="shared" si="70"/>
        <v>46842.904000000002</v>
      </c>
      <c r="AE479">
        <f t="shared" si="71"/>
        <v>20555.445000000003</v>
      </c>
    </row>
    <row r="480" spans="1:31" x14ac:dyDescent="0.3">
      <c r="A480" s="36" t="s">
        <v>493</v>
      </c>
      <c r="B480" s="49">
        <v>45032</v>
      </c>
      <c r="C480" s="47" t="str">
        <f t="shared" si="64"/>
        <v>Q2-2023</v>
      </c>
      <c r="D480" s="37">
        <v>45035</v>
      </c>
      <c r="E480" s="16">
        <f t="shared" si="63"/>
        <v>3</v>
      </c>
      <c r="F480" s="38" t="s">
        <v>649</v>
      </c>
      <c r="G480" s="38" t="s">
        <v>656</v>
      </c>
      <c r="H480" s="38" t="s">
        <v>684</v>
      </c>
      <c r="I480" s="38" t="s">
        <v>701</v>
      </c>
      <c r="J480" s="38" t="s">
        <v>711</v>
      </c>
      <c r="K480" s="38" t="s">
        <v>717</v>
      </c>
      <c r="L480" s="38" t="s">
        <v>733</v>
      </c>
      <c r="M480" s="39" t="s">
        <v>1212</v>
      </c>
      <c r="N480" s="40">
        <v>553.61</v>
      </c>
      <c r="O480" s="40">
        <v>699.47</v>
      </c>
      <c r="P480" s="30" t="str">
        <f t="shared" si="65"/>
        <v>Low</v>
      </c>
      <c r="Q480" s="44">
        <v>0.02</v>
      </c>
      <c r="R480" s="42" t="str">
        <f t="shared" si="66"/>
        <v>Low</v>
      </c>
      <c r="S480" s="16">
        <v>33</v>
      </c>
      <c r="T480" s="30">
        <v>22620.859800000002</v>
      </c>
      <c r="U480" s="30">
        <v>18269.13</v>
      </c>
      <c r="V480" s="30">
        <v>4351.729800000001</v>
      </c>
      <c r="W480" s="30">
        <v>0.19237685209472014</v>
      </c>
      <c r="X480" t="str">
        <f t="shared" si="67"/>
        <v>On-time</v>
      </c>
      <c r="Y480" t="str">
        <f t="shared" si="68"/>
        <v>Compliant Discount</v>
      </c>
      <c r="Z480" s="9">
        <f>MIN(Q480,'Scenario Modelling'!$B$2)</f>
        <v>0.02</v>
      </c>
      <c r="AA480">
        <f t="shared" si="69"/>
        <v>685.48059999999998</v>
      </c>
      <c r="AB480">
        <f>N480*(1+'Scenario Modelling'!$B$3)</f>
        <v>608.97100000000012</v>
      </c>
      <c r="AC480">
        <f>ROUNDUP(S480*(1+'Scenario Modelling'!$B$4),0)</f>
        <v>35</v>
      </c>
      <c r="AD480">
        <f t="shared" si="70"/>
        <v>23991.821</v>
      </c>
      <c r="AE480">
        <f t="shared" si="71"/>
        <v>2677.8359999999952</v>
      </c>
    </row>
    <row r="481" spans="1:31" x14ac:dyDescent="0.3">
      <c r="A481" s="31" t="s">
        <v>494</v>
      </c>
      <c r="B481" s="48">
        <v>45293</v>
      </c>
      <c r="C481" s="47" t="str">
        <f t="shared" si="64"/>
        <v>Q1-2024</v>
      </c>
      <c r="D481" s="32">
        <v>45306</v>
      </c>
      <c r="E481" s="17">
        <f t="shared" si="63"/>
        <v>13</v>
      </c>
      <c r="F481" s="33" t="s">
        <v>647</v>
      </c>
      <c r="G481" s="33" t="s">
        <v>652</v>
      </c>
      <c r="H481" s="33" t="s">
        <v>694</v>
      </c>
      <c r="I481" s="33" t="s">
        <v>705</v>
      </c>
      <c r="J481" s="33" t="s">
        <v>709</v>
      </c>
      <c r="K481" s="33" t="s">
        <v>715</v>
      </c>
      <c r="L481" s="33" t="s">
        <v>729</v>
      </c>
      <c r="M481" s="34" t="s">
        <v>1213</v>
      </c>
      <c r="N481" s="35">
        <v>1219.06</v>
      </c>
      <c r="O481" s="35">
        <v>2738.69</v>
      </c>
      <c r="P481" s="30" t="str">
        <f t="shared" si="65"/>
        <v>High</v>
      </c>
      <c r="Q481" s="43">
        <v>7.5999999999999998E-2</v>
      </c>
      <c r="R481" s="42" t="str">
        <f t="shared" si="66"/>
        <v>Low</v>
      </c>
      <c r="S481" s="17">
        <v>16</v>
      </c>
      <c r="T481" s="30">
        <v>40488.792960000006</v>
      </c>
      <c r="U481" s="30">
        <v>19504.96</v>
      </c>
      <c r="V481" s="30">
        <v>20983.832960000007</v>
      </c>
      <c r="W481" s="30">
        <v>0.51826274447673737</v>
      </c>
      <c r="X481" t="str">
        <f t="shared" si="67"/>
        <v>Delayed</v>
      </c>
      <c r="Y481" t="str">
        <f t="shared" si="68"/>
        <v>Compliant Discount</v>
      </c>
      <c r="Z481" s="9">
        <f>MIN(Q481,'Scenario Modelling'!$B$2)</f>
        <v>7.5999999999999998E-2</v>
      </c>
      <c r="AA481">
        <f t="shared" si="69"/>
        <v>2530.5495600000004</v>
      </c>
      <c r="AB481">
        <f>N481*(1+'Scenario Modelling'!$B$3)</f>
        <v>1340.9660000000001</v>
      </c>
      <c r="AC481">
        <f>ROUNDUP(S481*(1+'Scenario Modelling'!$B$4),0)</f>
        <v>17</v>
      </c>
      <c r="AD481">
        <f t="shared" si="70"/>
        <v>43019.342520000006</v>
      </c>
      <c r="AE481">
        <f t="shared" si="71"/>
        <v>20222.920520000003</v>
      </c>
    </row>
    <row r="482" spans="1:31" x14ac:dyDescent="0.3">
      <c r="A482" s="36" t="s">
        <v>495</v>
      </c>
      <c r="B482" s="49">
        <v>45538</v>
      </c>
      <c r="C482" s="47" t="str">
        <f t="shared" si="64"/>
        <v>Q3-2024</v>
      </c>
      <c r="D482" s="37">
        <v>45542</v>
      </c>
      <c r="E482" s="16">
        <f t="shared" si="63"/>
        <v>4</v>
      </c>
      <c r="F482" s="38" t="s">
        <v>647</v>
      </c>
      <c r="G482" s="38" t="s">
        <v>652</v>
      </c>
      <c r="H482" s="38" t="s">
        <v>689</v>
      </c>
      <c r="I482" s="38" t="s">
        <v>705</v>
      </c>
      <c r="J482" s="38" t="s">
        <v>710</v>
      </c>
      <c r="K482" s="38" t="s">
        <v>725</v>
      </c>
      <c r="L482" s="38" t="s">
        <v>728</v>
      </c>
      <c r="M482" s="39" t="s">
        <v>1214</v>
      </c>
      <c r="N482" s="40">
        <v>43.23</v>
      </c>
      <c r="O482" s="40">
        <v>94.78</v>
      </c>
      <c r="P482" s="30" t="str">
        <f t="shared" si="65"/>
        <v>Low</v>
      </c>
      <c r="Q482" s="44">
        <v>9.0999999999999998E-2</v>
      </c>
      <c r="R482" s="42" t="str">
        <f t="shared" si="66"/>
        <v>Low</v>
      </c>
      <c r="S482" s="16">
        <v>55</v>
      </c>
      <c r="T482" s="30">
        <v>4738.5261</v>
      </c>
      <c r="U482" s="30">
        <v>2377.6499999999996</v>
      </c>
      <c r="V482" s="30">
        <v>2360.8761000000004</v>
      </c>
      <c r="W482" s="30">
        <v>0.49823005090127082</v>
      </c>
      <c r="X482" t="str">
        <f t="shared" si="67"/>
        <v>On-time</v>
      </c>
      <c r="Y482" t="str">
        <f t="shared" si="68"/>
        <v>Compliant Discount</v>
      </c>
      <c r="Z482" s="9">
        <f>MIN(Q482,'Scenario Modelling'!$B$2)</f>
        <v>9.0999999999999998E-2</v>
      </c>
      <c r="AA482">
        <f t="shared" si="69"/>
        <v>86.155020000000007</v>
      </c>
      <c r="AB482">
        <f>N482*(1+'Scenario Modelling'!$B$3)</f>
        <v>47.552999999999997</v>
      </c>
      <c r="AC482">
        <f>ROUNDUP(S482*(1+'Scenario Modelling'!$B$4),0)</f>
        <v>58</v>
      </c>
      <c r="AD482">
        <f t="shared" si="70"/>
        <v>4996.9911600000005</v>
      </c>
      <c r="AE482">
        <f t="shared" si="71"/>
        <v>2238.9171600000004</v>
      </c>
    </row>
    <row r="483" spans="1:31" x14ac:dyDescent="0.3">
      <c r="A483" s="31" t="s">
        <v>496</v>
      </c>
      <c r="B483" s="48">
        <v>45899</v>
      </c>
      <c r="C483" s="47" t="str">
        <f t="shared" si="64"/>
        <v>Q3-2025</v>
      </c>
      <c r="D483" s="32">
        <v>45903</v>
      </c>
      <c r="E483" s="17">
        <f t="shared" si="63"/>
        <v>4</v>
      </c>
      <c r="F483" s="33" t="s">
        <v>649</v>
      </c>
      <c r="G483" s="33" t="s">
        <v>657</v>
      </c>
      <c r="H483" s="33" t="s">
        <v>673</v>
      </c>
      <c r="I483" s="33" t="s">
        <v>705</v>
      </c>
      <c r="J483" s="33" t="s">
        <v>709</v>
      </c>
      <c r="K483" s="33" t="s">
        <v>713</v>
      </c>
      <c r="L483" s="33" t="s">
        <v>731</v>
      </c>
      <c r="M483" s="34" t="s">
        <v>1215</v>
      </c>
      <c r="N483" s="35">
        <v>1286.56</v>
      </c>
      <c r="O483" s="35">
        <v>2777.35</v>
      </c>
      <c r="P483" s="30" t="str">
        <f t="shared" si="65"/>
        <v>High</v>
      </c>
      <c r="Q483" s="43">
        <v>0.13200000000000001</v>
      </c>
      <c r="R483" s="42" t="str">
        <f t="shared" si="66"/>
        <v>Medium</v>
      </c>
      <c r="S483" s="17">
        <v>15</v>
      </c>
      <c r="T483" s="30">
        <v>36161.097000000002</v>
      </c>
      <c r="U483" s="30">
        <v>19298.399999999998</v>
      </c>
      <c r="V483" s="30">
        <v>16862.697000000004</v>
      </c>
      <c r="W483" s="30">
        <v>0.46632150014696744</v>
      </c>
      <c r="X483" t="str">
        <f t="shared" si="67"/>
        <v>On-time</v>
      </c>
      <c r="Y483" t="str">
        <f t="shared" si="68"/>
        <v>Compliant Discount</v>
      </c>
      <c r="Z483" s="9">
        <f>MIN(Q483,'Scenario Modelling'!$B$2)</f>
        <v>0.13200000000000001</v>
      </c>
      <c r="AA483">
        <f t="shared" si="69"/>
        <v>2410.7397999999998</v>
      </c>
      <c r="AB483">
        <f>N483*(1+'Scenario Modelling'!$B$3)</f>
        <v>1415.2160000000001</v>
      </c>
      <c r="AC483">
        <f>ROUNDUP(S483*(1+'Scenario Modelling'!$B$4),0)</f>
        <v>16</v>
      </c>
      <c r="AD483">
        <f t="shared" si="70"/>
        <v>38571.836799999997</v>
      </c>
      <c r="AE483">
        <f t="shared" si="71"/>
        <v>15928.380799999995</v>
      </c>
    </row>
    <row r="484" spans="1:31" x14ac:dyDescent="0.3">
      <c r="A484" s="36" t="s">
        <v>497</v>
      </c>
      <c r="B484" s="49">
        <v>45775</v>
      </c>
      <c r="C484" s="47" t="str">
        <f t="shared" si="64"/>
        <v>Q2-2025</v>
      </c>
      <c r="D484" s="37">
        <v>45796</v>
      </c>
      <c r="E484" s="16">
        <f t="shared" si="63"/>
        <v>21</v>
      </c>
      <c r="F484" s="38" t="s">
        <v>649</v>
      </c>
      <c r="G484" s="38" t="s">
        <v>656</v>
      </c>
      <c r="H484" s="38" t="s">
        <v>671</v>
      </c>
      <c r="I484" s="38" t="s">
        <v>701</v>
      </c>
      <c r="J484" s="38" t="s">
        <v>710</v>
      </c>
      <c r="K484" s="38" t="s">
        <v>717</v>
      </c>
      <c r="L484" s="38" t="s">
        <v>730</v>
      </c>
      <c r="M484" s="39" t="s">
        <v>1216</v>
      </c>
      <c r="N484" s="40">
        <v>350.76</v>
      </c>
      <c r="O484" s="40">
        <v>492.18</v>
      </c>
      <c r="P484" s="30" t="str">
        <f t="shared" si="65"/>
        <v>Low</v>
      </c>
      <c r="Q484" s="44">
        <v>5.2999999999999999E-2</v>
      </c>
      <c r="R484" s="42" t="str">
        <f t="shared" si="66"/>
        <v>Low</v>
      </c>
      <c r="S484" s="16">
        <v>11</v>
      </c>
      <c r="T484" s="30">
        <v>5127.0390600000001</v>
      </c>
      <c r="U484" s="30">
        <v>3858.3599999999997</v>
      </c>
      <c r="V484" s="30">
        <v>1268.6790600000004</v>
      </c>
      <c r="W484" s="30">
        <v>0.24744868239798437</v>
      </c>
      <c r="X484" t="str">
        <f t="shared" si="67"/>
        <v>Delayed</v>
      </c>
      <c r="Y484" t="str">
        <f t="shared" si="68"/>
        <v>Compliant Discount</v>
      </c>
      <c r="Z484" s="9">
        <f>MIN(Q484,'Scenario Modelling'!$B$2)</f>
        <v>5.2999999999999999E-2</v>
      </c>
      <c r="AA484">
        <f t="shared" si="69"/>
        <v>466.09445999999997</v>
      </c>
      <c r="AB484">
        <f>N484*(1+'Scenario Modelling'!$B$3)</f>
        <v>385.83600000000001</v>
      </c>
      <c r="AC484">
        <f>ROUNDUP(S484*(1+'Scenario Modelling'!$B$4),0)</f>
        <v>12</v>
      </c>
      <c r="AD484">
        <f t="shared" si="70"/>
        <v>5593.1335199999994</v>
      </c>
      <c r="AE484">
        <f t="shared" si="71"/>
        <v>963.10151999999948</v>
      </c>
    </row>
    <row r="485" spans="1:31" x14ac:dyDescent="0.3">
      <c r="A485" s="31" t="s">
        <v>498</v>
      </c>
      <c r="B485" s="48">
        <v>45148</v>
      </c>
      <c r="C485" s="47" t="str">
        <f t="shared" si="64"/>
        <v>Q3-2023</v>
      </c>
      <c r="D485" s="32">
        <v>45153</v>
      </c>
      <c r="E485" s="17">
        <f t="shared" si="63"/>
        <v>5</v>
      </c>
      <c r="F485" s="33" t="s">
        <v>648</v>
      </c>
      <c r="G485" s="33" t="s">
        <v>655</v>
      </c>
      <c r="H485" s="33" t="s">
        <v>670</v>
      </c>
      <c r="I485" s="33" t="s">
        <v>702</v>
      </c>
      <c r="J485" s="33" t="s">
        <v>711</v>
      </c>
      <c r="K485" s="33" t="s">
        <v>715</v>
      </c>
      <c r="L485" s="33" t="s">
        <v>729</v>
      </c>
      <c r="M485" s="34" t="s">
        <v>1217</v>
      </c>
      <c r="N485" s="35">
        <v>1307.52</v>
      </c>
      <c r="O485" s="35">
        <v>1921.65</v>
      </c>
      <c r="P485" s="30" t="str">
        <f t="shared" si="65"/>
        <v>High</v>
      </c>
      <c r="Q485" s="43">
        <v>0.123</v>
      </c>
      <c r="R485" s="42" t="str">
        <f t="shared" si="66"/>
        <v>Medium</v>
      </c>
      <c r="S485" s="17">
        <v>13</v>
      </c>
      <c r="T485" s="30">
        <v>21908.731650000002</v>
      </c>
      <c r="U485" s="30">
        <v>16997.759999999998</v>
      </c>
      <c r="V485" s="30">
        <v>4910.9716500000031</v>
      </c>
      <c r="W485" s="30">
        <v>0.22415590863289445</v>
      </c>
      <c r="X485" t="str">
        <f t="shared" si="67"/>
        <v>On-time</v>
      </c>
      <c r="Y485" t="str">
        <f t="shared" si="68"/>
        <v>Compliant Discount</v>
      </c>
      <c r="Z485" s="9">
        <f>MIN(Q485,'Scenario Modelling'!$B$2)</f>
        <v>0.123</v>
      </c>
      <c r="AA485">
        <f t="shared" si="69"/>
        <v>1685.2870500000001</v>
      </c>
      <c r="AB485">
        <f>N485*(1+'Scenario Modelling'!$B$3)</f>
        <v>1438.2720000000002</v>
      </c>
      <c r="AC485">
        <f>ROUNDUP(S485*(1+'Scenario Modelling'!$B$4),0)</f>
        <v>14</v>
      </c>
      <c r="AD485">
        <f t="shared" si="70"/>
        <v>23594.018700000001</v>
      </c>
      <c r="AE485">
        <f t="shared" si="71"/>
        <v>3458.2106999999996</v>
      </c>
    </row>
    <row r="486" spans="1:31" x14ac:dyDescent="0.3">
      <c r="A486" s="36" t="s">
        <v>499</v>
      </c>
      <c r="B486" s="49">
        <v>45634</v>
      </c>
      <c r="C486" s="47" t="str">
        <f t="shared" si="64"/>
        <v>Q4-2024</v>
      </c>
      <c r="D486" s="37">
        <v>45634</v>
      </c>
      <c r="E486" s="16">
        <f t="shared" si="63"/>
        <v>0</v>
      </c>
      <c r="F486" s="38" t="s">
        <v>649</v>
      </c>
      <c r="G486" s="38" t="s">
        <v>657</v>
      </c>
      <c r="H486" s="38" t="s">
        <v>679</v>
      </c>
      <c r="I486" s="38" t="s">
        <v>706</v>
      </c>
      <c r="J486" s="38" t="s">
        <v>707</v>
      </c>
      <c r="K486" s="38" t="s">
        <v>722</v>
      </c>
      <c r="L486" s="38" t="s">
        <v>727</v>
      </c>
      <c r="M486" s="39" t="s">
        <v>1218</v>
      </c>
      <c r="N486" s="40">
        <v>257.44</v>
      </c>
      <c r="O486" s="40">
        <v>290.33</v>
      </c>
      <c r="P486" s="30" t="str">
        <f t="shared" si="65"/>
        <v>Low</v>
      </c>
      <c r="Q486" s="44">
        <v>9.1999999999999998E-2</v>
      </c>
      <c r="R486" s="42" t="str">
        <f t="shared" si="66"/>
        <v>Low</v>
      </c>
      <c r="S486" s="16">
        <v>23</v>
      </c>
      <c r="T486" s="30">
        <v>6063.2517199999993</v>
      </c>
      <c r="U486" s="30">
        <v>5921.12</v>
      </c>
      <c r="V486" s="30">
        <v>142.1317199999994</v>
      </c>
      <c r="W486" s="30">
        <v>2.3441500792581216E-2</v>
      </c>
      <c r="X486" t="str">
        <f t="shared" si="67"/>
        <v>On-time</v>
      </c>
      <c r="Y486" t="str">
        <f t="shared" si="68"/>
        <v>Compliant Discount</v>
      </c>
      <c r="Z486" s="9">
        <f>MIN(Q486,'Scenario Modelling'!$B$2)</f>
        <v>9.1999999999999998E-2</v>
      </c>
      <c r="AA486">
        <f t="shared" si="69"/>
        <v>263.61964</v>
      </c>
      <c r="AB486">
        <f>N486*(1+'Scenario Modelling'!$B$3)</f>
        <v>283.18400000000003</v>
      </c>
      <c r="AC486">
        <f>ROUNDUP(S486*(1+'Scenario Modelling'!$B$4),0)</f>
        <v>25</v>
      </c>
      <c r="AD486">
        <f t="shared" si="70"/>
        <v>6590.491</v>
      </c>
      <c r="AE486">
        <f t="shared" si="71"/>
        <v>-489.10900000000055</v>
      </c>
    </row>
    <row r="487" spans="1:31" x14ac:dyDescent="0.3">
      <c r="A487" s="31" t="s">
        <v>500</v>
      </c>
      <c r="B487" s="48">
        <v>45224</v>
      </c>
      <c r="C487" s="47" t="str">
        <f t="shared" si="64"/>
        <v>Q4-2023</v>
      </c>
      <c r="D487" s="32">
        <v>45254</v>
      </c>
      <c r="E487" s="17">
        <f t="shared" si="63"/>
        <v>30</v>
      </c>
      <c r="F487" s="33" t="s">
        <v>649</v>
      </c>
      <c r="G487" s="33" t="s">
        <v>657</v>
      </c>
      <c r="H487" s="33" t="s">
        <v>690</v>
      </c>
      <c r="I487" s="33" t="s">
        <v>706</v>
      </c>
      <c r="J487" s="33" t="s">
        <v>710</v>
      </c>
      <c r="K487" s="33" t="s">
        <v>712</v>
      </c>
      <c r="L487" s="33" t="s">
        <v>730</v>
      </c>
      <c r="M487" s="34" t="s">
        <v>1219</v>
      </c>
      <c r="N487" s="35">
        <v>287.85000000000002</v>
      </c>
      <c r="O487" s="35">
        <v>602.91999999999996</v>
      </c>
      <c r="P487" s="30" t="str">
        <f t="shared" si="65"/>
        <v>Low</v>
      </c>
      <c r="Q487" s="43">
        <v>0.222</v>
      </c>
      <c r="R487" s="42" t="str">
        <f t="shared" si="66"/>
        <v>High</v>
      </c>
      <c r="S487" s="17">
        <v>11</v>
      </c>
      <c r="T487" s="30">
        <v>5159.7893599999998</v>
      </c>
      <c r="U487" s="30">
        <v>3166.3500000000004</v>
      </c>
      <c r="V487" s="30">
        <v>1993.4393599999994</v>
      </c>
      <c r="W487" s="30">
        <v>0.38634122847216373</v>
      </c>
      <c r="X487" t="str">
        <f t="shared" si="67"/>
        <v>Delayed</v>
      </c>
      <c r="Y487" t="str">
        <f t="shared" si="68"/>
        <v>Non-compliant Discount</v>
      </c>
      <c r="Z487" s="9">
        <f>MIN(Q487,'Scenario Modelling'!$B$2)</f>
        <v>0.2</v>
      </c>
      <c r="AA487">
        <f t="shared" si="69"/>
        <v>482.33600000000001</v>
      </c>
      <c r="AB487">
        <f>N487*(1+'Scenario Modelling'!$B$3)</f>
        <v>316.63500000000005</v>
      </c>
      <c r="AC487">
        <f>ROUNDUP(S487*(1+'Scenario Modelling'!$B$4),0)</f>
        <v>12</v>
      </c>
      <c r="AD487">
        <f t="shared" si="70"/>
        <v>5788.0320000000002</v>
      </c>
      <c r="AE487">
        <f t="shared" si="71"/>
        <v>1988.4119999999996</v>
      </c>
    </row>
    <row r="488" spans="1:31" x14ac:dyDescent="0.3">
      <c r="A488" s="36" t="s">
        <v>501</v>
      </c>
      <c r="B488" s="49">
        <v>45613</v>
      </c>
      <c r="C488" s="47" t="str">
        <f t="shared" si="64"/>
        <v>Q4-2024</v>
      </c>
      <c r="D488" s="37">
        <v>45624</v>
      </c>
      <c r="E488" s="16">
        <f t="shared" si="63"/>
        <v>11</v>
      </c>
      <c r="F488" s="38" t="s">
        <v>648</v>
      </c>
      <c r="G488" s="38" t="s">
        <v>653</v>
      </c>
      <c r="H488" s="38" t="s">
        <v>1424</v>
      </c>
      <c r="I488" s="38" t="s">
        <v>704</v>
      </c>
      <c r="J488" s="38" t="s">
        <v>710</v>
      </c>
      <c r="K488" s="38" t="s">
        <v>720</v>
      </c>
      <c r="L488" s="38" t="s">
        <v>728</v>
      </c>
      <c r="M488" s="39" t="s">
        <v>1220</v>
      </c>
      <c r="N488" s="40">
        <v>1008.16</v>
      </c>
      <c r="O488" s="40">
        <v>2077.5</v>
      </c>
      <c r="P488" s="30" t="str">
        <f t="shared" si="65"/>
        <v>High</v>
      </c>
      <c r="Q488" s="44">
        <v>7.3999999999999996E-2</v>
      </c>
      <c r="R488" s="42" t="str">
        <f t="shared" si="66"/>
        <v>Low</v>
      </c>
      <c r="S488" s="16">
        <v>15</v>
      </c>
      <c r="T488" s="30">
        <v>28856.475000000002</v>
      </c>
      <c r="U488" s="30">
        <v>15122.4</v>
      </c>
      <c r="V488" s="30">
        <v>13734.075000000003</v>
      </c>
      <c r="W488" s="30">
        <v>0.47594430712691005</v>
      </c>
      <c r="X488" t="str">
        <f t="shared" si="67"/>
        <v>Delayed</v>
      </c>
      <c r="Y488" t="str">
        <f t="shared" si="68"/>
        <v>Compliant Discount</v>
      </c>
      <c r="Z488" s="9">
        <f>MIN(Q488,'Scenario Modelling'!$B$2)</f>
        <v>7.3999999999999996E-2</v>
      </c>
      <c r="AA488">
        <f t="shared" si="69"/>
        <v>1923.7650000000001</v>
      </c>
      <c r="AB488">
        <f>N488*(1+'Scenario Modelling'!$B$3)</f>
        <v>1108.9760000000001</v>
      </c>
      <c r="AC488">
        <f>ROUNDUP(S488*(1+'Scenario Modelling'!$B$4),0)</f>
        <v>16</v>
      </c>
      <c r="AD488">
        <f t="shared" si="70"/>
        <v>30780.240000000002</v>
      </c>
      <c r="AE488">
        <f t="shared" si="71"/>
        <v>13036.624</v>
      </c>
    </row>
    <row r="489" spans="1:31" x14ac:dyDescent="0.3">
      <c r="A489" s="31" t="s">
        <v>502</v>
      </c>
      <c r="B489" s="48">
        <v>45424</v>
      </c>
      <c r="C489" s="47" t="str">
        <f t="shared" si="64"/>
        <v>Q2-2024</v>
      </c>
      <c r="D489" s="32">
        <v>45436</v>
      </c>
      <c r="E489" s="17">
        <f t="shared" si="63"/>
        <v>12</v>
      </c>
      <c r="F489" s="33" t="s">
        <v>649</v>
      </c>
      <c r="G489" s="33" t="s">
        <v>658</v>
      </c>
      <c r="H489" s="33" t="s">
        <v>693</v>
      </c>
      <c r="I489" s="33" t="s">
        <v>702</v>
      </c>
      <c r="J489" s="33" t="s">
        <v>709</v>
      </c>
      <c r="K489" s="33" t="s">
        <v>723</v>
      </c>
      <c r="L489" s="33" t="s">
        <v>728</v>
      </c>
      <c r="M489" s="34" t="s">
        <v>1221</v>
      </c>
      <c r="N489" s="35">
        <v>111.02</v>
      </c>
      <c r="O489" s="35">
        <v>172.88</v>
      </c>
      <c r="P489" s="30" t="str">
        <f t="shared" si="65"/>
        <v>Low</v>
      </c>
      <c r="Q489" s="43">
        <v>0.19700000000000001</v>
      </c>
      <c r="R489" s="42" t="str">
        <f t="shared" si="66"/>
        <v>Medium</v>
      </c>
      <c r="S489" s="17">
        <v>29</v>
      </c>
      <c r="T489" s="30">
        <v>4025.8565599999993</v>
      </c>
      <c r="U489" s="30">
        <v>3219.58</v>
      </c>
      <c r="V489" s="30">
        <v>806.27655999999934</v>
      </c>
      <c r="W489" s="30">
        <v>0.20027453735212053</v>
      </c>
      <c r="X489" t="str">
        <f t="shared" si="67"/>
        <v>Delayed</v>
      </c>
      <c r="Y489" t="str">
        <f t="shared" si="68"/>
        <v>Compliant Discount</v>
      </c>
      <c r="Z489" s="9">
        <f>MIN(Q489,'Scenario Modelling'!$B$2)</f>
        <v>0.19700000000000001</v>
      </c>
      <c r="AA489">
        <f t="shared" si="69"/>
        <v>138.82263999999998</v>
      </c>
      <c r="AB489">
        <f>N489*(1+'Scenario Modelling'!$B$3)</f>
        <v>122.122</v>
      </c>
      <c r="AC489">
        <f>ROUNDUP(S489*(1+'Scenario Modelling'!$B$4),0)</f>
        <v>31</v>
      </c>
      <c r="AD489">
        <f t="shared" si="70"/>
        <v>4303.501839999999</v>
      </c>
      <c r="AE489">
        <f t="shared" si="71"/>
        <v>517.71983999999929</v>
      </c>
    </row>
    <row r="490" spans="1:31" x14ac:dyDescent="0.3">
      <c r="A490" s="36" t="s">
        <v>503</v>
      </c>
      <c r="B490" s="49">
        <v>45792</v>
      </c>
      <c r="C490" s="47" t="str">
        <f t="shared" si="64"/>
        <v>Q2-2025</v>
      </c>
      <c r="D490" s="37">
        <v>45813</v>
      </c>
      <c r="E490" s="16">
        <f t="shared" si="63"/>
        <v>21</v>
      </c>
      <c r="F490" s="38" t="s">
        <v>647</v>
      </c>
      <c r="G490" s="38" t="s">
        <v>652</v>
      </c>
      <c r="H490" s="38" t="s">
        <v>666</v>
      </c>
      <c r="I490" s="38" t="s">
        <v>706</v>
      </c>
      <c r="J490" s="38" t="s">
        <v>711</v>
      </c>
      <c r="K490" s="38" t="s">
        <v>722</v>
      </c>
      <c r="L490" s="38" t="s">
        <v>730</v>
      </c>
      <c r="M490" s="39" t="s">
        <v>1222</v>
      </c>
      <c r="N490" s="40">
        <v>1466.5</v>
      </c>
      <c r="O490" s="40">
        <v>2778.74</v>
      </c>
      <c r="P490" s="30" t="str">
        <f t="shared" si="65"/>
        <v>High</v>
      </c>
      <c r="Q490" s="44">
        <v>0.13500000000000001</v>
      </c>
      <c r="R490" s="42" t="str">
        <f t="shared" si="66"/>
        <v>Medium</v>
      </c>
      <c r="S490" s="16">
        <v>4</v>
      </c>
      <c r="T490" s="30">
        <v>9614.4403999999995</v>
      </c>
      <c r="U490" s="30">
        <v>5866</v>
      </c>
      <c r="V490" s="30">
        <v>3748.4403999999995</v>
      </c>
      <c r="W490" s="30">
        <v>0.38987608680792279</v>
      </c>
      <c r="X490" t="str">
        <f t="shared" si="67"/>
        <v>Delayed</v>
      </c>
      <c r="Y490" t="str">
        <f t="shared" si="68"/>
        <v>Compliant Discount</v>
      </c>
      <c r="Z490" s="9">
        <f>MIN(Q490,'Scenario Modelling'!$B$2)</f>
        <v>0.13500000000000001</v>
      </c>
      <c r="AA490">
        <f t="shared" si="69"/>
        <v>2403.6100999999999</v>
      </c>
      <c r="AB490">
        <f>N490*(1+'Scenario Modelling'!$B$3)</f>
        <v>1613.15</v>
      </c>
      <c r="AC490">
        <f>ROUNDUP(S490*(1+'Scenario Modelling'!$B$4),0)</f>
        <v>5</v>
      </c>
      <c r="AD490">
        <f t="shared" si="70"/>
        <v>12018.050499999999</v>
      </c>
      <c r="AE490">
        <f t="shared" si="71"/>
        <v>3952.3004999999989</v>
      </c>
    </row>
    <row r="491" spans="1:31" x14ac:dyDescent="0.3">
      <c r="A491" s="31" t="s">
        <v>504</v>
      </c>
      <c r="B491" s="48">
        <v>45403</v>
      </c>
      <c r="C491" s="47" t="str">
        <f t="shared" si="64"/>
        <v>Q2-2024</v>
      </c>
      <c r="D491" s="32">
        <v>45431</v>
      </c>
      <c r="E491" s="17">
        <f t="shared" si="63"/>
        <v>28</v>
      </c>
      <c r="F491" s="33" t="s">
        <v>646</v>
      </c>
      <c r="G491" s="33" t="s">
        <v>651</v>
      </c>
      <c r="H491" s="33" t="s">
        <v>665</v>
      </c>
      <c r="I491" s="33" t="s">
        <v>701</v>
      </c>
      <c r="J491" s="33" t="s">
        <v>710</v>
      </c>
      <c r="K491" s="33" t="s">
        <v>720</v>
      </c>
      <c r="L491" s="33" t="s">
        <v>733</v>
      </c>
      <c r="M491" s="34" t="s">
        <v>1223</v>
      </c>
      <c r="N491" s="35">
        <v>187.22</v>
      </c>
      <c r="O491" s="35">
        <v>309.47000000000003</v>
      </c>
      <c r="P491" s="30" t="str">
        <f t="shared" si="65"/>
        <v>Low</v>
      </c>
      <c r="Q491" s="43">
        <v>0</v>
      </c>
      <c r="R491" s="42" t="str">
        <f t="shared" si="66"/>
        <v>Low</v>
      </c>
      <c r="S491" s="17">
        <v>5</v>
      </c>
      <c r="T491" s="30">
        <v>1547.3500000000001</v>
      </c>
      <c r="U491" s="30">
        <v>936.1</v>
      </c>
      <c r="V491" s="30">
        <v>611.25000000000011</v>
      </c>
      <c r="W491" s="30">
        <v>0.39503021294471197</v>
      </c>
      <c r="X491" t="str">
        <f t="shared" si="67"/>
        <v>Delayed</v>
      </c>
      <c r="Y491" t="str">
        <f t="shared" si="68"/>
        <v>Compliant Discount</v>
      </c>
      <c r="Z491" s="9">
        <f>MIN(Q491,'Scenario Modelling'!$B$2)</f>
        <v>0</v>
      </c>
      <c r="AA491">
        <f t="shared" si="69"/>
        <v>309.47000000000003</v>
      </c>
      <c r="AB491">
        <f>N491*(1+'Scenario Modelling'!$B$3)</f>
        <v>205.94200000000001</v>
      </c>
      <c r="AC491">
        <f>ROUNDUP(S491*(1+'Scenario Modelling'!$B$4),0)</f>
        <v>6</v>
      </c>
      <c r="AD491">
        <f t="shared" si="70"/>
        <v>1856.8200000000002</v>
      </c>
      <c r="AE491">
        <f t="shared" si="71"/>
        <v>621.16800000000012</v>
      </c>
    </row>
    <row r="492" spans="1:31" x14ac:dyDescent="0.3">
      <c r="A492" s="36" t="s">
        <v>505</v>
      </c>
      <c r="B492" s="49">
        <v>45523</v>
      </c>
      <c r="C492" s="47" t="str">
        <f t="shared" si="64"/>
        <v>Q3-2024</v>
      </c>
      <c r="D492" s="37">
        <v>45542</v>
      </c>
      <c r="E492" s="16">
        <f t="shared" si="63"/>
        <v>19</v>
      </c>
      <c r="F492" s="38" t="s">
        <v>649</v>
      </c>
      <c r="G492" s="38" t="s">
        <v>657</v>
      </c>
      <c r="H492" s="38" t="s">
        <v>679</v>
      </c>
      <c r="I492" s="38" t="s">
        <v>701</v>
      </c>
      <c r="J492" s="38" t="s">
        <v>711</v>
      </c>
      <c r="K492" s="38" t="s">
        <v>713</v>
      </c>
      <c r="L492" s="38" t="s">
        <v>727</v>
      </c>
      <c r="M492" s="39" t="s">
        <v>1224</v>
      </c>
      <c r="N492" s="40">
        <v>297.58999999999997</v>
      </c>
      <c r="O492" s="40">
        <v>666.41</v>
      </c>
      <c r="P492" s="30" t="str">
        <f t="shared" si="65"/>
        <v>Low</v>
      </c>
      <c r="Q492" s="44">
        <v>0</v>
      </c>
      <c r="R492" s="42" t="str">
        <f t="shared" si="66"/>
        <v>Low</v>
      </c>
      <c r="S492" s="16">
        <v>10</v>
      </c>
      <c r="T492" s="30">
        <v>6664.0999999999995</v>
      </c>
      <c r="U492" s="30">
        <v>2975.8999999999996</v>
      </c>
      <c r="V492" s="30">
        <v>3688.2</v>
      </c>
      <c r="W492" s="30">
        <v>0.55344307558409989</v>
      </c>
      <c r="X492" t="str">
        <f t="shared" si="67"/>
        <v>Delayed</v>
      </c>
      <c r="Y492" t="str">
        <f t="shared" si="68"/>
        <v>Compliant Discount</v>
      </c>
      <c r="Z492" s="9">
        <f>MIN(Q492,'Scenario Modelling'!$B$2)</f>
        <v>0</v>
      </c>
      <c r="AA492">
        <f t="shared" si="69"/>
        <v>666.41</v>
      </c>
      <c r="AB492">
        <f>N492*(1+'Scenario Modelling'!$B$3)</f>
        <v>327.34899999999999</v>
      </c>
      <c r="AC492">
        <f>ROUNDUP(S492*(1+'Scenario Modelling'!$B$4),0)</f>
        <v>11</v>
      </c>
      <c r="AD492">
        <f t="shared" si="70"/>
        <v>7330.5099999999993</v>
      </c>
      <c r="AE492">
        <f t="shared" si="71"/>
        <v>3729.6709999999998</v>
      </c>
    </row>
    <row r="493" spans="1:31" x14ac:dyDescent="0.3">
      <c r="A493" s="31" t="s">
        <v>506</v>
      </c>
      <c r="B493" s="48">
        <v>45861</v>
      </c>
      <c r="C493" s="47" t="str">
        <f t="shared" si="64"/>
        <v>Q3-2025</v>
      </c>
      <c r="D493" s="32">
        <v>45888</v>
      </c>
      <c r="E493" s="17">
        <f t="shared" si="63"/>
        <v>27</v>
      </c>
      <c r="F493" s="33" t="s">
        <v>647</v>
      </c>
      <c r="G493" s="33" t="s">
        <v>652</v>
      </c>
      <c r="H493" s="33" t="s">
        <v>694</v>
      </c>
      <c r="I493" s="33" t="s">
        <v>704</v>
      </c>
      <c r="J493" s="33" t="s">
        <v>709</v>
      </c>
      <c r="K493" s="33" t="s">
        <v>717</v>
      </c>
      <c r="L493" s="33" t="s">
        <v>733</v>
      </c>
      <c r="M493" s="34" t="s">
        <v>1225</v>
      </c>
      <c r="N493" s="35">
        <v>896.09</v>
      </c>
      <c r="O493" s="35">
        <v>744.27</v>
      </c>
      <c r="P493" s="30" t="str">
        <f t="shared" si="65"/>
        <v>Low</v>
      </c>
      <c r="Q493" s="43">
        <v>8.3000000000000004E-2</v>
      </c>
      <c r="R493" s="42" t="str">
        <f t="shared" si="66"/>
        <v>Low</v>
      </c>
      <c r="S493" s="17">
        <v>11</v>
      </c>
      <c r="T493" s="30">
        <v>7507.4514899999995</v>
      </c>
      <c r="U493" s="30">
        <v>9856.99</v>
      </c>
      <c r="V493" s="30">
        <v>-2349.5385100000003</v>
      </c>
      <c r="W493" s="30">
        <v>-0.31296086469950679</v>
      </c>
      <c r="X493" t="str">
        <f t="shared" si="67"/>
        <v>Delayed</v>
      </c>
      <c r="Y493" t="str">
        <f t="shared" si="68"/>
        <v>Compliant Discount</v>
      </c>
      <c r="Z493" s="9">
        <f>MIN(Q493,'Scenario Modelling'!$B$2)</f>
        <v>8.3000000000000004E-2</v>
      </c>
      <c r="AA493">
        <f t="shared" si="69"/>
        <v>682.49558999999999</v>
      </c>
      <c r="AB493">
        <f>N493*(1+'Scenario Modelling'!$B$3)</f>
        <v>985.69900000000007</v>
      </c>
      <c r="AC493">
        <f>ROUNDUP(S493*(1+'Scenario Modelling'!$B$4),0)</f>
        <v>12</v>
      </c>
      <c r="AD493">
        <f t="shared" si="70"/>
        <v>8189.9470799999999</v>
      </c>
      <c r="AE493">
        <f t="shared" si="71"/>
        <v>-3638.4409200000009</v>
      </c>
    </row>
    <row r="494" spans="1:31" x14ac:dyDescent="0.3">
      <c r="A494" s="36" t="s">
        <v>507</v>
      </c>
      <c r="B494" s="49">
        <v>45352</v>
      </c>
      <c r="C494" s="47" t="str">
        <f t="shared" si="64"/>
        <v>Q1-2024</v>
      </c>
      <c r="D494" s="37">
        <v>45359</v>
      </c>
      <c r="E494" s="16">
        <f t="shared" si="63"/>
        <v>7</v>
      </c>
      <c r="F494" s="38" t="s">
        <v>648</v>
      </c>
      <c r="G494" s="38" t="s">
        <v>655</v>
      </c>
      <c r="H494" s="38" t="s">
        <v>670</v>
      </c>
      <c r="I494" s="38" t="s">
        <v>703</v>
      </c>
      <c r="J494" s="38" t="s">
        <v>711</v>
      </c>
      <c r="K494" s="38" t="s">
        <v>714</v>
      </c>
      <c r="L494" s="38" t="s">
        <v>730</v>
      </c>
      <c r="M494" s="39" t="s">
        <v>1226</v>
      </c>
      <c r="N494" s="40">
        <v>5.34</v>
      </c>
      <c r="O494" s="40">
        <v>12.69</v>
      </c>
      <c r="P494" s="30" t="str">
        <f t="shared" si="65"/>
        <v>Low</v>
      </c>
      <c r="Q494" s="44">
        <v>0.13200000000000001</v>
      </c>
      <c r="R494" s="42" t="str">
        <f t="shared" si="66"/>
        <v>Medium</v>
      </c>
      <c r="S494" s="16">
        <v>10</v>
      </c>
      <c r="T494" s="30">
        <v>110.14919999999999</v>
      </c>
      <c r="U494" s="30">
        <v>53.4</v>
      </c>
      <c r="V494" s="30">
        <v>56.749199999999995</v>
      </c>
      <c r="W494" s="30">
        <v>0.51520301554618642</v>
      </c>
      <c r="X494" t="str">
        <f t="shared" si="67"/>
        <v>On-time</v>
      </c>
      <c r="Y494" t="str">
        <f t="shared" si="68"/>
        <v>Compliant Discount</v>
      </c>
      <c r="Z494" s="9">
        <f>MIN(Q494,'Scenario Modelling'!$B$2)</f>
        <v>0.13200000000000001</v>
      </c>
      <c r="AA494">
        <f t="shared" si="69"/>
        <v>11.01492</v>
      </c>
      <c r="AB494">
        <f>N494*(1+'Scenario Modelling'!$B$3)</f>
        <v>5.8740000000000006</v>
      </c>
      <c r="AC494">
        <f>ROUNDUP(S494*(1+'Scenario Modelling'!$B$4),0)</f>
        <v>11</v>
      </c>
      <c r="AD494">
        <f t="shared" si="70"/>
        <v>121.16412</v>
      </c>
      <c r="AE494">
        <f t="shared" si="71"/>
        <v>56.550119999999993</v>
      </c>
    </row>
    <row r="495" spans="1:31" x14ac:dyDescent="0.3">
      <c r="A495" s="31" t="s">
        <v>508</v>
      </c>
      <c r="B495" s="48">
        <v>45439</v>
      </c>
      <c r="C495" s="47" t="str">
        <f t="shared" si="64"/>
        <v>Q2-2024</v>
      </c>
      <c r="D495" s="32">
        <v>45460</v>
      </c>
      <c r="E495" s="17">
        <f t="shared" si="63"/>
        <v>21</v>
      </c>
      <c r="F495" s="33" t="s">
        <v>647</v>
      </c>
      <c r="G495" s="33" t="s">
        <v>654</v>
      </c>
      <c r="H495" s="33" t="s">
        <v>680</v>
      </c>
      <c r="I495" s="33" t="s">
        <v>705</v>
      </c>
      <c r="J495" s="33" t="s">
        <v>708</v>
      </c>
      <c r="K495" s="33" t="s">
        <v>722</v>
      </c>
      <c r="L495" s="33" t="s">
        <v>733</v>
      </c>
      <c r="M495" s="34" t="s">
        <v>1227</v>
      </c>
      <c r="N495" s="35">
        <v>465.02</v>
      </c>
      <c r="O495" s="35">
        <v>651.55999999999995</v>
      </c>
      <c r="P495" s="30" t="str">
        <f t="shared" si="65"/>
        <v>Low</v>
      </c>
      <c r="Q495" s="43">
        <v>4.2000000000000003E-2</v>
      </c>
      <c r="R495" s="42" t="str">
        <f t="shared" si="66"/>
        <v>Low</v>
      </c>
      <c r="S495" s="17">
        <v>19</v>
      </c>
      <c r="T495" s="30">
        <v>11859.695119999998</v>
      </c>
      <c r="U495" s="30">
        <v>8835.3799999999992</v>
      </c>
      <c r="V495" s="30">
        <v>3024.3151199999993</v>
      </c>
      <c r="W495" s="30">
        <v>0.25500783025187918</v>
      </c>
      <c r="X495" t="str">
        <f t="shared" si="67"/>
        <v>Delayed</v>
      </c>
      <c r="Y495" t="str">
        <f t="shared" si="68"/>
        <v>Compliant Discount</v>
      </c>
      <c r="Z495" s="9">
        <f>MIN(Q495,'Scenario Modelling'!$B$2)</f>
        <v>4.2000000000000003E-2</v>
      </c>
      <c r="AA495">
        <f t="shared" si="69"/>
        <v>624.19447999999988</v>
      </c>
      <c r="AB495">
        <f>N495*(1+'Scenario Modelling'!$B$3)</f>
        <v>511.52200000000005</v>
      </c>
      <c r="AC495">
        <f>ROUNDUP(S495*(1+'Scenario Modelling'!$B$4),0)</f>
        <v>20</v>
      </c>
      <c r="AD495">
        <f t="shared" si="70"/>
        <v>12483.889599999999</v>
      </c>
      <c r="AE495">
        <f t="shared" si="71"/>
        <v>2253.4495999999967</v>
      </c>
    </row>
    <row r="496" spans="1:31" x14ac:dyDescent="0.3">
      <c r="A496" s="36" t="s">
        <v>509</v>
      </c>
      <c r="B496" s="49">
        <v>45508</v>
      </c>
      <c r="C496" s="47" t="str">
        <f t="shared" si="64"/>
        <v>Q3-2024</v>
      </c>
      <c r="D496" s="37">
        <v>45521</v>
      </c>
      <c r="E496" s="16">
        <f t="shared" si="63"/>
        <v>13</v>
      </c>
      <c r="F496" s="38" t="s">
        <v>648</v>
      </c>
      <c r="G496" s="38" t="s">
        <v>660</v>
      </c>
      <c r="H496" s="38" t="s">
        <v>697</v>
      </c>
      <c r="I496" s="38" t="s">
        <v>704</v>
      </c>
      <c r="J496" s="38" t="s">
        <v>707</v>
      </c>
      <c r="K496" s="38" t="s">
        <v>726</v>
      </c>
      <c r="L496" s="38" t="s">
        <v>732</v>
      </c>
      <c r="M496" s="39" t="s">
        <v>1228</v>
      </c>
      <c r="N496" s="40">
        <v>352.79</v>
      </c>
      <c r="O496" s="40">
        <v>754.22</v>
      </c>
      <c r="P496" s="30" t="str">
        <f t="shared" si="65"/>
        <v>Low</v>
      </c>
      <c r="Q496" s="44">
        <v>0.113</v>
      </c>
      <c r="R496" s="42" t="str">
        <f t="shared" si="66"/>
        <v>Medium</v>
      </c>
      <c r="S496" s="16">
        <v>7</v>
      </c>
      <c r="T496" s="30">
        <v>4682.9519799999998</v>
      </c>
      <c r="U496" s="30">
        <v>2469.5300000000002</v>
      </c>
      <c r="V496" s="30">
        <v>2213.4219799999996</v>
      </c>
      <c r="W496" s="30">
        <v>0.47265528014233443</v>
      </c>
      <c r="X496" t="str">
        <f t="shared" si="67"/>
        <v>Delayed</v>
      </c>
      <c r="Y496" t="str">
        <f t="shared" si="68"/>
        <v>Compliant Discount</v>
      </c>
      <c r="Z496" s="9">
        <f>MIN(Q496,'Scenario Modelling'!$B$2)</f>
        <v>0.113</v>
      </c>
      <c r="AA496">
        <f t="shared" si="69"/>
        <v>668.99314000000004</v>
      </c>
      <c r="AB496">
        <f>N496*(1+'Scenario Modelling'!$B$3)</f>
        <v>388.06900000000007</v>
      </c>
      <c r="AC496">
        <f>ROUNDUP(S496*(1+'Scenario Modelling'!$B$4),0)</f>
        <v>8</v>
      </c>
      <c r="AD496">
        <f t="shared" si="70"/>
        <v>5351.9451200000003</v>
      </c>
      <c r="AE496">
        <f t="shared" si="71"/>
        <v>2247.3931199999997</v>
      </c>
    </row>
    <row r="497" spans="1:31" x14ac:dyDescent="0.3">
      <c r="A497" s="31" t="s">
        <v>510</v>
      </c>
      <c r="B497" s="48">
        <v>45097</v>
      </c>
      <c r="C497" s="47" t="str">
        <f t="shared" si="64"/>
        <v>Q2-2023</v>
      </c>
      <c r="D497" s="32">
        <v>45111</v>
      </c>
      <c r="E497" s="17">
        <f t="shared" si="63"/>
        <v>14</v>
      </c>
      <c r="F497" s="33" t="s">
        <v>648</v>
      </c>
      <c r="G497" s="33" t="s">
        <v>655</v>
      </c>
      <c r="H497" s="33" t="s">
        <v>672</v>
      </c>
      <c r="I497" s="33" t="s">
        <v>703</v>
      </c>
      <c r="J497" s="33" t="s">
        <v>711</v>
      </c>
      <c r="K497" s="33" t="s">
        <v>712</v>
      </c>
      <c r="L497" s="33" t="s">
        <v>729</v>
      </c>
      <c r="M497" s="34" t="s">
        <v>1229</v>
      </c>
      <c r="N497" s="35">
        <v>1292.8599999999999</v>
      </c>
      <c r="O497" s="35">
        <v>2981.01</v>
      </c>
      <c r="P497" s="30" t="str">
        <f t="shared" si="65"/>
        <v>High</v>
      </c>
      <c r="Q497" s="43">
        <v>0.14199999999999999</v>
      </c>
      <c r="R497" s="42" t="str">
        <f t="shared" si="66"/>
        <v>Medium</v>
      </c>
      <c r="S497" s="17">
        <v>12</v>
      </c>
      <c r="T497" s="30">
        <v>30692.47896</v>
      </c>
      <c r="U497" s="30">
        <v>15514.32</v>
      </c>
      <c r="V497" s="30">
        <v>15178.158960000001</v>
      </c>
      <c r="W497" s="30">
        <v>0.49452372288927687</v>
      </c>
      <c r="X497" t="str">
        <f t="shared" si="67"/>
        <v>Delayed</v>
      </c>
      <c r="Y497" t="str">
        <f t="shared" si="68"/>
        <v>Compliant Discount</v>
      </c>
      <c r="Z497" s="9">
        <f>MIN(Q497,'Scenario Modelling'!$B$2)</f>
        <v>0.14199999999999999</v>
      </c>
      <c r="AA497">
        <f t="shared" si="69"/>
        <v>2557.70658</v>
      </c>
      <c r="AB497">
        <f>N497*(1+'Scenario Modelling'!$B$3)</f>
        <v>1422.146</v>
      </c>
      <c r="AC497">
        <f>ROUNDUP(S497*(1+'Scenario Modelling'!$B$4),0)</f>
        <v>13</v>
      </c>
      <c r="AD497">
        <f t="shared" si="70"/>
        <v>33250.185539999999</v>
      </c>
      <c r="AE497">
        <f t="shared" si="71"/>
        <v>14762.287540000001</v>
      </c>
    </row>
    <row r="498" spans="1:31" x14ac:dyDescent="0.3">
      <c r="A498" s="36" t="s">
        <v>511</v>
      </c>
      <c r="B498" s="49">
        <v>45544</v>
      </c>
      <c r="C498" s="47" t="str">
        <f t="shared" si="64"/>
        <v>Q3-2024</v>
      </c>
      <c r="D498" s="37">
        <v>45548</v>
      </c>
      <c r="E498" s="16">
        <f t="shared" si="63"/>
        <v>4</v>
      </c>
      <c r="F498" s="38" t="s">
        <v>649</v>
      </c>
      <c r="G498" s="38" t="s">
        <v>658</v>
      </c>
      <c r="H498" s="38" t="s">
        <v>683</v>
      </c>
      <c r="I498" s="38" t="s">
        <v>704</v>
      </c>
      <c r="J498" s="38" t="s">
        <v>709</v>
      </c>
      <c r="K498" s="38" t="s">
        <v>721</v>
      </c>
      <c r="L498" s="38" t="s">
        <v>729</v>
      </c>
      <c r="M498" s="39" t="s">
        <v>1230</v>
      </c>
      <c r="N498" s="40">
        <v>1133.08</v>
      </c>
      <c r="O498" s="40">
        <v>976.17</v>
      </c>
      <c r="P498" s="30" t="str">
        <f t="shared" si="65"/>
        <v>Medium</v>
      </c>
      <c r="Q498" s="44">
        <v>4.2000000000000003E-2</v>
      </c>
      <c r="R498" s="42" t="str">
        <f t="shared" si="66"/>
        <v>Low</v>
      </c>
      <c r="S498" s="16">
        <v>27</v>
      </c>
      <c r="T498" s="30">
        <v>25249.613219999999</v>
      </c>
      <c r="U498" s="30">
        <v>30593.159999999996</v>
      </c>
      <c r="V498" s="30">
        <v>-5343.5467799999969</v>
      </c>
      <c r="W498" s="30">
        <v>-0.21162885678452373</v>
      </c>
      <c r="X498" t="str">
        <f t="shared" si="67"/>
        <v>On-time</v>
      </c>
      <c r="Y498" t="str">
        <f t="shared" si="68"/>
        <v>Compliant Discount</v>
      </c>
      <c r="Z498" s="9">
        <f>MIN(Q498,'Scenario Modelling'!$B$2)</f>
        <v>4.2000000000000003E-2</v>
      </c>
      <c r="AA498">
        <f t="shared" si="69"/>
        <v>935.17085999999995</v>
      </c>
      <c r="AB498">
        <f>N498*(1+'Scenario Modelling'!$B$3)</f>
        <v>1246.3879999999999</v>
      </c>
      <c r="AC498">
        <f>ROUNDUP(S498*(1+'Scenario Modelling'!$B$4),0)</f>
        <v>29</v>
      </c>
      <c r="AD498">
        <f t="shared" si="70"/>
        <v>27119.95494</v>
      </c>
      <c r="AE498">
        <f t="shared" si="71"/>
        <v>-9025.297059999999</v>
      </c>
    </row>
    <row r="499" spans="1:31" x14ac:dyDescent="0.3">
      <c r="A499" s="31" t="s">
        <v>512</v>
      </c>
      <c r="B499" s="48">
        <v>45224</v>
      </c>
      <c r="C499" s="47" t="str">
        <f t="shared" si="64"/>
        <v>Q4-2023</v>
      </c>
      <c r="D499" s="32">
        <v>45227</v>
      </c>
      <c r="E499" s="17">
        <f t="shared" si="63"/>
        <v>3</v>
      </c>
      <c r="F499" s="33" t="s">
        <v>648</v>
      </c>
      <c r="G499" s="33" t="s">
        <v>655</v>
      </c>
      <c r="H499" s="33" t="s">
        <v>672</v>
      </c>
      <c r="I499" s="33" t="s">
        <v>701</v>
      </c>
      <c r="J499" s="33" t="s">
        <v>710</v>
      </c>
      <c r="K499" s="33" t="s">
        <v>716</v>
      </c>
      <c r="L499" s="33" t="s">
        <v>733</v>
      </c>
      <c r="M499" s="34" t="s">
        <v>1231</v>
      </c>
      <c r="N499" s="35">
        <v>509.31</v>
      </c>
      <c r="O499" s="35">
        <v>1145.9000000000001</v>
      </c>
      <c r="P499" s="30" t="str">
        <f t="shared" si="65"/>
        <v>Medium</v>
      </c>
      <c r="Q499" s="43">
        <v>5.7000000000000002E-2</v>
      </c>
      <c r="R499" s="42" t="str">
        <f t="shared" si="66"/>
        <v>Low</v>
      </c>
      <c r="S499" s="17">
        <v>8</v>
      </c>
      <c r="T499" s="30">
        <v>8644.6696000000011</v>
      </c>
      <c r="U499" s="30">
        <v>4074.48</v>
      </c>
      <c r="V499" s="30">
        <v>4570.1896000000015</v>
      </c>
      <c r="W499" s="30">
        <v>0.52867140231709964</v>
      </c>
      <c r="X499" t="str">
        <f t="shared" si="67"/>
        <v>On-time</v>
      </c>
      <c r="Y499" t="str">
        <f t="shared" si="68"/>
        <v>Compliant Discount</v>
      </c>
      <c r="Z499" s="9">
        <f>MIN(Q499,'Scenario Modelling'!$B$2)</f>
        <v>5.7000000000000002E-2</v>
      </c>
      <c r="AA499">
        <f t="shared" si="69"/>
        <v>1080.5837000000001</v>
      </c>
      <c r="AB499">
        <f>N499*(1+'Scenario Modelling'!$B$3)</f>
        <v>560.2410000000001</v>
      </c>
      <c r="AC499">
        <f>ROUNDUP(S499*(1+'Scenario Modelling'!$B$4),0)</f>
        <v>9</v>
      </c>
      <c r="AD499">
        <f t="shared" si="70"/>
        <v>9725.2533000000003</v>
      </c>
      <c r="AE499">
        <f t="shared" si="71"/>
        <v>4683.0843000000004</v>
      </c>
    </row>
    <row r="500" spans="1:31" x14ac:dyDescent="0.3">
      <c r="A500" s="36" t="s">
        <v>513</v>
      </c>
      <c r="B500" s="49">
        <v>45908</v>
      </c>
      <c r="C500" s="47" t="str">
        <f t="shared" si="64"/>
        <v>Q3-2025</v>
      </c>
      <c r="D500" s="37">
        <v>45935</v>
      </c>
      <c r="E500" s="16">
        <f t="shared" si="63"/>
        <v>27</v>
      </c>
      <c r="F500" s="38" t="s">
        <v>648</v>
      </c>
      <c r="G500" s="38" t="s">
        <v>655</v>
      </c>
      <c r="H500" s="38" t="s">
        <v>692</v>
      </c>
      <c r="I500" s="38" t="s">
        <v>702</v>
      </c>
      <c r="J500" s="38" t="s">
        <v>708</v>
      </c>
      <c r="K500" s="38" t="s">
        <v>712</v>
      </c>
      <c r="L500" s="38" t="s">
        <v>732</v>
      </c>
      <c r="M500" s="39" t="s">
        <v>1232</v>
      </c>
      <c r="N500" s="40">
        <v>660.78</v>
      </c>
      <c r="O500" s="40">
        <v>1630.39</v>
      </c>
      <c r="P500" s="30" t="str">
        <f t="shared" si="65"/>
        <v>Medium</v>
      </c>
      <c r="Q500" s="44">
        <v>0.218</v>
      </c>
      <c r="R500" s="42" t="str">
        <f t="shared" si="66"/>
        <v>High</v>
      </c>
      <c r="S500" s="16">
        <v>13</v>
      </c>
      <c r="T500" s="30">
        <v>16574.544740000001</v>
      </c>
      <c r="U500" s="30">
        <v>8590.14</v>
      </c>
      <c r="V500" s="30">
        <v>7984.4047400000018</v>
      </c>
      <c r="W500" s="30">
        <v>0.48172694123724097</v>
      </c>
      <c r="X500" t="str">
        <f t="shared" si="67"/>
        <v>Delayed</v>
      </c>
      <c r="Y500" t="str">
        <f t="shared" si="68"/>
        <v>Non-compliant Discount</v>
      </c>
      <c r="Z500" s="9">
        <f>MIN(Q500,'Scenario Modelling'!$B$2)</f>
        <v>0.2</v>
      </c>
      <c r="AA500">
        <f t="shared" si="69"/>
        <v>1304.3120000000001</v>
      </c>
      <c r="AB500">
        <f>N500*(1+'Scenario Modelling'!$B$3)</f>
        <v>726.85800000000006</v>
      </c>
      <c r="AC500">
        <f>ROUNDUP(S500*(1+'Scenario Modelling'!$B$4),0)</f>
        <v>14</v>
      </c>
      <c r="AD500">
        <f t="shared" si="70"/>
        <v>18260.368000000002</v>
      </c>
      <c r="AE500">
        <f t="shared" si="71"/>
        <v>8084.3560000000007</v>
      </c>
    </row>
    <row r="501" spans="1:31" x14ac:dyDescent="0.3">
      <c r="A501" s="31" t="s">
        <v>514</v>
      </c>
      <c r="B501" s="48">
        <v>45048</v>
      </c>
      <c r="C501" s="47" t="str">
        <f t="shared" si="64"/>
        <v>Q2-2023</v>
      </c>
      <c r="D501" s="32">
        <v>45062</v>
      </c>
      <c r="E501" s="17">
        <f t="shared" si="63"/>
        <v>14</v>
      </c>
      <c r="F501" s="33" t="s">
        <v>647</v>
      </c>
      <c r="G501" s="33" t="s">
        <v>654</v>
      </c>
      <c r="H501" s="33" t="s">
        <v>668</v>
      </c>
      <c r="I501" s="33" t="s">
        <v>703</v>
      </c>
      <c r="J501" s="33" t="s">
        <v>707</v>
      </c>
      <c r="K501" s="33" t="s">
        <v>716</v>
      </c>
      <c r="L501" s="33" t="s">
        <v>732</v>
      </c>
      <c r="M501" s="34" t="s">
        <v>1233</v>
      </c>
      <c r="N501" s="35">
        <v>475.37</v>
      </c>
      <c r="O501" s="35">
        <v>963.73</v>
      </c>
      <c r="P501" s="30" t="str">
        <f t="shared" si="65"/>
        <v>Medium</v>
      </c>
      <c r="Q501" s="43">
        <v>4.1000000000000002E-2</v>
      </c>
      <c r="R501" s="42" t="str">
        <f t="shared" si="66"/>
        <v>Low</v>
      </c>
      <c r="S501" s="17">
        <v>22</v>
      </c>
      <c r="T501" s="30">
        <v>20332.775539999999</v>
      </c>
      <c r="U501" s="30">
        <v>10458.14</v>
      </c>
      <c r="V501" s="30">
        <v>9874.6355399999993</v>
      </c>
      <c r="W501" s="30">
        <v>0.48565113604750881</v>
      </c>
      <c r="X501" t="str">
        <f t="shared" si="67"/>
        <v>Delayed</v>
      </c>
      <c r="Y501" t="str">
        <f t="shared" si="68"/>
        <v>Compliant Discount</v>
      </c>
      <c r="Z501" s="9">
        <f>MIN(Q501,'Scenario Modelling'!$B$2)</f>
        <v>4.1000000000000002E-2</v>
      </c>
      <c r="AA501">
        <f t="shared" si="69"/>
        <v>924.21707000000004</v>
      </c>
      <c r="AB501">
        <f>N501*(1+'Scenario Modelling'!$B$3)</f>
        <v>522.90700000000004</v>
      </c>
      <c r="AC501">
        <f>ROUNDUP(S501*(1+'Scenario Modelling'!$B$4),0)</f>
        <v>24</v>
      </c>
      <c r="AD501">
        <f t="shared" si="70"/>
        <v>22181.20968</v>
      </c>
      <c r="AE501">
        <f t="shared" si="71"/>
        <v>9631.4416799999999</v>
      </c>
    </row>
    <row r="502" spans="1:31" x14ac:dyDescent="0.3">
      <c r="A502" s="36" t="s">
        <v>515</v>
      </c>
      <c r="B502" s="49">
        <v>45408</v>
      </c>
      <c r="C502" s="47" t="str">
        <f t="shared" si="64"/>
        <v>Q2-2024</v>
      </c>
      <c r="D502" s="37">
        <v>45415</v>
      </c>
      <c r="E502" s="16">
        <f t="shared" si="63"/>
        <v>7</v>
      </c>
      <c r="F502" s="38" t="s">
        <v>649</v>
      </c>
      <c r="G502" s="38" t="s">
        <v>658</v>
      </c>
      <c r="H502" s="38" t="s">
        <v>683</v>
      </c>
      <c r="I502" s="38" t="s">
        <v>703</v>
      </c>
      <c r="J502" s="38" t="s">
        <v>710</v>
      </c>
      <c r="K502" s="38" t="s">
        <v>725</v>
      </c>
      <c r="L502" s="38" t="s">
        <v>730</v>
      </c>
      <c r="M502" s="39" t="s">
        <v>1234</v>
      </c>
      <c r="N502" s="40">
        <v>1232.77</v>
      </c>
      <c r="O502" s="40">
        <v>891.73</v>
      </c>
      <c r="P502" s="30" t="str">
        <f t="shared" si="65"/>
        <v>Low</v>
      </c>
      <c r="Q502" s="44">
        <v>0.16700000000000001</v>
      </c>
      <c r="R502" s="42" t="str">
        <f t="shared" si="66"/>
        <v>Medium</v>
      </c>
      <c r="S502" s="16">
        <v>10</v>
      </c>
      <c r="T502" s="30">
        <v>7428.1108999999988</v>
      </c>
      <c r="U502" s="30">
        <v>12327.7</v>
      </c>
      <c r="V502" s="30">
        <v>-4899.589100000002</v>
      </c>
      <c r="W502" s="30">
        <v>-0.65960096260813805</v>
      </c>
      <c r="X502" t="str">
        <f t="shared" si="67"/>
        <v>On-time</v>
      </c>
      <c r="Y502" t="str">
        <f t="shared" si="68"/>
        <v>Compliant Discount</v>
      </c>
      <c r="Z502" s="9">
        <f>MIN(Q502,'Scenario Modelling'!$B$2)</f>
        <v>0.16700000000000001</v>
      </c>
      <c r="AA502">
        <f t="shared" si="69"/>
        <v>742.81109000000004</v>
      </c>
      <c r="AB502">
        <f>N502*(1+'Scenario Modelling'!$B$3)</f>
        <v>1356.047</v>
      </c>
      <c r="AC502">
        <f>ROUNDUP(S502*(1+'Scenario Modelling'!$B$4),0)</f>
        <v>11</v>
      </c>
      <c r="AD502">
        <f t="shared" si="70"/>
        <v>8170.9219900000007</v>
      </c>
      <c r="AE502">
        <f t="shared" si="71"/>
        <v>-6745.59501</v>
      </c>
    </row>
    <row r="503" spans="1:31" x14ac:dyDescent="0.3">
      <c r="A503" s="31" t="s">
        <v>516</v>
      </c>
      <c r="B503" s="48">
        <v>44980</v>
      </c>
      <c r="C503" s="47" t="str">
        <f t="shared" si="64"/>
        <v>Q1-2023</v>
      </c>
      <c r="D503" s="32">
        <v>45003</v>
      </c>
      <c r="E503" s="17">
        <f t="shared" si="63"/>
        <v>23</v>
      </c>
      <c r="F503" s="33" t="s">
        <v>647</v>
      </c>
      <c r="G503" s="33" t="s">
        <v>659</v>
      </c>
      <c r="H503" s="33" t="s">
        <v>699</v>
      </c>
      <c r="I503" s="33" t="s">
        <v>702</v>
      </c>
      <c r="J503" s="33" t="s">
        <v>710</v>
      </c>
      <c r="K503" s="33" t="s">
        <v>723</v>
      </c>
      <c r="L503" s="33" t="s">
        <v>728</v>
      </c>
      <c r="M503" s="34" t="s">
        <v>1235</v>
      </c>
      <c r="N503" s="35">
        <v>770.11</v>
      </c>
      <c r="O503" s="35">
        <v>1667.82</v>
      </c>
      <c r="P503" s="30" t="str">
        <f t="shared" si="65"/>
        <v>High</v>
      </c>
      <c r="Q503" s="43">
        <v>6.9000000000000006E-2</v>
      </c>
      <c r="R503" s="42" t="str">
        <f t="shared" si="66"/>
        <v>Low</v>
      </c>
      <c r="S503" s="17">
        <v>7</v>
      </c>
      <c r="T503" s="30">
        <v>10869.182940000001</v>
      </c>
      <c r="U503" s="30">
        <v>5390.77</v>
      </c>
      <c r="V503" s="30">
        <v>5478.4129400000002</v>
      </c>
      <c r="W503" s="30">
        <v>0.50403171703355287</v>
      </c>
      <c r="X503" t="str">
        <f t="shared" si="67"/>
        <v>Delayed</v>
      </c>
      <c r="Y503" t="str">
        <f t="shared" si="68"/>
        <v>Compliant Discount</v>
      </c>
      <c r="Z503" s="9">
        <f>MIN(Q503,'Scenario Modelling'!$B$2)</f>
        <v>6.9000000000000006E-2</v>
      </c>
      <c r="AA503">
        <f t="shared" si="69"/>
        <v>1552.7404200000001</v>
      </c>
      <c r="AB503">
        <f>N503*(1+'Scenario Modelling'!$B$3)</f>
        <v>847.12100000000009</v>
      </c>
      <c r="AC503">
        <f>ROUNDUP(S503*(1+'Scenario Modelling'!$B$4),0)</f>
        <v>8</v>
      </c>
      <c r="AD503">
        <f t="shared" si="70"/>
        <v>12421.923360000001</v>
      </c>
      <c r="AE503">
        <f t="shared" si="71"/>
        <v>5644.9553599999999</v>
      </c>
    </row>
    <row r="504" spans="1:31" x14ac:dyDescent="0.3">
      <c r="A504" s="36" t="s">
        <v>517</v>
      </c>
      <c r="B504" s="49">
        <v>45740</v>
      </c>
      <c r="C504" s="47" t="str">
        <f t="shared" si="64"/>
        <v>Q1-2025</v>
      </c>
      <c r="D504" s="37">
        <v>45741</v>
      </c>
      <c r="E504" s="16">
        <f t="shared" si="63"/>
        <v>1</v>
      </c>
      <c r="F504" s="38" t="s">
        <v>647</v>
      </c>
      <c r="G504" s="38" t="s">
        <v>659</v>
      </c>
      <c r="H504" s="38" t="s">
        <v>699</v>
      </c>
      <c r="I504" s="38" t="s">
        <v>703</v>
      </c>
      <c r="J504" s="38" t="s">
        <v>708</v>
      </c>
      <c r="K504" s="38" t="s">
        <v>715</v>
      </c>
      <c r="L504" s="38" t="s">
        <v>729</v>
      </c>
      <c r="M504" s="39" t="s">
        <v>1236</v>
      </c>
      <c r="N504" s="40">
        <v>1133.03</v>
      </c>
      <c r="O504" s="40">
        <v>1921.51</v>
      </c>
      <c r="P504" s="30" t="str">
        <f t="shared" si="65"/>
        <v>High</v>
      </c>
      <c r="Q504" s="44">
        <v>0.10100000000000001</v>
      </c>
      <c r="R504" s="42" t="str">
        <f t="shared" si="66"/>
        <v>Medium</v>
      </c>
      <c r="S504" s="16">
        <v>5</v>
      </c>
      <c r="T504" s="30">
        <v>8637.1874499999994</v>
      </c>
      <c r="U504" s="30">
        <v>5665.15</v>
      </c>
      <c r="V504" s="30">
        <v>2972.0374499999998</v>
      </c>
      <c r="W504" s="30">
        <v>0.3440978289755654</v>
      </c>
      <c r="X504" t="str">
        <f t="shared" si="67"/>
        <v>On-time</v>
      </c>
      <c r="Y504" t="str">
        <f t="shared" si="68"/>
        <v>Compliant Discount</v>
      </c>
      <c r="Z504" s="9">
        <f>MIN(Q504,'Scenario Modelling'!$B$2)</f>
        <v>0.10100000000000001</v>
      </c>
      <c r="AA504">
        <f t="shared" si="69"/>
        <v>1727.43749</v>
      </c>
      <c r="AB504">
        <f>N504*(1+'Scenario Modelling'!$B$3)</f>
        <v>1246.3330000000001</v>
      </c>
      <c r="AC504">
        <f>ROUNDUP(S504*(1+'Scenario Modelling'!$B$4),0)</f>
        <v>6</v>
      </c>
      <c r="AD504">
        <f t="shared" si="70"/>
        <v>10364.62494</v>
      </c>
      <c r="AE504">
        <f t="shared" si="71"/>
        <v>2886.6269399999996</v>
      </c>
    </row>
    <row r="505" spans="1:31" x14ac:dyDescent="0.3">
      <c r="A505" s="31" t="s">
        <v>518</v>
      </c>
      <c r="B505" s="48">
        <v>45726</v>
      </c>
      <c r="C505" s="47" t="str">
        <f t="shared" si="64"/>
        <v>Q1-2025</v>
      </c>
      <c r="D505" s="32">
        <v>45743</v>
      </c>
      <c r="E505" s="17">
        <f t="shared" si="63"/>
        <v>17</v>
      </c>
      <c r="F505" s="33" t="s">
        <v>648</v>
      </c>
      <c r="G505" s="33" t="s">
        <v>655</v>
      </c>
      <c r="H505" s="33" t="s">
        <v>692</v>
      </c>
      <c r="I505" s="33" t="s">
        <v>706</v>
      </c>
      <c r="J505" s="33" t="s">
        <v>711</v>
      </c>
      <c r="K505" s="33" t="s">
        <v>721</v>
      </c>
      <c r="L505" s="33" t="s">
        <v>729</v>
      </c>
      <c r="M505" s="34" t="s">
        <v>1237</v>
      </c>
      <c r="N505" s="35">
        <v>996.73</v>
      </c>
      <c r="O505" s="35">
        <v>1217.43</v>
      </c>
      <c r="P505" s="30" t="str">
        <f t="shared" si="65"/>
        <v>Medium</v>
      </c>
      <c r="Q505" s="43">
        <v>7.0000000000000007E-2</v>
      </c>
      <c r="R505" s="42" t="str">
        <f t="shared" si="66"/>
        <v>Low</v>
      </c>
      <c r="S505" s="17">
        <v>9</v>
      </c>
      <c r="T505" s="30">
        <v>10189.8891</v>
      </c>
      <c r="U505" s="30">
        <v>8970.57</v>
      </c>
      <c r="V505" s="30">
        <v>1219.3191000000006</v>
      </c>
      <c r="W505" s="30">
        <v>0.11965970267527255</v>
      </c>
      <c r="X505" t="str">
        <f t="shared" si="67"/>
        <v>Delayed</v>
      </c>
      <c r="Y505" t="str">
        <f t="shared" si="68"/>
        <v>Compliant Discount</v>
      </c>
      <c r="Z505" s="9">
        <f>MIN(Q505,'Scenario Modelling'!$B$2)</f>
        <v>7.0000000000000007E-2</v>
      </c>
      <c r="AA505">
        <f t="shared" si="69"/>
        <v>1132.2099000000001</v>
      </c>
      <c r="AB505">
        <f>N505*(1+'Scenario Modelling'!$B$3)</f>
        <v>1096.403</v>
      </c>
      <c r="AC505">
        <f>ROUNDUP(S505*(1+'Scenario Modelling'!$B$4),0)</f>
        <v>10</v>
      </c>
      <c r="AD505">
        <f t="shared" si="70"/>
        <v>11322.099</v>
      </c>
      <c r="AE505">
        <f t="shared" si="71"/>
        <v>358.06900000000041</v>
      </c>
    </row>
    <row r="506" spans="1:31" x14ac:dyDescent="0.3">
      <c r="A506" s="36" t="s">
        <v>519</v>
      </c>
      <c r="B506" s="49">
        <v>45387</v>
      </c>
      <c r="C506" s="47" t="str">
        <f t="shared" si="64"/>
        <v>Q2-2024</v>
      </c>
      <c r="D506" s="37">
        <v>45391</v>
      </c>
      <c r="E506" s="16">
        <f t="shared" si="63"/>
        <v>4</v>
      </c>
      <c r="F506" s="38" t="s">
        <v>646</v>
      </c>
      <c r="G506" s="38" t="s">
        <v>651</v>
      </c>
      <c r="H506" s="38" t="s">
        <v>665</v>
      </c>
      <c r="I506" s="38" t="s">
        <v>703</v>
      </c>
      <c r="J506" s="38" t="s">
        <v>711</v>
      </c>
      <c r="K506" s="38" t="s">
        <v>723</v>
      </c>
      <c r="L506" s="38" t="s">
        <v>727</v>
      </c>
      <c r="M506" s="39" t="s">
        <v>1238</v>
      </c>
      <c r="N506" s="40">
        <v>395.07</v>
      </c>
      <c r="O506" s="40">
        <v>970.27</v>
      </c>
      <c r="P506" s="30" t="str">
        <f t="shared" si="65"/>
        <v>Medium</v>
      </c>
      <c r="Q506" s="44">
        <v>0.123</v>
      </c>
      <c r="R506" s="42" t="str">
        <f t="shared" si="66"/>
        <v>Medium</v>
      </c>
      <c r="S506" s="16">
        <v>38</v>
      </c>
      <c r="T506" s="30">
        <v>32335.21802</v>
      </c>
      <c r="U506" s="30">
        <v>15012.66</v>
      </c>
      <c r="V506" s="30">
        <v>17322.55802</v>
      </c>
      <c r="W506" s="30">
        <v>0.53571799049833657</v>
      </c>
      <c r="X506" t="str">
        <f t="shared" si="67"/>
        <v>On-time</v>
      </c>
      <c r="Y506" t="str">
        <f t="shared" si="68"/>
        <v>Compliant Discount</v>
      </c>
      <c r="Z506" s="9">
        <f>MIN(Q506,'Scenario Modelling'!$B$2)</f>
        <v>0.123</v>
      </c>
      <c r="AA506">
        <f t="shared" si="69"/>
        <v>850.92678999999998</v>
      </c>
      <c r="AB506">
        <f>N506*(1+'Scenario Modelling'!$B$3)</f>
        <v>434.57700000000006</v>
      </c>
      <c r="AC506">
        <f>ROUNDUP(S506*(1+'Scenario Modelling'!$B$4),0)</f>
        <v>40</v>
      </c>
      <c r="AD506">
        <f t="shared" si="70"/>
        <v>34037.071599999996</v>
      </c>
      <c r="AE506">
        <f t="shared" si="71"/>
        <v>16653.991599999998</v>
      </c>
    </row>
    <row r="507" spans="1:31" x14ac:dyDescent="0.3">
      <c r="A507" s="31" t="s">
        <v>520</v>
      </c>
      <c r="B507" s="48">
        <v>45774</v>
      </c>
      <c r="C507" s="47" t="str">
        <f t="shared" si="64"/>
        <v>Q2-2025</v>
      </c>
      <c r="D507" s="32">
        <v>45794</v>
      </c>
      <c r="E507" s="17">
        <f t="shared" si="63"/>
        <v>20</v>
      </c>
      <c r="F507" s="33" t="s">
        <v>648</v>
      </c>
      <c r="G507" s="33" t="s">
        <v>660</v>
      </c>
      <c r="H507" s="33" t="s">
        <v>697</v>
      </c>
      <c r="I507" s="33" t="s">
        <v>701</v>
      </c>
      <c r="J507" s="33" t="s">
        <v>711</v>
      </c>
      <c r="K507" s="33" t="s">
        <v>725</v>
      </c>
      <c r="L507" s="33" t="s">
        <v>730</v>
      </c>
      <c r="M507" s="34" t="s">
        <v>1239</v>
      </c>
      <c r="N507" s="35">
        <v>932.26</v>
      </c>
      <c r="O507" s="35">
        <v>1624.67</v>
      </c>
      <c r="P507" s="30" t="str">
        <f t="shared" si="65"/>
        <v>Medium</v>
      </c>
      <c r="Q507" s="43">
        <v>0.23499999999999999</v>
      </c>
      <c r="R507" s="42" t="str">
        <f t="shared" si="66"/>
        <v>High</v>
      </c>
      <c r="S507" s="17">
        <v>28</v>
      </c>
      <c r="T507" s="30">
        <v>34800.431400000001</v>
      </c>
      <c r="U507" s="30">
        <v>26103.279999999999</v>
      </c>
      <c r="V507" s="30">
        <v>8697.1514000000025</v>
      </c>
      <c r="W507" s="30">
        <v>0.24991504559337163</v>
      </c>
      <c r="X507" t="str">
        <f t="shared" si="67"/>
        <v>Delayed</v>
      </c>
      <c r="Y507" t="str">
        <f t="shared" si="68"/>
        <v>Non-compliant Discount</v>
      </c>
      <c r="Z507" s="9">
        <f>MIN(Q507,'Scenario Modelling'!$B$2)</f>
        <v>0.2</v>
      </c>
      <c r="AA507">
        <f t="shared" si="69"/>
        <v>1299.7360000000001</v>
      </c>
      <c r="AB507">
        <f>N507*(1+'Scenario Modelling'!$B$3)</f>
        <v>1025.4860000000001</v>
      </c>
      <c r="AC507">
        <f>ROUNDUP(S507*(1+'Scenario Modelling'!$B$4),0)</f>
        <v>30</v>
      </c>
      <c r="AD507">
        <f t="shared" si="70"/>
        <v>38992.080000000002</v>
      </c>
      <c r="AE507">
        <f t="shared" si="71"/>
        <v>8227.5</v>
      </c>
    </row>
    <row r="508" spans="1:31" x14ac:dyDescent="0.3">
      <c r="A508" s="36" t="s">
        <v>521</v>
      </c>
      <c r="B508" s="49">
        <v>45589</v>
      </c>
      <c r="C508" s="47" t="str">
        <f t="shared" si="64"/>
        <v>Q4-2024</v>
      </c>
      <c r="D508" s="37">
        <v>45593</v>
      </c>
      <c r="E508" s="16">
        <f t="shared" si="63"/>
        <v>4</v>
      </c>
      <c r="F508" s="38" t="s">
        <v>647</v>
      </c>
      <c r="G508" s="38" t="s">
        <v>659</v>
      </c>
      <c r="H508" s="38" t="s">
        <v>685</v>
      </c>
      <c r="I508" s="38" t="s">
        <v>705</v>
      </c>
      <c r="J508" s="38" t="s">
        <v>710</v>
      </c>
      <c r="K508" s="38" t="s">
        <v>714</v>
      </c>
      <c r="L508" s="38" t="s">
        <v>729</v>
      </c>
      <c r="M508" s="39" t="s">
        <v>1240</v>
      </c>
      <c r="N508" s="40">
        <v>1331.77</v>
      </c>
      <c r="O508" s="40">
        <v>2606.11</v>
      </c>
      <c r="P508" s="30" t="str">
        <f t="shared" si="65"/>
        <v>High</v>
      </c>
      <c r="Q508" s="44">
        <v>0.02</v>
      </c>
      <c r="R508" s="42" t="str">
        <f t="shared" si="66"/>
        <v>Low</v>
      </c>
      <c r="S508" s="16">
        <v>6</v>
      </c>
      <c r="T508" s="30">
        <v>15323.926799999999</v>
      </c>
      <c r="U508" s="30">
        <v>7990.62</v>
      </c>
      <c r="V508" s="30">
        <v>7333.3067999999994</v>
      </c>
      <c r="W508" s="30">
        <v>0.47855271665745619</v>
      </c>
      <c r="X508" t="str">
        <f t="shared" si="67"/>
        <v>On-time</v>
      </c>
      <c r="Y508" t="str">
        <f t="shared" si="68"/>
        <v>Compliant Discount</v>
      </c>
      <c r="Z508" s="9">
        <f>MIN(Q508,'Scenario Modelling'!$B$2)</f>
        <v>0.02</v>
      </c>
      <c r="AA508">
        <f t="shared" si="69"/>
        <v>2553.9877999999999</v>
      </c>
      <c r="AB508">
        <f>N508*(1+'Scenario Modelling'!$B$3)</f>
        <v>1464.9470000000001</v>
      </c>
      <c r="AC508">
        <f>ROUNDUP(S508*(1+'Scenario Modelling'!$B$4),0)</f>
        <v>7</v>
      </c>
      <c r="AD508">
        <f t="shared" si="70"/>
        <v>17877.9146</v>
      </c>
      <c r="AE508">
        <f t="shared" si="71"/>
        <v>7623.2855999999983</v>
      </c>
    </row>
    <row r="509" spans="1:31" x14ac:dyDescent="0.3">
      <c r="A509" s="31" t="s">
        <v>522</v>
      </c>
      <c r="B509" s="48">
        <v>45029</v>
      </c>
      <c r="C509" s="47" t="str">
        <f t="shared" si="64"/>
        <v>Q2-2023</v>
      </c>
      <c r="D509" s="32">
        <v>45036</v>
      </c>
      <c r="E509" s="17">
        <f t="shared" si="63"/>
        <v>7</v>
      </c>
      <c r="F509" s="33" t="s">
        <v>649</v>
      </c>
      <c r="G509" s="33" t="s">
        <v>657</v>
      </c>
      <c r="H509" s="33" t="s">
        <v>679</v>
      </c>
      <c r="I509" s="33" t="s">
        <v>705</v>
      </c>
      <c r="J509" s="33" t="s">
        <v>708</v>
      </c>
      <c r="K509" s="33" t="s">
        <v>720</v>
      </c>
      <c r="L509" s="33" t="s">
        <v>731</v>
      </c>
      <c r="M509" s="34" t="s">
        <v>1241</v>
      </c>
      <c r="N509" s="35">
        <v>227.02</v>
      </c>
      <c r="O509" s="35">
        <v>434.72</v>
      </c>
      <c r="P509" s="30" t="str">
        <f t="shared" si="65"/>
        <v>Low</v>
      </c>
      <c r="Q509" s="43">
        <v>9.8000000000000004E-2</v>
      </c>
      <c r="R509" s="42" t="str">
        <f t="shared" si="66"/>
        <v>Low</v>
      </c>
      <c r="S509" s="17">
        <v>10</v>
      </c>
      <c r="T509" s="30">
        <v>3921.1744000000008</v>
      </c>
      <c r="U509" s="30">
        <v>2270.2000000000003</v>
      </c>
      <c r="V509" s="30">
        <v>1650.9744000000005</v>
      </c>
      <c r="W509" s="30">
        <v>0.42104079838938052</v>
      </c>
      <c r="X509" t="str">
        <f t="shared" si="67"/>
        <v>On-time</v>
      </c>
      <c r="Y509" t="str">
        <f t="shared" si="68"/>
        <v>Compliant Discount</v>
      </c>
      <c r="Z509" s="9">
        <f>MIN(Q509,'Scenario Modelling'!$B$2)</f>
        <v>9.8000000000000004E-2</v>
      </c>
      <c r="AA509">
        <f t="shared" si="69"/>
        <v>392.11744000000004</v>
      </c>
      <c r="AB509">
        <f>N509*(1+'Scenario Modelling'!$B$3)</f>
        <v>249.72200000000004</v>
      </c>
      <c r="AC509">
        <f>ROUNDUP(S509*(1+'Scenario Modelling'!$B$4),0)</f>
        <v>11</v>
      </c>
      <c r="AD509">
        <f t="shared" si="70"/>
        <v>4313.2918400000008</v>
      </c>
      <c r="AE509">
        <f t="shared" si="71"/>
        <v>1566.3498400000001</v>
      </c>
    </row>
    <row r="510" spans="1:31" x14ac:dyDescent="0.3">
      <c r="A510" s="36" t="s">
        <v>523</v>
      </c>
      <c r="B510" s="49">
        <v>45608</v>
      </c>
      <c r="C510" s="47" t="str">
        <f t="shared" si="64"/>
        <v>Q4-2024</v>
      </c>
      <c r="D510" s="37">
        <v>45617</v>
      </c>
      <c r="E510" s="16">
        <f t="shared" si="63"/>
        <v>9</v>
      </c>
      <c r="F510" s="38" t="s">
        <v>647</v>
      </c>
      <c r="G510" s="38" t="s">
        <v>654</v>
      </c>
      <c r="H510" s="38" t="s">
        <v>691</v>
      </c>
      <c r="I510" s="38" t="s">
        <v>701</v>
      </c>
      <c r="J510" s="38" t="s">
        <v>711</v>
      </c>
      <c r="K510" s="38" t="s">
        <v>722</v>
      </c>
      <c r="L510" s="38" t="s">
        <v>731</v>
      </c>
      <c r="M510" s="39" t="s">
        <v>1242</v>
      </c>
      <c r="N510" s="40">
        <v>903.41</v>
      </c>
      <c r="O510" s="40">
        <v>1860.41</v>
      </c>
      <c r="P510" s="30" t="str">
        <f t="shared" si="65"/>
        <v>High</v>
      </c>
      <c r="Q510" s="44">
        <v>0.108</v>
      </c>
      <c r="R510" s="42" t="str">
        <f t="shared" si="66"/>
        <v>Medium</v>
      </c>
      <c r="S510" s="16">
        <v>5</v>
      </c>
      <c r="T510" s="30">
        <v>8297.4286000000011</v>
      </c>
      <c r="U510" s="30">
        <v>4517.05</v>
      </c>
      <c r="V510" s="30">
        <v>3780.3786000000009</v>
      </c>
      <c r="W510" s="30">
        <v>0.455608451996803</v>
      </c>
      <c r="X510" t="str">
        <f t="shared" si="67"/>
        <v>Delayed</v>
      </c>
      <c r="Y510" t="str">
        <f t="shared" si="68"/>
        <v>Compliant Discount</v>
      </c>
      <c r="Z510" s="9">
        <f>MIN(Q510,'Scenario Modelling'!$B$2)</f>
        <v>0.108</v>
      </c>
      <c r="AA510">
        <f t="shared" si="69"/>
        <v>1659.4857200000001</v>
      </c>
      <c r="AB510">
        <f>N510*(1+'Scenario Modelling'!$B$3)</f>
        <v>993.75100000000009</v>
      </c>
      <c r="AC510">
        <f>ROUNDUP(S510*(1+'Scenario Modelling'!$B$4),0)</f>
        <v>6</v>
      </c>
      <c r="AD510">
        <f t="shared" si="70"/>
        <v>9956.9143199999999</v>
      </c>
      <c r="AE510">
        <f t="shared" si="71"/>
        <v>3994.4083200000005</v>
      </c>
    </row>
    <row r="511" spans="1:31" x14ac:dyDescent="0.3">
      <c r="A511" s="31" t="s">
        <v>524</v>
      </c>
      <c r="B511" s="48">
        <v>45056</v>
      </c>
      <c r="C511" s="47" t="str">
        <f t="shared" si="64"/>
        <v>Q2-2023</v>
      </c>
      <c r="D511" s="32">
        <v>45060</v>
      </c>
      <c r="E511" s="17">
        <f t="shared" si="63"/>
        <v>4</v>
      </c>
      <c r="F511" s="33" t="s">
        <v>647</v>
      </c>
      <c r="G511" s="33" t="s">
        <v>654</v>
      </c>
      <c r="H511" s="33" t="s">
        <v>680</v>
      </c>
      <c r="I511" s="33" t="s">
        <v>703</v>
      </c>
      <c r="J511" s="33" t="s">
        <v>710</v>
      </c>
      <c r="K511" s="33" t="s">
        <v>712</v>
      </c>
      <c r="L511" s="33" t="s">
        <v>732</v>
      </c>
      <c r="M511" s="34" t="s">
        <v>1243</v>
      </c>
      <c r="N511" s="35">
        <v>622.6</v>
      </c>
      <c r="O511" s="35">
        <v>833.69</v>
      </c>
      <c r="P511" s="30" t="str">
        <f t="shared" si="65"/>
        <v>Low</v>
      </c>
      <c r="Q511" s="43">
        <v>0.20899999999999999</v>
      </c>
      <c r="R511" s="42" t="str">
        <f t="shared" si="66"/>
        <v>High</v>
      </c>
      <c r="S511" s="17">
        <v>14</v>
      </c>
      <c r="T511" s="30">
        <v>9232.2830599999998</v>
      </c>
      <c r="U511" s="30">
        <v>8716.4</v>
      </c>
      <c r="V511" s="30">
        <v>515.88306000000011</v>
      </c>
      <c r="W511" s="30">
        <v>5.5878167582959715E-2</v>
      </c>
      <c r="X511" t="str">
        <f t="shared" si="67"/>
        <v>On-time</v>
      </c>
      <c r="Y511" t="str">
        <f t="shared" si="68"/>
        <v>Non-compliant Discount</v>
      </c>
      <c r="Z511" s="9">
        <f>MIN(Q511,'Scenario Modelling'!$B$2)</f>
        <v>0.2</v>
      </c>
      <c r="AA511">
        <f t="shared" si="69"/>
        <v>666.95200000000011</v>
      </c>
      <c r="AB511">
        <f>N511*(1+'Scenario Modelling'!$B$3)</f>
        <v>684.86000000000013</v>
      </c>
      <c r="AC511">
        <f>ROUNDUP(S511*(1+'Scenario Modelling'!$B$4),0)</f>
        <v>15</v>
      </c>
      <c r="AD511">
        <f t="shared" si="70"/>
        <v>10004.280000000002</v>
      </c>
      <c r="AE511">
        <f t="shared" si="71"/>
        <v>-268.62000000000023</v>
      </c>
    </row>
    <row r="512" spans="1:31" x14ac:dyDescent="0.3">
      <c r="A512" s="36" t="s">
        <v>525</v>
      </c>
      <c r="B512" s="49">
        <v>45353</v>
      </c>
      <c r="C512" s="47" t="str">
        <f t="shared" si="64"/>
        <v>Q1-2024</v>
      </c>
      <c r="D512" s="37">
        <v>45374</v>
      </c>
      <c r="E512" s="16">
        <f t="shared" si="63"/>
        <v>21</v>
      </c>
      <c r="F512" s="38" t="s">
        <v>648</v>
      </c>
      <c r="G512" s="38" t="s">
        <v>660</v>
      </c>
      <c r="H512" s="38" t="s">
        <v>677</v>
      </c>
      <c r="I512" s="38" t="s">
        <v>705</v>
      </c>
      <c r="J512" s="38" t="s">
        <v>708</v>
      </c>
      <c r="K512" s="38" t="s">
        <v>721</v>
      </c>
      <c r="L512" s="38" t="s">
        <v>727</v>
      </c>
      <c r="M512" s="39" t="s">
        <v>1244</v>
      </c>
      <c r="N512" s="40">
        <v>225.01</v>
      </c>
      <c r="O512" s="40">
        <v>333.48</v>
      </c>
      <c r="P512" s="30" t="str">
        <f t="shared" si="65"/>
        <v>Low</v>
      </c>
      <c r="Q512" s="44">
        <v>0.11899999999999999</v>
      </c>
      <c r="R512" s="42" t="str">
        <f t="shared" si="66"/>
        <v>Medium</v>
      </c>
      <c r="S512" s="16">
        <v>12</v>
      </c>
      <c r="T512" s="30">
        <v>3525.5505600000001</v>
      </c>
      <c r="U512" s="30">
        <v>2700.12</v>
      </c>
      <c r="V512" s="30">
        <v>825.43056000000024</v>
      </c>
      <c r="W512" s="30">
        <v>0.23412813004729685</v>
      </c>
      <c r="X512" t="str">
        <f t="shared" si="67"/>
        <v>Delayed</v>
      </c>
      <c r="Y512" t="str">
        <f t="shared" si="68"/>
        <v>Compliant Discount</v>
      </c>
      <c r="Z512" s="9">
        <f>MIN(Q512,'Scenario Modelling'!$B$2)</f>
        <v>0.11899999999999999</v>
      </c>
      <c r="AA512">
        <f t="shared" si="69"/>
        <v>293.79588000000001</v>
      </c>
      <c r="AB512">
        <f>N512*(1+'Scenario Modelling'!$B$3)</f>
        <v>247.51100000000002</v>
      </c>
      <c r="AC512">
        <f>ROUNDUP(S512*(1+'Scenario Modelling'!$B$4),0)</f>
        <v>13</v>
      </c>
      <c r="AD512">
        <f t="shared" si="70"/>
        <v>3819.3464400000003</v>
      </c>
      <c r="AE512">
        <f t="shared" si="71"/>
        <v>601.70343999999977</v>
      </c>
    </row>
    <row r="513" spans="1:31" x14ac:dyDescent="0.3">
      <c r="A513" s="31" t="s">
        <v>526</v>
      </c>
      <c r="B513" s="48">
        <v>45575</v>
      </c>
      <c r="C513" s="47" t="str">
        <f t="shared" si="64"/>
        <v>Q4-2024</v>
      </c>
      <c r="D513" s="32">
        <v>45576</v>
      </c>
      <c r="E513" s="17">
        <f t="shared" si="63"/>
        <v>1</v>
      </c>
      <c r="F513" s="33" t="s">
        <v>649</v>
      </c>
      <c r="G513" s="33" t="s">
        <v>658</v>
      </c>
      <c r="H513" s="33" t="s">
        <v>693</v>
      </c>
      <c r="I513" s="33" t="s">
        <v>703</v>
      </c>
      <c r="J513" s="33" t="s">
        <v>710</v>
      </c>
      <c r="K513" s="33" t="s">
        <v>716</v>
      </c>
      <c r="L513" s="33" t="s">
        <v>727</v>
      </c>
      <c r="M513" s="34" t="s">
        <v>1245</v>
      </c>
      <c r="N513" s="35">
        <v>1389.46</v>
      </c>
      <c r="O513" s="35">
        <v>1784.7</v>
      </c>
      <c r="P513" s="30" t="str">
        <f t="shared" si="65"/>
        <v>High</v>
      </c>
      <c r="Q513" s="43">
        <v>0.14599999999999999</v>
      </c>
      <c r="R513" s="42" t="str">
        <f t="shared" si="66"/>
        <v>Medium</v>
      </c>
      <c r="S513" s="17">
        <v>33</v>
      </c>
      <c r="T513" s="30">
        <v>50296.415399999998</v>
      </c>
      <c r="U513" s="30">
        <v>45852.18</v>
      </c>
      <c r="V513" s="30">
        <v>4444.2353999999978</v>
      </c>
      <c r="W513" s="30">
        <v>8.8360877503011831E-2</v>
      </c>
      <c r="X513" t="str">
        <f t="shared" si="67"/>
        <v>On-time</v>
      </c>
      <c r="Y513" t="str">
        <f t="shared" si="68"/>
        <v>Compliant Discount</v>
      </c>
      <c r="Z513" s="9">
        <f>MIN(Q513,'Scenario Modelling'!$B$2)</f>
        <v>0.14599999999999999</v>
      </c>
      <c r="AA513">
        <f t="shared" si="69"/>
        <v>1524.1338000000001</v>
      </c>
      <c r="AB513">
        <f>N513*(1+'Scenario Modelling'!$B$3)</f>
        <v>1528.4060000000002</v>
      </c>
      <c r="AC513">
        <f>ROUNDUP(S513*(1+'Scenario Modelling'!$B$4),0)</f>
        <v>35</v>
      </c>
      <c r="AD513">
        <f t="shared" si="70"/>
        <v>53344.683000000005</v>
      </c>
      <c r="AE513">
        <f t="shared" si="71"/>
        <v>-149.52700000000391</v>
      </c>
    </row>
    <row r="514" spans="1:31" x14ac:dyDescent="0.3">
      <c r="A514" s="36" t="s">
        <v>527</v>
      </c>
      <c r="B514" s="49">
        <v>45078</v>
      </c>
      <c r="C514" s="47" t="str">
        <f t="shared" si="64"/>
        <v>Q2-2023</v>
      </c>
      <c r="D514" s="37">
        <v>45085</v>
      </c>
      <c r="E514" s="16">
        <f t="shared" ref="E514:E577" si="72">D514-B514</f>
        <v>7</v>
      </c>
      <c r="F514" s="38" t="s">
        <v>649</v>
      </c>
      <c r="G514" s="38" t="s">
        <v>656</v>
      </c>
      <c r="H514" s="38" t="s">
        <v>698</v>
      </c>
      <c r="I514" s="38" t="s">
        <v>704</v>
      </c>
      <c r="J514" s="38" t="s">
        <v>708</v>
      </c>
      <c r="K514" s="38" t="s">
        <v>720</v>
      </c>
      <c r="L514" s="38" t="s">
        <v>730</v>
      </c>
      <c r="M514" s="39" t="s">
        <v>1246</v>
      </c>
      <c r="N514" s="40">
        <v>804.17</v>
      </c>
      <c r="O514" s="40">
        <v>1072.29</v>
      </c>
      <c r="P514" s="30" t="str">
        <f t="shared" si="65"/>
        <v>Medium</v>
      </c>
      <c r="Q514" s="44">
        <v>3.2000000000000001E-2</v>
      </c>
      <c r="R514" s="42" t="str">
        <f t="shared" si="66"/>
        <v>Low</v>
      </c>
      <c r="S514" s="16">
        <v>5</v>
      </c>
      <c r="T514" s="30">
        <v>5189.8836000000001</v>
      </c>
      <c r="U514" s="30">
        <v>4020.85</v>
      </c>
      <c r="V514" s="30">
        <v>1169.0336000000002</v>
      </c>
      <c r="W514" s="30">
        <v>0.2252523736755869</v>
      </c>
      <c r="X514" t="str">
        <f t="shared" si="67"/>
        <v>On-time</v>
      </c>
      <c r="Y514" t="str">
        <f t="shared" si="68"/>
        <v>Compliant Discount</v>
      </c>
      <c r="Z514" s="9">
        <f>MIN(Q514,'Scenario Modelling'!$B$2)</f>
        <v>3.2000000000000001E-2</v>
      </c>
      <c r="AA514">
        <f t="shared" si="69"/>
        <v>1037.9767199999999</v>
      </c>
      <c r="AB514">
        <f>N514*(1+'Scenario Modelling'!$B$3)</f>
        <v>884.58699999999999</v>
      </c>
      <c r="AC514">
        <f>ROUNDUP(S514*(1+'Scenario Modelling'!$B$4),0)</f>
        <v>6</v>
      </c>
      <c r="AD514">
        <f t="shared" si="70"/>
        <v>6227.8603199999998</v>
      </c>
      <c r="AE514">
        <f t="shared" si="71"/>
        <v>920.33831999999938</v>
      </c>
    </row>
    <row r="515" spans="1:31" x14ac:dyDescent="0.3">
      <c r="A515" s="31" t="s">
        <v>528</v>
      </c>
      <c r="B515" s="48">
        <v>45661</v>
      </c>
      <c r="C515" s="47" t="str">
        <f t="shared" ref="C515:C578" si="73">"Q"&amp;ROUNDUP(MONTH(B515)/3,0)&amp;"-"&amp;YEAR(B515)</f>
        <v>Q1-2025</v>
      </c>
      <c r="D515" s="32">
        <v>45662</v>
      </c>
      <c r="E515" s="17">
        <f t="shared" si="72"/>
        <v>1</v>
      </c>
      <c r="F515" s="33" t="s">
        <v>647</v>
      </c>
      <c r="G515" s="33" t="s">
        <v>654</v>
      </c>
      <c r="H515" s="33" t="s">
        <v>680</v>
      </c>
      <c r="I515" s="33" t="s">
        <v>702</v>
      </c>
      <c r="J515" s="33" t="s">
        <v>707</v>
      </c>
      <c r="K515" s="33" t="s">
        <v>714</v>
      </c>
      <c r="L515" s="33" t="s">
        <v>727</v>
      </c>
      <c r="M515" s="34" t="s">
        <v>1247</v>
      </c>
      <c r="N515" s="35">
        <v>1428.33</v>
      </c>
      <c r="O515" s="35">
        <v>3028.05</v>
      </c>
      <c r="P515" s="30" t="str">
        <f t="shared" ref="P515:P578" si="74">IF(O515&lt;=_xlfn.PERCENTILE.INC(IF(L515:L1145=L515, O515:O1145), 0.33), "Low", IF(O515&lt;=_xlfn.PERCENTILE.INC(IF(L515:L1145=L515, O515:O1145), 0.66), "Medium", IF(O515 &gt; _xlfn.PERCENTILE.INC(IF(L515:L1145=L515, O515:O1145), 0.66), "High")))</f>
        <v>High</v>
      </c>
      <c r="Q515" s="43">
        <v>0</v>
      </c>
      <c r="R515" s="42" t="str">
        <f t="shared" ref="R515:R578" si="75">IF(Q515&lt;=0.1,"Low",IF(Q515&gt;0.2,"High","Medium"))</f>
        <v>Low</v>
      </c>
      <c r="S515" s="17">
        <v>11</v>
      </c>
      <c r="T515" s="30">
        <v>33308.550000000003</v>
      </c>
      <c r="U515" s="30">
        <v>15711.63</v>
      </c>
      <c r="V515" s="30">
        <v>17596.920000000006</v>
      </c>
      <c r="W515" s="30">
        <v>0.52830039134096207</v>
      </c>
      <c r="X515" t="str">
        <f t="shared" ref="X515:X578" si="76">IF(E515&lt;=7,"On-time","Delayed")</f>
        <v>On-time</v>
      </c>
      <c r="Y515" t="str">
        <f t="shared" ref="Y515:Y578" si="77">IF(Q515&lt;=0.2, "Compliant Discount", "Non-compliant Discount")</f>
        <v>Compliant Discount</v>
      </c>
      <c r="Z515" s="9">
        <f>MIN(Q515,'Scenario Modelling'!$B$2)</f>
        <v>0</v>
      </c>
      <c r="AA515">
        <f t="shared" ref="AA515:AA578" si="78">O515*(1-Z515)</f>
        <v>3028.05</v>
      </c>
      <c r="AB515">
        <f>N515*(1+'Scenario Modelling'!$B$3)</f>
        <v>1571.163</v>
      </c>
      <c r="AC515">
        <f>ROUNDUP(S515*(1+'Scenario Modelling'!$B$4),0)</f>
        <v>12</v>
      </c>
      <c r="AD515">
        <f t="shared" ref="AD515:AD578" si="79">AA515*AC515</f>
        <v>36336.600000000006</v>
      </c>
      <c r="AE515">
        <f t="shared" ref="AE515:AE578" si="80">(AA515-AB515)*AC515</f>
        <v>17482.644</v>
      </c>
    </row>
    <row r="516" spans="1:31" x14ac:dyDescent="0.3">
      <c r="A516" s="36" t="s">
        <v>529</v>
      </c>
      <c r="B516" s="49">
        <v>45874</v>
      </c>
      <c r="C516" s="47" t="str">
        <f t="shared" si="73"/>
        <v>Q3-2025</v>
      </c>
      <c r="D516" s="37">
        <v>45897</v>
      </c>
      <c r="E516" s="16">
        <f t="shared" si="72"/>
        <v>23</v>
      </c>
      <c r="F516" s="38" t="s">
        <v>647</v>
      </c>
      <c r="G516" s="38" t="s">
        <v>654</v>
      </c>
      <c r="H516" s="38" t="s">
        <v>691</v>
      </c>
      <c r="I516" s="38" t="s">
        <v>703</v>
      </c>
      <c r="J516" s="38" t="s">
        <v>710</v>
      </c>
      <c r="K516" s="38" t="s">
        <v>725</v>
      </c>
      <c r="L516" s="38" t="s">
        <v>731</v>
      </c>
      <c r="M516" s="39" t="s">
        <v>1248</v>
      </c>
      <c r="N516" s="40">
        <v>638.54</v>
      </c>
      <c r="O516" s="40">
        <v>987.24</v>
      </c>
      <c r="P516" s="30" t="str">
        <f t="shared" si="74"/>
        <v>Medium</v>
      </c>
      <c r="Q516" s="44">
        <v>0</v>
      </c>
      <c r="R516" s="42" t="str">
        <f t="shared" si="75"/>
        <v>Low</v>
      </c>
      <c r="S516" s="16">
        <v>11</v>
      </c>
      <c r="T516" s="30">
        <v>10859.64</v>
      </c>
      <c r="U516" s="30">
        <v>7023.94</v>
      </c>
      <c r="V516" s="30">
        <v>3835.7</v>
      </c>
      <c r="W516" s="30">
        <v>0.35320692030306716</v>
      </c>
      <c r="X516" t="str">
        <f t="shared" si="76"/>
        <v>Delayed</v>
      </c>
      <c r="Y516" t="str">
        <f t="shared" si="77"/>
        <v>Compliant Discount</v>
      </c>
      <c r="Z516" s="9">
        <f>MIN(Q516,'Scenario Modelling'!$B$2)</f>
        <v>0</v>
      </c>
      <c r="AA516">
        <f t="shared" si="78"/>
        <v>987.24</v>
      </c>
      <c r="AB516">
        <f>N516*(1+'Scenario Modelling'!$B$3)</f>
        <v>702.39400000000001</v>
      </c>
      <c r="AC516">
        <f>ROUNDUP(S516*(1+'Scenario Modelling'!$B$4),0)</f>
        <v>12</v>
      </c>
      <c r="AD516">
        <f t="shared" si="79"/>
        <v>11846.880000000001</v>
      </c>
      <c r="AE516">
        <f t="shared" si="80"/>
        <v>3418.152</v>
      </c>
    </row>
    <row r="517" spans="1:31" x14ac:dyDescent="0.3">
      <c r="A517" s="31" t="s">
        <v>530</v>
      </c>
      <c r="B517" s="48">
        <v>45199</v>
      </c>
      <c r="C517" s="47" t="str">
        <f t="shared" si="73"/>
        <v>Q3-2023</v>
      </c>
      <c r="D517" s="32">
        <v>45229</v>
      </c>
      <c r="E517" s="17">
        <f t="shared" si="72"/>
        <v>30</v>
      </c>
      <c r="F517" s="33" t="s">
        <v>647</v>
      </c>
      <c r="G517" s="33" t="s">
        <v>652</v>
      </c>
      <c r="H517" s="33" t="s">
        <v>689</v>
      </c>
      <c r="I517" s="33" t="s">
        <v>706</v>
      </c>
      <c r="J517" s="33" t="s">
        <v>708</v>
      </c>
      <c r="K517" s="33" t="s">
        <v>726</v>
      </c>
      <c r="L517" s="33" t="s">
        <v>728</v>
      </c>
      <c r="M517" s="34" t="s">
        <v>1249</v>
      </c>
      <c r="N517" s="35">
        <v>649.13</v>
      </c>
      <c r="O517" s="35">
        <v>975.43</v>
      </c>
      <c r="P517" s="30" t="str">
        <f t="shared" si="74"/>
        <v>Medium</v>
      </c>
      <c r="Q517" s="43">
        <v>0.157</v>
      </c>
      <c r="R517" s="42" t="str">
        <f t="shared" si="75"/>
        <v>Medium</v>
      </c>
      <c r="S517" s="17">
        <v>27</v>
      </c>
      <c r="T517" s="30">
        <v>22201.762229999997</v>
      </c>
      <c r="U517" s="30">
        <v>17526.509999999998</v>
      </c>
      <c r="V517" s="30">
        <v>4675.2522299999982</v>
      </c>
      <c r="W517" s="30">
        <v>0.21058023149543473</v>
      </c>
      <c r="X517" t="str">
        <f t="shared" si="76"/>
        <v>Delayed</v>
      </c>
      <c r="Y517" t="str">
        <f t="shared" si="77"/>
        <v>Compliant Discount</v>
      </c>
      <c r="Z517" s="9">
        <f>MIN(Q517,'Scenario Modelling'!$B$2)</f>
        <v>0.157</v>
      </c>
      <c r="AA517">
        <f t="shared" si="78"/>
        <v>822.28748999999993</v>
      </c>
      <c r="AB517">
        <f>N517*(1+'Scenario Modelling'!$B$3)</f>
        <v>714.04300000000001</v>
      </c>
      <c r="AC517">
        <f>ROUNDUP(S517*(1+'Scenario Modelling'!$B$4),0)</f>
        <v>29</v>
      </c>
      <c r="AD517">
        <f t="shared" si="79"/>
        <v>23846.337209999998</v>
      </c>
      <c r="AE517">
        <f t="shared" si="80"/>
        <v>3139.090209999998</v>
      </c>
    </row>
    <row r="518" spans="1:31" x14ac:dyDescent="0.3">
      <c r="A518" s="36" t="s">
        <v>531</v>
      </c>
      <c r="B518" s="49">
        <v>45794</v>
      </c>
      <c r="C518" s="47" t="str">
        <f t="shared" si="73"/>
        <v>Q2-2025</v>
      </c>
      <c r="D518" s="37">
        <v>45807</v>
      </c>
      <c r="E518" s="16">
        <f t="shared" si="72"/>
        <v>13</v>
      </c>
      <c r="F518" s="38" t="s">
        <v>646</v>
      </c>
      <c r="G518" s="38" t="s">
        <v>651</v>
      </c>
      <c r="H518" s="38" t="s">
        <v>665</v>
      </c>
      <c r="I518" s="38" t="s">
        <v>704</v>
      </c>
      <c r="J518" s="38" t="s">
        <v>710</v>
      </c>
      <c r="K518" s="38" t="s">
        <v>721</v>
      </c>
      <c r="L518" s="38" t="s">
        <v>733</v>
      </c>
      <c r="M518" s="39" t="s">
        <v>1250</v>
      </c>
      <c r="N518" s="40">
        <v>66.400000000000006</v>
      </c>
      <c r="O518" s="40">
        <v>141.43</v>
      </c>
      <c r="P518" s="30" t="str">
        <f t="shared" si="74"/>
        <v>Low</v>
      </c>
      <c r="Q518" s="44">
        <v>0.107</v>
      </c>
      <c r="R518" s="42" t="str">
        <f t="shared" si="75"/>
        <v>Medium</v>
      </c>
      <c r="S518" s="16">
        <v>8</v>
      </c>
      <c r="T518" s="30">
        <v>1010.3759200000001</v>
      </c>
      <c r="U518" s="30">
        <v>531.20000000000005</v>
      </c>
      <c r="V518" s="30">
        <v>479.17592000000002</v>
      </c>
      <c r="W518" s="30">
        <v>0.47425508715607551</v>
      </c>
      <c r="X518" t="str">
        <f t="shared" si="76"/>
        <v>Delayed</v>
      </c>
      <c r="Y518" t="str">
        <f t="shared" si="77"/>
        <v>Compliant Discount</v>
      </c>
      <c r="Z518" s="9">
        <f>MIN(Q518,'Scenario Modelling'!$B$2)</f>
        <v>0.107</v>
      </c>
      <c r="AA518">
        <f t="shared" si="78"/>
        <v>126.29699000000001</v>
      </c>
      <c r="AB518">
        <f>N518*(1+'Scenario Modelling'!$B$3)</f>
        <v>73.040000000000006</v>
      </c>
      <c r="AC518">
        <f>ROUNDUP(S518*(1+'Scenario Modelling'!$B$4),0)</f>
        <v>9</v>
      </c>
      <c r="AD518">
        <f t="shared" si="79"/>
        <v>1136.67291</v>
      </c>
      <c r="AE518">
        <f t="shared" si="80"/>
        <v>479.31290999999999</v>
      </c>
    </row>
    <row r="519" spans="1:31" x14ac:dyDescent="0.3">
      <c r="A519" s="31" t="s">
        <v>532</v>
      </c>
      <c r="B519" s="48">
        <v>45413</v>
      </c>
      <c r="C519" s="47" t="str">
        <f t="shared" si="73"/>
        <v>Q2-2024</v>
      </c>
      <c r="D519" s="32">
        <v>45438</v>
      </c>
      <c r="E519" s="17">
        <f t="shared" si="72"/>
        <v>25</v>
      </c>
      <c r="F519" s="33" t="s">
        <v>649</v>
      </c>
      <c r="G519" s="33" t="s">
        <v>656</v>
      </c>
      <c r="H519" s="33" t="s">
        <v>671</v>
      </c>
      <c r="I519" s="33" t="s">
        <v>703</v>
      </c>
      <c r="J519" s="33" t="s">
        <v>707</v>
      </c>
      <c r="K519" s="33" t="s">
        <v>717</v>
      </c>
      <c r="L519" s="33" t="s">
        <v>729</v>
      </c>
      <c r="M519" s="34" t="s">
        <v>1251</v>
      </c>
      <c r="N519" s="35">
        <v>930.71</v>
      </c>
      <c r="O519" s="35">
        <v>1625.42</v>
      </c>
      <c r="P519" s="30" t="str">
        <f t="shared" si="74"/>
        <v>Medium</v>
      </c>
      <c r="Q519" s="43">
        <v>0.13800000000000001</v>
      </c>
      <c r="R519" s="42" t="str">
        <f t="shared" si="75"/>
        <v>Medium</v>
      </c>
      <c r="S519" s="17">
        <v>7</v>
      </c>
      <c r="T519" s="30">
        <v>9807.7842799999999</v>
      </c>
      <c r="U519" s="30">
        <v>6514.97</v>
      </c>
      <c r="V519" s="30">
        <v>3292.8142799999996</v>
      </c>
      <c r="W519" s="30">
        <v>0.33573477821231196</v>
      </c>
      <c r="X519" t="str">
        <f t="shared" si="76"/>
        <v>Delayed</v>
      </c>
      <c r="Y519" t="str">
        <f t="shared" si="77"/>
        <v>Compliant Discount</v>
      </c>
      <c r="Z519" s="9">
        <f>MIN(Q519,'Scenario Modelling'!$B$2)</f>
        <v>0.13800000000000001</v>
      </c>
      <c r="AA519">
        <f t="shared" si="78"/>
        <v>1401.11204</v>
      </c>
      <c r="AB519">
        <f>N519*(1+'Scenario Modelling'!$B$3)</f>
        <v>1023.7810000000002</v>
      </c>
      <c r="AC519">
        <f>ROUNDUP(S519*(1+'Scenario Modelling'!$B$4),0)</f>
        <v>8</v>
      </c>
      <c r="AD519">
        <f t="shared" si="79"/>
        <v>11208.89632</v>
      </c>
      <c r="AE519">
        <f t="shared" si="80"/>
        <v>3018.6483199999984</v>
      </c>
    </row>
    <row r="520" spans="1:31" x14ac:dyDescent="0.3">
      <c r="A520" s="36" t="s">
        <v>533</v>
      </c>
      <c r="B520" s="49">
        <v>45047</v>
      </c>
      <c r="C520" s="47" t="str">
        <f t="shared" si="73"/>
        <v>Q2-2023</v>
      </c>
      <c r="D520" s="37">
        <v>45064</v>
      </c>
      <c r="E520" s="16">
        <f t="shared" si="72"/>
        <v>17</v>
      </c>
      <c r="F520" s="38" t="s">
        <v>646</v>
      </c>
      <c r="G520" s="38" t="s">
        <v>651</v>
      </c>
      <c r="H520" s="38" t="s">
        <v>663</v>
      </c>
      <c r="I520" s="38" t="s">
        <v>701</v>
      </c>
      <c r="J520" s="38" t="s">
        <v>711</v>
      </c>
      <c r="K520" s="38" t="s">
        <v>721</v>
      </c>
      <c r="L520" s="38" t="s">
        <v>727</v>
      </c>
      <c r="M520" s="39" t="s">
        <v>1252</v>
      </c>
      <c r="N520" s="40">
        <v>327.97</v>
      </c>
      <c r="O520" s="40">
        <v>299.94</v>
      </c>
      <c r="P520" s="30" t="str">
        <f t="shared" si="74"/>
        <v>Low</v>
      </c>
      <c r="Q520" s="44">
        <v>4.9000000000000002E-2</v>
      </c>
      <c r="R520" s="42" t="str">
        <f t="shared" si="75"/>
        <v>Low</v>
      </c>
      <c r="S520" s="16">
        <v>3</v>
      </c>
      <c r="T520" s="30">
        <v>855.72881999999993</v>
      </c>
      <c r="U520" s="30">
        <v>983.91000000000008</v>
      </c>
      <c r="V520" s="30">
        <v>-128.18118000000015</v>
      </c>
      <c r="W520" s="30">
        <v>-0.14979182306843442</v>
      </c>
      <c r="X520" t="str">
        <f t="shared" si="76"/>
        <v>Delayed</v>
      </c>
      <c r="Y520" t="str">
        <f t="shared" si="77"/>
        <v>Compliant Discount</v>
      </c>
      <c r="Z520" s="9">
        <f>MIN(Q520,'Scenario Modelling'!$B$2)</f>
        <v>4.9000000000000002E-2</v>
      </c>
      <c r="AA520">
        <f t="shared" si="78"/>
        <v>285.24293999999998</v>
      </c>
      <c r="AB520">
        <f>N520*(1+'Scenario Modelling'!$B$3)</f>
        <v>360.76700000000005</v>
      </c>
      <c r="AC520">
        <f>ROUNDUP(S520*(1+'Scenario Modelling'!$B$4),0)</f>
        <v>4</v>
      </c>
      <c r="AD520">
        <f t="shared" si="79"/>
        <v>1140.9717599999999</v>
      </c>
      <c r="AE520">
        <f t="shared" si="80"/>
        <v>-302.09624000000031</v>
      </c>
    </row>
    <row r="521" spans="1:31" x14ac:dyDescent="0.3">
      <c r="A521" s="31" t="s">
        <v>534</v>
      </c>
      <c r="B521" s="48">
        <v>45482</v>
      </c>
      <c r="C521" s="47" t="str">
        <f t="shared" si="73"/>
        <v>Q3-2024</v>
      </c>
      <c r="D521" s="32">
        <v>45512</v>
      </c>
      <c r="E521" s="17">
        <f t="shared" si="72"/>
        <v>30</v>
      </c>
      <c r="F521" s="33" t="s">
        <v>649</v>
      </c>
      <c r="G521" s="33" t="s">
        <v>657</v>
      </c>
      <c r="H521" s="33" t="s">
        <v>673</v>
      </c>
      <c r="I521" s="33" t="s">
        <v>701</v>
      </c>
      <c r="J521" s="33" t="s">
        <v>711</v>
      </c>
      <c r="K521" s="33" t="s">
        <v>713</v>
      </c>
      <c r="L521" s="33" t="s">
        <v>727</v>
      </c>
      <c r="M521" s="34" t="s">
        <v>1253</v>
      </c>
      <c r="N521" s="35">
        <v>1062.3800000000001</v>
      </c>
      <c r="O521" s="35">
        <v>1503.96</v>
      </c>
      <c r="P521" s="30" t="str">
        <f t="shared" si="74"/>
        <v>Medium</v>
      </c>
      <c r="Q521" s="43">
        <v>0.18</v>
      </c>
      <c r="R521" s="42" t="str">
        <f t="shared" si="75"/>
        <v>Medium</v>
      </c>
      <c r="S521" s="17">
        <v>6</v>
      </c>
      <c r="T521" s="30">
        <v>7399.4832000000006</v>
      </c>
      <c r="U521" s="30">
        <v>6374.2800000000007</v>
      </c>
      <c r="V521" s="30">
        <v>1025.2031999999999</v>
      </c>
      <c r="W521" s="30">
        <v>0.13855064905073369</v>
      </c>
      <c r="X521" t="str">
        <f t="shared" si="76"/>
        <v>Delayed</v>
      </c>
      <c r="Y521" t="str">
        <f t="shared" si="77"/>
        <v>Compliant Discount</v>
      </c>
      <c r="Z521" s="9">
        <f>MIN(Q521,'Scenario Modelling'!$B$2)</f>
        <v>0.18</v>
      </c>
      <c r="AA521">
        <f t="shared" si="78"/>
        <v>1233.2472</v>
      </c>
      <c r="AB521">
        <f>N521*(1+'Scenario Modelling'!$B$3)</f>
        <v>1168.6180000000002</v>
      </c>
      <c r="AC521">
        <f>ROUNDUP(S521*(1+'Scenario Modelling'!$B$4),0)</f>
        <v>7</v>
      </c>
      <c r="AD521">
        <f t="shared" si="79"/>
        <v>8632.7304000000004</v>
      </c>
      <c r="AE521">
        <f t="shared" si="80"/>
        <v>452.40439999999899</v>
      </c>
    </row>
    <row r="522" spans="1:31" x14ac:dyDescent="0.3">
      <c r="A522" s="36" t="s">
        <v>535</v>
      </c>
      <c r="B522" s="49">
        <v>45056</v>
      </c>
      <c r="C522" s="47" t="str">
        <f t="shared" si="73"/>
        <v>Q2-2023</v>
      </c>
      <c r="D522" s="37">
        <v>45073</v>
      </c>
      <c r="E522" s="16">
        <f t="shared" si="72"/>
        <v>17</v>
      </c>
      <c r="F522" s="38" t="s">
        <v>647</v>
      </c>
      <c r="G522" s="38" t="s">
        <v>654</v>
      </c>
      <c r="H522" s="38" t="s">
        <v>691</v>
      </c>
      <c r="I522" s="38" t="s">
        <v>704</v>
      </c>
      <c r="J522" s="38" t="s">
        <v>707</v>
      </c>
      <c r="K522" s="38" t="s">
        <v>724</v>
      </c>
      <c r="L522" s="38" t="s">
        <v>731</v>
      </c>
      <c r="M522" s="39" t="s">
        <v>1254</v>
      </c>
      <c r="N522" s="40">
        <v>1286.1600000000001</v>
      </c>
      <c r="O522" s="40">
        <v>3101.11</v>
      </c>
      <c r="P522" s="30" t="str">
        <f t="shared" si="74"/>
        <v>High</v>
      </c>
      <c r="Q522" s="44">
        <v>0.1</v>
      </c>
      <c r="R522" s="42" t="str">
        <f t="shared" si="75"/>
        <v>Low</v>
      </c>
      <c r="S522" s="16">
        <v>23</v>
      </c>
      <c r="T522" s="30">
        <v>64192.976999999999</v>
      </c>
      <c r="U522" s="30">
        <v>29581.68</v>
      </c>
      <c r="V522" s="30">
        <v>34611.296999999999</v>
      </c>
      <c r="W522" s="30">
        <v>0.53917575749758417</v>
      </c>
      <c r="X522" t="str">
        <f t="shared" si="76"/>
        <v>Delayed</v>
      </c>
      <c r="Y522" t="str">
        <f t="shared" si="77"/>
        <v>Compliant Discount</v>
      </c>
      <c r="Z522" s="9">
        <f>MIN(Q522,'Scenario Modelling'!$B$2)</f>
        <v>0.1</v>
      </c>
      <c r="AA522">
        <f t="shared" si="78"/>
        <v>2790.9990000000003</v>
      </c>
      <c r="AB522">
        <f>N522*(1+'Scenario Modelling'!$B$3)</f>
        <v>1414.7760000000003</v>
      </c>
      <c r="AC522">
        <f>ROUNDUP(S522*(1+'Scenario Modelling'!$B$4),0)</f>
        <v>25</v>
      </c>
      <c r="AD522">
        <f t="shared" si="79"/>
        <v>69774.975000000006</v>
      </c>
      <c r="AE522">
        <f t="shared" si="80"/>
        <v>34405.574999999997</v>
      </c>
    </row>
    <row r="523" spans="1:31" x14ac:dyDescent="0.3">
      <c r="A523" s="31" t="s">
        <v>536</v>
      </c>
      <c r="B523" s="48">
        <v>45482</v>
      </c>
      <c r="C523" s="47" t="str">
        <f t="shared" si="73"/>
        <v>Q3-2024</v>
      </c>
      <c r="D523" s="32">
        <v>45485</v>
      </c>
      <c r="E523" s="17">
        <f t="shared" si="72"/>
        <v>3</v>
      </c>
      <c r="F523" s="33" t="s">
        <v>647</v>
      </c>
      <c r="G523" s="33" t="s">
        <v>659</v>
      </c>
      <c r="H523" s="33" t="s">
        <v>685</v>
      </c>
      <c r="I523" s="33" t="s">
        <v>705</v>
      </c>
      <c r="J523" s="33" t="s">
        <v>707</v>
      </c>
      <c r="K523" s="33" t="s">
        <v>726</v>
      </c>
      <c r="L523" s="33" t="s">
        <v>733</v>
      </c>
      <c r="M523" s="34" t="s">
        <v>1255</v>
      </c>
      <c r="N523" s="35">
        <v>748.39</v>
      </c>
      <c r="O523" s="35">
        <v>979.42</v>
      </c>
      <c r="P523" s="30" t="str">
        <f t="shared" si="74"/>
        <v>Medium</v>
      </c>
      <c r="Q523" s="43">
        <v>0</v>
      </c>
      <c r="R523" s="42" t="str">
        <f t="shared" si="75"/>
        <v>Low</v>
      </c>
      <c r="S523" s="17">
        <v>23</v>
      </c>
      <c r="T523" s="30">
        <v>22526.66</v>
      </c>
      <c r="U523" s="30">
        <v>17212.97</v>
      </c>
      <c r="V523" s="30">
        <v>5313.6899999999987</v>
      </c>
      <c r="W523" s="30">
        <v>0.23588450307324738</v>
      </c>
      <c r="X523" t="str">
        <f t="shared" si="76"/>
        <v>On-time</v>
      </c>
      <c r="Y523" t="str">
        <f t="shared" si="77"/>
        <v>Compliant Discount</v>
      </c>
      <c r="Z523" s="9">
        <f>MIN(Q523,'Scenario Modelling'!$B$2)</f>
        <v>0</v>
      </c>
      <c r="AA523">
        <f t="shared" si="78"/>
        <v>979.42</v>
      </c>
      <c r="AB523">
        <f>N523*(1+'Scenario Modelling'!$B$3)</f>
        <v>823.22900000000004</v>
      </c>
      <c r="AC523">
        <f>ROUNDUP(S523*(1+'Scenario Modelling'!$B$4),0)</f>
        <v>25</v>
      </c>
      <c r="AD523">
        <f t="shared" si="79"/>
        <v>24485.5</v>
      </c>
      <c r="AE523">
        <f t="shared" si="80"/>
        <v>3904.7749999999978</v>
      </c>
    </row>
    <row r="524" spans="1:31" x14ac:dyDescent="0.3">
      <c r="A524" s="36" t="s">
        <v>537</v>
      </c>
      <c r="B524" s="49">
        <v>45406</v>
      </c>
      <c r="C524" s="47" t="str">
        <f t="shared" si="73"/>
        <v>Q2-2024</v>
      </c>
      <c r="D524" s="37">
        <v>45422</v>
      </c>
      <c r="E524" s="16">
        <f t="shared" si="72"/>
        <v>16</v>
      </c>
      <c r="F524" s="38" t="s">
        <v>646</v>
      </c>
      <c r="G524" s="38" t="s">
        <v>650</v>
      </c>
      <c r="H524" s="38" t="s">
        <v>662</v>
      </c>
      <c r="I524" s="38" t="s">
        <v>703</v>
      </c>
      <c r="J524" s="38" t="s">
        <v>708</v>
      </c>
      <c r="K524" s="38" t="s">
        <v>725</v>
      </c>
      <c r="L524" s="38" t="s">
        <v>732</v>
      </c>
      <c r="M524" s="39" t="s">
        <v>1256</v>
      </c>
      <c r="N524" s="40">
        <v>513.30999999999995</v>
      </c>
      <c r="O524" s="40">
        <v>1186.26</v>
      </c>
      <c r="P524" s="30" t="str">
        <f t="shared" si="74"/>
        <v>Medium</v>
      </c>
      <c r="Q524" s="44">
        <v>9.4E-2</v>
      </c>
      <c r="R524" s="42" t="str">
        <f t="shared" si="75"/>
        <v>Low</v>
      </c>
      <c r="S524" s="16">
        <v>15</v>
      </c>
      <c r="T524" s="30">
        <v>16121.273400000002</v>
      </c>
      <c r="U524" s="30">
        <v>7699.65</v>
      </c>
      <c r="V524" s="30">
        <v>8421.6234000000022</v>
      </c>
      <c r="W524" s="30">
        <v>0.52239194702820446</v>
      </c>
      <c r="X524" t="str">
        <f t="shared" si="76"/>
        <v>Delayed</v>
      </c>
      <c r="Y524" t="str">
        <f t="shared" si="77"/>
        <v>Compliant Discount</v>
      </c>
      <c r="Z524" s="9">
        <f>MIN(Q524,'Scenario Modelling'!$B$2)</f>
        <v>9.4E-2</v>
      </c>
      <c r="AA524">
        <f t="shared" si="78"/>
        <v>1074.7515599999999</v>
      </c>
      <c r="AB524">
        <f>N524*(1+'Scenario Modelling'!$B$3)</f>
        <v>564.64099999999996</v>
      </c>
      <c r="AC524">
        <f>ROUNDUP(S524*(1+'Scenario Modelling'!$B$4),0)</f>
        <v>16</v>
      </c>
      <c r="AD524">
        <f t="shared" si="79"/>
        <v>17196.024959999999</v>
      </c>
      <c r="AE524">
        <f t="shared" si="80"/>
        <v>8161.7689599999994</v>
      </c>
    </row>
    <row r="525" spans="1:31" x14ac:dyDescent="0.3">
      <c r="A525" s="31" t="s">
        <v>538</v>
      </c>
      <c r="B525" s="48">
        <v>45304</v>
      </c>
      <c r="C525" s="47" t="str">
        <f t="shared" si="73"/>
        <v>Q1-2024</v>
      </c>
      <c r="D525" s="32">
        <v>45306</v>
      </c>
      <c r="E525" s="17">
        <f t="shared" si="72"/>
        <v>2</v>
      </c>
      <c r="F525" s="33" t="s">
        <v>648</v>
      </c>
      <c r="G525" s="33" t="s">
        <v>660</v>
      </c>
      <c r="H525" s="33" t="s">
        <v>686</v>
      </c>
      <c r="I525" s="33" t="s">
        <v>703</v>
      </c>
      <c r="J525" s="33" t="s">
        <v>711</v>
      </c>
      <c r="K525" s="33" t="s">
        <v>718</v>
      </c>
      <c r="L525" s="33" t="s">
        <v>727</v>
      </c>
      <c r="M525" s="34" t="s">
        <v>1257</v>
      </c>
      <c r="N525" s="35">
        <v>1061.3699999999999</v>
      </c>
      <c r="O525" s="35">
        <v>1938.33</v>
      </c>
      <c r="P525" s="30" t="str">
        <f t="shared" si="74"/>
        <v>High</v>
      </c>
      <c r="Q525" s="43">
        <v>0.17</v>
      </c>
      <c r="R525" s="42" t="str">
        <f t="shared" si="75"/>
        <v>Medium</v>
      </c>
      <c r="S525" s="17">
        <v>4</v>
      </c>
      <c r="T525" s="30">
        <v>6435.2555999999995</v>
      </c>
      <c r="U525" s="30">
        <v>4245.4799999999996</v>
      </c>
      <c r="V525" s="30">
        <v>2189.7755999999999</v>
      </c>
      <c r="W525" s="30">
        <v>0.34027795259600879</v>
      </c>
      <c r="X525" t="str">
        <f t="shared" si="76"/>
        <v>On-time</v>
      </c>
      <c r="Y525" t="str">
        <f t="shared" si="77"/>
        <v>Compliant Discount</v>
      </c>
      <c r="Z525" s="9">
        <f>MIN(Q525,'Scenario Modelling'!$B$2)</f>
        <v>0.17</v>
      </c>
      <c r="AA525">
        <f t="shared" si="78"/>
        <v>1608.8138999999999</v>
      </c>
      <c r="AB525">
        <f>N525*(1+'Scenario Modelling'!$B$3)</f>
        <v>1167.5070000000001</v>
      </c>
      <c r="AC525">
        <f>ROUNDUP(S525*(1+'Scenario Modelling'!$B$4),0)</f>
        <v>5</v>
      </c>
      <c r="AD525">
        <f t="shared" si="79"/>
        <v>8044.0694999999996</v>
      </c>
      <c r="AE525">
        <f t="shared" si="80"/>
        <v>2206.5344999999988</v>
      </c>
    </row>
    <row r="526" spans="1:31" x14ac:dyDescent="0.3">
      <c r="A526" s="36" t="s">
        <v>539</v>
      </c>
      <c r="B526" s="49">
        <v>45398</v>
      </c>
      <c r="C526" s="47" t="str">
        <f t="shared" si="73"/>
        <v>Q2-2024</v>
      </c>
      <c r="D526" s="37">
        <v>45409</v>
      </c>
      <c r="E526" s="16">
        <f t="shared" si="72"/>
        <v>11</v>
      </c>
      <c r="F526" s="38" t="s">
        <v>646</v>
      </c>
      <c r="G526" s="38" t="s">
        <v>650</v>
      </c>
      <c r="H526" s="38" t="s">
        <v>678</v>
      </c>
      <c r="I526" s="38" t="s">
        <v>706</v>
      </c>
      <c r="J526" s="38" t="s">
        <v>708</v>
      </c>
      <c r="K526" s="38" t="s">
        <v>726</v>
      </c>
      <c r="L526" s="38" t="s">
        <v>728</v>
      </c>
      <c r="M526" s="39" t="s">
        <v>1258</v>
      </c>
      <c r="N526" s="40">
        <v>401.3</v>
      </c>
      <c r="O526" s="40">
        <v>826.47</v>
      </c>
      <c r="P526" s="30" t="str">
        <f t="shared" si="74"/>
        <v>Low</v>
      </c>
      <c r="Q526" s="44">
        <v>0.22500000000000001</v>
      </c>
      <c r="R526" s="42" t="str">
        <f t="shared" si="75"/>
        <v>High</v>
      </c>
      <c r="S526" s="16">
        <v>13</v>
      </c>
      <c r="T526" s="30">
        <v>8326.6852500000005</v>
      </c>
      <c r="U526" s="30">
        <v>5216.9000000000005</v>
      </c>
      <c r="V526" s="30">
        <v>3109.7852499999999</v>
      </c>
      <c r="W526" s="30">
        <v>0.37347217489696755</v>
      </c>
      <c r="X526" t="str">
        <f t="shared" si="76"/>
        <v>Delayed</v>
      </c>
      <c r="Y526" t="str">
        <f t="shared" si="77"/>
        <v>Non-compliant Discount</v>
      </c>
      <c r="Z526" s="9">
        <f>MIN(Q526,'Scenario Modelling'!$B$2)</f>
        <v>0.2</v>
      </c>
      <c r="AA526">
        <f t="shared" si="78"/>
        <v>661.17600000000004</v>
      </c>
      <c r="AB526">
        <f>N526*(1+'Scenario Modelling'!$B$3)</f>
        <v>441.43000000000006</v>
      </c>
      <c r="AC526">
        <f>ROUNDUP(S526*(1+'Scenario Modelling'!$B$4),0)</f>
        <v>14</v>
      </c>
      <c r="AD526">
        <f t="shared" si="79"/>
        <v>9256.4639999999999</v>
      </c>
      <c r="AE526">
        <f t="shared" si="80"/>
        <v>3076.4439999999995</v>
      </c>
    </row>
    <row r="527" spans="1:31" x14ac:dyDescent="0.3">
      <c r="A527" s="31" t="s">
        <v>540</v>
      </c>
      <c r="B527" s="48">
        <v>45695</v>
      </c>
      <c r="C527" s="47" t="str">
        <f t="shared" si="73"/>
        <v>Q1-2025</v>
      </c>
      <c r="D527" s="32">
        <v>45704</v>
      </c>
      <c r="E527" s="17">
        <f t="shared" si="72"/>
        <v>9</v>
      </c>
      <c r="F527" s="33" t="s">
        <v>646</v>
      </c>
      <c r="G527" s="33" t="s">
        <v>651</v>
      </c>
      <c r="H527" s="33" t="s">
        <v>665</v>
      </c>
      <c r="I527" s="33" t="s">
        <v>705</v>
      </c>
      <c r="J527" s="33" t="s">
        <v>710</v>
      </c>
      <c r="K527" s="33" t="s">
        <v>712</v>
      </c>
      <c r="L527" s="33" t="s">
        <v>728</v>
      </c>
      <c r="M527" s="34" t="s">
        <v>1259</v>
      </c>
      <c r="N527" s="35">
        <v>90.68</v>
      </c>
      <c r="O527" s="35">
        <v>118.17</v>
      </c>
      <c r="P527" s="30" t="str">
        <f t="shared" si="74"/>
        <v>Low</v>
      </c>
      <c r="Q527" s="43">
        <v>0.13500000000000001</v>
      </c>
      <c r="R527" s="42" t="str">
        <f t="shared" si="75"/>
        <v>Medium</v>
      </c>
      <c r="S527" s="17">
        <v>21</v>
      </c>
      <c r="T527" s="30">
        <v>2146.5580500000001</v>
      </c>
      <c r="U527" s="30">
        <v>1904.2800000000002</v>
      </c>
      <c r="V527" s="30">
        <v>242.27804999999989</v>
      </c>
      <c r="W527" s="30">
        <v>0.11286815653552899</v>
      </c>
      <c r="X527" t="str">
        <f t="shared" si="76"/>
        <v>Delayed</v>
      </c>
      <c r="Y527" t="str">
        <f t="shared" si="77"/>
        <v>Compliant Discount</v>
      </c>
      <c r="Z527" s="9">
        <f>MIN(Q527,'Scenario Modelling'!$B$2)</f>
        <v>0.13500000000000001</v>
      </c>
      <c r="AA527">
        <f t="shared" si="78"/>
        <v>102.21705</v>
      </c>
      <c r="AB527">
        <f>N527*(1+'Scenario Modelling'!$B$3)</f>
        <v>99.748000000000019</v>
      </c>
      <c r="AC527">
        <f>ROUNDUP(S527*(1+'Scenario Modelling'!$B$4),0)</f>
        <v>23</v>
      </c>
      <c r="AD527">
        <f t="shared" si="79"/>
        <v>2350.99215</v>
      </c>
      <c r="AE527">
        <f t="shared" si="80"/>
        <v>56.788149999999575</v>
      </c>
    </row>
    <row r="528" spans="1:31" x14ac:dyDescent="0.3">
      <c r="A528" s="36" t="s">
        <v>541</v>
      </c>
      <c r="B528" s="49">
        <v>44938</v>
      </c>
      <c r="C528" s="47" t="str">
        <f t="shared" si="73"/>
        <v>Q1-2023</v>
      </c>
      <c r="D528" s="37">
        <v>44952</v>
      </c>
      <c r="E528" s="16">
        <f t="shared" si="72"/>
        <v>14</v>
      </c>
      <c r="F528" s="38" t="s">
        <v>647</v>
      </c>
      <c r="G528" s="38" t="s">
        <v>659</v>
      </c>
      <c r="H528" s="38" t="s">
        <v>676</v>
      </c>
      <c r="I528" s="38" t="s">
        <v>703</v>
      </c>
      <c r="J528" s="38" t="s">
        <v>707</v>
      </c>
      <c r="K528" s="38" t="s">
        <v>724</v>
      </c>
      <c r="L528" s="38" t="s">
        <v>728</v>
      </c>
      <c r="M528" s="39" t="s">
        <v>1260</v>
      </c>
      <c r="N528" s="40">
        <v>1083.0899999999999</v>
      </c>
      <c r="O528" s="40">
        <v>1425.87</v>
      </c>
      <c r="P528" s="30" t="str">
        <f t="shared" si="74"/>
        <v>Medium</v>
      </c>
      <c r="Q528" s="44">
        <v>0</v>
      </c>
      <c r="R528" s="42" t="str">
        <f t="shared" si="75"/>
        <v>Low</v>
      </c>
      <c r="S528" s="16">
        <v>8</v>
      </c>
      <c r="T528" s="30">
        <v>11406.96</v>
      </c>
      <c r="U528" s="30">
        <v>8664.7199999999993</v>
      </c>
      <c r="V528" s="30">
        <v>2742.24</v>
      </c>
      <c r="W528" s="30">
        <v>0.24040059752992909</v>
      </c>
      <c r="X528" t="str">
        <f t="shared" si="76"/>
        <v>Delayed</v>
      </c>
      <c r="Y528" t="str">
        <f t="shared" si="77"/>
        <v>Compliant Discount</v>
      </c>
      <c r="Z528" s="9">
        <f>MIN(Q528,'Scenario Modelling'!$B$2)</f>
        <v>0</v>
      </c>
      <c r="AA528">
        <f t="shared" si="78"/>
        <v>1425.87</v>
      </c>
      <c r="AB528">
        <f>N528*(1+'Scenario Modelling'!$B$3)</f>
        <v>1191.3990000000001</v>
      </c>
      <c r="AC528">
        <f>ROUNDUP(S528*(1+'Scenario Modelling'!$B$4),0)</f>
        <v>9</v>
      </c>
      <c r="AD528">
        <f t="shared" si="79"/>
        <v>12832.829999999998</v>
      </c>
      <c r="AE528">
        <f t="shared" si="80"/>
        <v>2110.2389999999978</v>
      </c>
    </row>
    <row r="529" spans="1:31" x14ac:dyDescent="0.3">
      <c r="A529" s="31" t="s">
        <v>542</v>
      </c>
      <c r="B529" s="48">
        <v>45448</v>
      </c>
      <c r="C529" s="47" t="str">
        <f t="shared" si="73"/>
        <v>Q2-2024</v>
      </c>
      <c r="D529" s="32">
        <v>45466</v>
      </c>
      <c r="E529" s="17">
        <f t="shared" si="72"/>
        <v>18</v>
      </c>
      <c r="F529" s="33" t="s">
        <v>646</v>
      </c>
      <c r="G529" s="33" t="s">
        <v>650</v>
      </c>
      <c r="H529" s="33" t="s">
        <v>664</v>
      </c>
      <c r="I529" s="33" t="s">
        <v>704</v>
      </c>
      <c r="J529" s="33" t="s">
        <v>710</v>
      </c>
      <c r="K529" s="33" t="s">
        <v>726</v>
      </c>
      <c r="L529" s="33" t="s">
        <v>731</v>
      </c>
      <c r="M529" s="34" t="s">
        <v>1261</v>
      </c>
      <c r="N529" s="35">
        <v>1208.74</v>
      </c>
      <c r="O529" s="35">
        <v>1594.78</v>
      </c>
      <c r="P529" s="30" t="str">
        <f t="shared" si="74"/>
        <v>Medium</v>
      </c>
      <c r="Q529" s="43">
        <v>5.8999999999999997E-2</v>
      </c>
      <c r="R529" s="42" t="str">
        <f t="shared" si="75"/>
        <v>Low</v>
      </c>
      <c r="S529" s="17">
        <v>39</v>
      </c>
      <c r="T529" s="30">
        <v>58526.83122</v>
      </c>
      <c r="U529" s="30">
        <v>47140.86</v>
      </c>
      <c r="V529" s="30">
        <v>11385.971219999999</v>
      </c>
      <c r="W529" s="30">
        <v>0.1945427589817838</v>
      </c>
      <c r="X529" t="str">
        <f t="shared" si="76"/>
        <v>Delayed</v>
      </c>
      <c r="Y529" t="str">
        <f t="shared" si="77"/>
        <v>Compliant Discount</v>
      </c>
      <c r="Z529" s="9">
        <f>MIN(Q529,'Scenario Modelling'!$B$2)</f>
        <v>5.8999999999999997E-2</v>
      </c>
      <c r="AA529">
        <f t="shared" si="78"/>
        <v>1500.6879800000002</v>
      </c>
      <c r="AB529">
        <f>N529*(1+'Scenario Modelling'!$B$3)</f>
        <v>1329.614</v>
      </c>
      <c r="AC529">
        <f>ROUNDUP(S529*(1+'Scenario Modelling'!$B$4),0)</f>
        <v>41</v>
      </c>
      <c r="AD529">
        <f t="shared" si="79"/>
        <v>61528.207180000005</v>
      </c>
      <c r="AE529">
        <f t="shared" si="80"/>
        <v>7014.0331800000049</v>
      </c>
    </row>
    <row r="530" spans="1:31" x14ac:dyDescent="0.3">
      <c r="A530" s="36" t="s">
        <v>543</v>
      </c>
      <c r="B530" s="49">
        <v>45162</v>
      </c>
      <c r="C530" s="47" t="str">
        <f t="shared" si="73"/>
        <v>Q3-2023</v>
      </c>
      <c r="D530" s="37">
        <v>45189</v>
      </c>
      <c r="E530" s="16">
        <f t="shared" si="72"/>
        <v>27</v>
      </c>
      <c r="F530" s="38" t="s">
        <v>646</v>
      </c>
      <c r="G530" s="38" t="s">
        <v>661</v>
      </c>
      <c r="H530" s="38" t="s">
        <v>687</v>
      </c>
      <c r="I530" s="38" t="s">
        <v>705</v>
      </c>
      <c r="J530" s="38" t="s">
        <v>709</v>
      </c>
      <c r="K530" s="38" t="s">
        <v>724</v>
      </c>
      <c r="L530" s="38" t="s">
        <v>728</v>
      </c>
      <c r="M530" s="39" t="s">
        <v>1262</v>
      </c>
      <c r="N530" s="40">
        <v>1399.64</v>
      </c>
      <c r="O530" s="40">
        <v>3342.11</v>
      </c>
      <c r="P530" s="30" t="str">
        <f t="shared" si="74"/>
        <v>High</v>
      </c>
      <c r="Q530" s="44">
        <v>0</v>
      </c>
      <c r="R530" s="42" t="str">
        <f t="shared" si="75"/>
        <v>Low</v>
      </c>
      <c r="S530" s="16">
        <v>10</v>
      </c>
      <c r="T530" s="30">
        <v>33421.1</v>
      </c>
      <c r="U530" s="30">
        <v>13996.400000000001</v>
      </c>
      <c r="V530" s="30">
        <v>19424.699999999997</v>
      </c>
      <c r="W530" s="30">
        <v>0.58121067229983447</v>
      </c>
      <c r="X530" t="str">
        <f t="shared" si="76"/>
        <v>Delayed</v>
      </c>
      <c r="Y530" t="str">
        <f t="shared" si="77"/>
        <v>Compliant Discount</v>
      </c>
      <c r="Z530" s="9">
        <f>MIN(Q530,'Scenario Modelling'!$B$2)</f>
        <v>0</v>
      </c>
      <c r="AA530">
        <f t="shared" si="78"/>
        <v>3342.11</v>
      </c>
      <c r="AB530">
        <f>N530*(1+'Scenario Modelling'!$B$3)</f>
        <v>1539.6040000000003</v>
      </c>
      <c r="AC530">
        <f>ROUNDUP(S530*(1+'Scenario Modelling'!$B$4),0)</f>
        <v>11</v>
      </c>
      <c r="AD530">
        <f t="shared" si="79"/>
        <v>36763.21</v>
      </c>
      <c r="AE530">
        <f t="shared" si="80"/>
        <v>19827.565999999999</v>
      </c>
    </row>
    <row r="531" spans="1:31" x14ac:dyDescent="0.3">
      <c r="A531" s="31" t="s">
        <v>544</v>
      </c>
      <c r="B531" s="48">
        <v>45316</v>
      </c>
      <c r="C531" s="47" t="str">
        <f t="shared" si="73"/>
        <v>Q1-2024</v>
      </c>
      <c r="D531" s="32">
        <v>45330</v>
      </c>
      <c r="E531" s="17">
        <f t="shared" si="72"/>
        <v>14</v>
      </c>
      <c r="F531" s="33" t="s">
        <v>647</v>
      </c>
      <c r="G531" s="33" t="s">
        <v>652</v>
      </c>
      <c r="H531" s="33" t="s">
        <v>666</v>
      </c>
      <c r="I531" s="33" t="s">
        <v>704</v>
      </c>
      <c r="J531" s="33" t="s">
        <v>709</v>
      </c>
      <c r="K531" s="33" t="s">
        <v>714</v>
      </c>
      <c r="L531" s="33" t="s">
        <v>729</v>
      </c>
      <c r="M531" s="34" t="s">
        <v>1263</v>
      </c>
      <c r="N531" s="35">
        <v>937.16</v>
      </c>
      <c r="O531" s="35">
        <v>1069.77</v>
      </c>
      <c r="P531" s="30" t="str">
        <f t="shared" si="74"/>
        <v>Medium</v>
      </c>
      <c r="Q531" s="43">
        <v>3.7999999999999999E-2</v>
      </c>
      <c r="R531" s="42" t="str">
        <f t="shared" si="75"/>
        <v>Low</v>
      </c>
      <c r="S531" s="17">
        <v>9</v>
      </c>
      <c r="T531" s="30">
        <v>9262.0686600000008</v>
      </c>
      <c r="U531" s="30">
        <v>8434.44</v>
      </c>
      <c r="V531" s="30">
        <v>827.62866000000031</v>
      </c>
      <c r="W531" s="30">
        <v>8.9356783066645962E-2</v>
      </c>
      <c r="X531" t="str">
        <f t="shared" si="76"/>
        <v>Delayed</v>
      </c>
      <c r="Y531" t="str">
        <f t="shared" si="77"/>
        <v>Compliant Discount</v>
      </c>
      <c r="Z531" s="9">
        <f>MIN(Q531,'Scenario Modelling'!$B$2)</f>
        <v>3.7999999999999999E-2</v>
      </c>
      <c r="AA531">
        <f t="shared" si="78"/>
        <v>1029.1187399999999</v>
      </c>
      <c r="AB531">
        <f>N531*(1+'Scenario Modelling'!$B$3)</f>
        <v>1030.876</v>
      </c>
      <c r="AC531">
        <f>ROUNDUP(S531*(1+'Scenario Modelling'!$B$4),0)</f>
        <v>10</v>
      </c>
      <c r="AD531">
        <f t="shared" si="79"/>
        <v>10291.187399999999</v>
      </c>
      <c r="AE531">
        <f t="shared" si="80"/>
        <v>-17.572600000000875</v>
      </c>
    </row>
    <row r="532" spans="1:31" x14ac:dyDescent="0.3">
      <c r="A532" s="36" t="s">
        <v>545</v>
      </c>
      <c r="B532" s="49">
        <v>45727</v>
      </c>
      <c r="C532" s="47" t="str">
        <f t="shared" si="73"/>
        <v>Q1-2025</v>
      </c>
      <c r="D532" s="37">
        <v>45742</v>
      </c>
      <c r="E532" s="16">
        <f t="shared" si="72"/>
        <v>15</v>
      </c>
      <c r="F532" s="38" t="s">
        <v>649</v>
      </c>
      <c r="G532" s="38" t="s">
        <v>656</v>
      </c>
      <c r="H532" s="38" t="s">
        <v>671</v>
      </c>
      <c r="I532" s="38" t="s">
        <v>705</v>
      </c>
      <c r="J532" s="38" t="s">
        <v>708</v>
      </c>
      <c r="K532" s="38" t="s">
        <v>714</v>
      </c>
      <c r="L532" s="38" t="s">
        <v>730</v>
      </c>
      <c r="M532" s="39" t="s">
        <v>1264</v>
      </c>
      <c r="N532" s="40">
        <v>116.97</v>
      </c>
      <c r="O532" s="40">
        <v>140.82</v>
      </c>
      <c r="P532" s="30" t="str">
        <f t="shared" si="74"/>
        <v>Low</v>
      </c>
      <c r="Q532" s="44">
        <v>0.122</v>
      </c>
      <c r="R532" s="42" t="str">
        <f t="shared" si="75"/>
        <v>Medium</v>
      </c>
      <c r="S532" s="16">
        <v>5</v>
      </c>
      <c r="T532" s="30">
        <v>618.19979999999987</v>
      </c>
      <c r="U532" s="30">
        <v>584.85</v>
      </c>
      <c r="V532" s="30">
        <v>33.349799999999846</v>
      </c>
      <c r="W532" s="30">
        <v>5.3946636669891926E-2</v>
      </c>
      <c r="X532" t="str">
        <f t="shared" si="76"/>
        <v>Delayed</v>
      </c>
      <c r="Y532" t="str">
        <f t="shared" si="77"/>
        <v>Compliant Discount</v>
      </c>
      <c r="Z532" s="9">
        <f>MIN(Q532,'Scenario Modelling'!$B$2)</f>
        <v>0.122</v>
      </c>
      <c r="AA532">
        <f t="shared" si="78"/>
        <v>123.63995999999999</v>
      </c>
      <c r="AB532">
        <f>N532*(1+'Scenario Modelling'!$B$3)</f>
        <v>128.667</v>
      </c>
      <c r="AC532">
        <f>ROUNDUP(S532*(1+'Scenario Modelling'!$B$4),0)</f>
        <v>6</v>
      </c>
      <c r="AD532">
        <f t="shared" si="79"/>
        <v>741.83975999999996</v>
      </c>
      <c r="AE532">
        <f t="shared" si="80"/>
        <v>-30.162240000000082</v>
      </c>
    </row>
    <row r="533" spans="1:31" x14ac:dyDescent="0.3">
      <c r="A533" s="31" t="s">
        <v>546</v>
      </c>
      <c r="B533" s="48">
        <v>45769</v>
      </c>
      <c r="C533" s="47" t="str">
        <f t="shared" si="73"/>
        <v>Q2-2025</v>
      </c>
      <c r="D533" s="32">
        <v>45789</v>
      </c>
      <c r="E533" s="17">
        <f t="shared" si="72"/>
        <v>20</v>
      </c>
      <c r="F533" s="33" t="s">
        <v>649</v>
      </c>
      <c r="G533" s="33" t="s">
        <v>657</v>
      </c>
      <c r="H533" s="33" t="s">
        <v>679</v>
      </c>
      <c r="I533" s="33" t="s">
        <v>706</v>
      </c>
      <c r="J533" s="33" t="s">
        <v>709</v>
      </c>
      <c r="K533" s="33" t="s">
        <v>723</v>
      </c>
      <c r="L533" s="33" t="s">
        <v>732</v>
      </c>
      <c r="M533" s="34" t="s">
        <v>1265</v>
      </c>
      <c r="N533" s="35">
        <v>59.51</v>
      </c>
      <c r="O533" s="35">
        <v>67.040000000000006</v>
      </c>
      <c r="P533" s="30" t="str">
        <f t="shared" si="74"/>
        <v>Low</v>
      </c>
      <c r="Q533" s="43">
        <v>0.114</v>
      </c>
      <c r="R533" s="42" t="str">
        <f t="shared" si="75"/>
        <v>Medium</v>
      </c>
      <c r="S533" s="17">
        <v>9</v>
      </c>
      <c r="T533" s="30">
        <v>534.57695999999999</v>
      </c>
      <c r="U533" s="30">
        <v>535.59</v>
      </c>
      <c r="V533" s="30">
        <v>-1.0130400000000463</v>
      </c>
      <c r="W533" s="30">
        <v>-1.8950311663264469E-3</v>
      </c>
      <c r="X533" t="str">
        <f t="shared" si="76"/>
        <v>Delayed</v>
      </c>
      <c r="Y533" t="str">
        <f t="shared" si="77"/>
        <v>Compliant Discount</v>
      </c>
      <c r="Z533" s="9">
        <f>MIN(Q533,'Scenario Modelling'!$B$2)</f>
        <v>0.114</v>
      </c>
      <c r="AA533">
        <f t="shared" si="78"/>
        <v>59.397440000000003</v>
      </c>
      <c r="AB533">
        <f>N533*(1+'Scenario Modelling'!$B$3)</f>
        <v>65.460999999999999</v>
      </c>
      <c r="AC533">
        <f>ROUNDUP(S533*(1+'Scenario Modelling'!$B$4),0)</f>
        <v>10</v>
      </c>
      <c r="AD533">
        <f t="shared" si="79"/>
        <v>593.97440000000006</v>
      </c>
      <c r="AE533">
        <f t="shared" si="80"/>
        <v>-60.635599999999954</v>
      </c>
    </row>
    <row r="534" spans="1:31" x14ac:dyDescent="0.3">
      <c r="A534" s="36" t="s">
        <v>547</v>
      </c>
      <c r="B534" s="49">
        <v>45155</v>
      </c>
      <c r="C534" s="47" t="str">
        <f t="shared" si="73"/>
        <v>Q3-2023</v>
      </c>
      <c r="D534" s="37">
        <v>45172</v>
      </c>
      <c r="E534" s="16">
        <f t="shared" si="72"/>
        <v>17</v>
      </c>
      <c r="F534" s="38" t="s">
        <v>646</v>
      </c>
      <c r="G534" s="38" t="s">
        <v>661</v>
      </c>
      <c r="H534" s="38" t="s">
        <v>687</v>
      </c>
      <c r="I534" s="38" t="s">
        <v>706</v>
      </c>
      <c r="J534" s="38" t="s">
        <v>707</v>
      </c>
      <c r="K534" s="38" t="s">
        <v>720</v>
      </c>
      <c r="L534" s="38" t="s">
        <v>730</v>
      </c>
      <c r="M534" s="39" t="s">
        <v>1266</v>
      </c>
      <c r="N534" s="40">
        <v>676.37</v>
      </c>
      <c r="O534" s="40">
        <v>1276.67</v>
      </c>
      <c r="P534" s="30" t="str">
        <f t="shared" si="74"/>
        <v>Medium</v>
      </c>
      <c r="Q534" s="44">
        <v>6.6000000000000003E-2</v>
      </c>
      <c r="R534" s="42" t="str">
        <f t="shared" si="75"/>
        <v>Low</v>
      </c>
      <c r="S534" s="16">
        <v>10</v>
      </c>
      <c r="T534" s="30">
        <v>11924.0978</v>
      </c>
      <c r="U534" s="30">
        <v>6763.7</v>
      </c>
      <c r="V534" s="30">
        <v>5160.3977999999997</v>
      </c>
      <c r="W534" s="30">
        <v>0.4327705027712872</v>
      </c>
      <c r="X534" t="str">
        <f t="shared" si="76"/>
        <v>Delayed</v>
      </c>
      <c r="Y534" t="str">
        <f t="shared" si="77"/>
        <v>Compliant Discount</v>
      </c>
      <c r="Z534" s="9">
        <f>MIN(Q534,'Scenario Modelling'!$B$2)</f>
        <v>6.6000000000000003E-2</v>
      </c>
      <c r="AA534">
        <f t="shared" si="78"/>
        <v>1192.40978</v>
      </c>
      <c r="AB534">
        <f>N534*(1+'Scenario Modelling'!$B$3)</f>
        <v>744.00700000000006</v>
      </c>
      <c r="AC534">
        <f>ROUNDUP(S534*(1+'Scenario Modelling'!$B$4),0)</f>
        <v>11</v>
      </c>
      <c r="AD534">
        <f t="shared" si="79"/>
        <v>13116.50758</v>
      </c>
      <c r="AE534">
        <f t="shared" si="80"/>
        <v>4932.4305799999984</v>
      </c>
    </row>
    <row r="535" spans="1:31" x14ac:dyDescent="0.3">
      <c r="A535" s="31" t="s">
        <v>548</v>
      </c>
      <c r="B535" s="48">
        <v>45832</v>
      </c>
      <c r="C535" s="47" t="str">
        <f t="shared" si="73"/>
        <v>Q2-2025</v>
      </c>
      <c r="D535" s="32">
        <v>45852</v>
      </c>
      <c r="E535" s="17">
        <f t="shared" si="72"/>
        <v>20</v>
      </c>
      <c r="F535" s="33" t="s">
        <v>646</v>
      </c>
      <c r="G535" s="33" t="s">
        <v>661</v>
      </c>
      <c r="H535" s="33" t="s">
        <v>682</v>
      </c>
      <c r="I535" s="33" t="s">
        <v>706</v>
      </c>
      <c r="J535" s="33" t="s">
        <v>709</v>
      </c>
      <c r="K535" s="33" t="s">
        <v>713</v>
      </c>
      <c r="L535" s="33" t="s">
        <v>731</v>
      </c>
      <c r="M535" s="34" t="s">
        <v>1267</v>
      </c>
      <c r="N535" s="35">
        <v>1151.06</v>
      </c>
      <c r="O535" s="35">
        <v>2821.36</v>
      </c>
      <c r="P535" s="30" t="str">
        <f t="shared" si="74"/>
        <v>High</v>
      </c>
      <c r="Q535" s="43">
        <v>0.248</v>
      </c>
      <c r="R535" s="42" t="str">
        <f t="shared" si="75"/>
        <v>High</v>
      </c>
      <c r="S535" s="17">
        <v>20</v>
      </c>
      <c r="T535" s="30">
        <v>42433.254400000005</v>
      </c>
      <c r="U535" s="30">
        <v>23021.199999999997</v>
      </c>
      <c r="V535" s="30">
        <v>19412.054400000008</v>
      </c>
      <c r="W535" s="30">
        <v>0.45747267501594235</v>
      </c>
      <c r="X535" t="str">
        <f t="shared" si="76"/>
        <v>Delayed</v>
      </c>
      <c r="Y535" t="str">
        <f t="shared" si="77"/>
        <v>Non-compliant Discount</v>
      </c>
      <c r="Z535" s="9">
        <f>MIN(Q535,'Scenario Modelling'!$B$2)</f>
        <v>0.2</v>
      </c>
      <c r="AA535">
        <f t="shared" si="78"/>
        <v>2257.0880000000002</v>
      </c>
      <c r="AB535">
        <f>N535*(1+'Scenario Modelling'!$B$3)</f>
        <v>1266.1659999999999</v>
      </c>
      <c r="AC535">
        <f>ROUNDUP(S535*(1+'Scenario Modelling'!$B$4),0)</f>
        <v>21</v>
      </c>
      <c r="AD535">
        <f t="shared" si="79"/>
        <v>47398.848000000005</v>
      </c>
      <c r="AE535">
        <f t="shared" si="80"/>
        <v>20809.362000000005</v>
      </c>
    </row>
    <row r="536" spans="1:31" x14ac:dyDescent="0.3">
      <c r="A536" s="36" t="s">
        <v>549</v>
      </c>
      <c r="B536" s="49">
        <v>45667</v>
      </c>
      <c r="C536" s="47" t="str">
        <f t="shared" si="73"/>
        <v>Q1-2025</v>
      </c>
      <c r="D536" s="37">
        <v>45694</v>
      </c>
      <c r="E536" s="16">
        <f t="shared" si="72"/>
        <v>27</v>
      </c>
      <c r="F536" s="38" t="s">
        <v>648</v>
      </c>
      <c r="G536" s="38" t="s">
        <v>655</v>
      </c>
      <c r="H536" s="38" t="s">
        <v>672</v>
      </c>
      <c r="I536" s="38" t="s">
        <v>703</v>
      </c>
      <c r="J536" s="38" t="s">
        <v>707</v>
      </c>
      <c r="K536" s="38" t="s">
        <v>717</v>
      </c>
      <c r="L536" s="38" t="s">
        <v>731</v>
      </c>
      <c r="M536" s="39" t="s">
        <v>1268</v>
      </c>
      <c r="N536" s="40">
        <v>725.62</v>
      </c>
      <c r="O536" s="40">
        <v>1559.19</v>
      </c>
      <c r="P536" s="30" t="str">
        <f t="shared" si="74"/>
        <v>Medium</v>
      </c>
      <c r="Q536" s="44">
        <v>0.19</v>
      </c>
      <c r="R536" s="42" t="str">
        <f t="shared" si="75"/>
        <v>Medium</v>
      </c>
      <c r="S536" s="16">
        <v>12</v>
      </c>
      <c r="T536" s="30">
        <v>15155.326800000001</v>
      </c>
      <c r="U536" s="30">
        <v>8707.44</v>
      </c>
      <c r="V536" s="30">
        <v>6447.8868000000002</v>
      </c>
      <c r="W536" s="30">
        <v>0.42545349797405885</v>
      </c>
      <c r="X536" t="str">
        <f t="shared" si="76"/>
        <v>Delayed</v>
      </c>
      <c r="Y536" t="str">
        <f t="shared" si="77"/>
        <v>Compliant Discount</v>
      </c>
      <c r="Z536" s="9">
        <f>MIN(Q536,'Scenario Modelling'!$B$2)</f>
        <v>0.19</v>
      </c>
      <c r="AA536">
        <f t="shared" si="78"/>
        <v>1262.9439000000002</v>
      </c>
      <c r="AB536">
        <f>N536*(1+'Scenario Modelling'!$B$3)</f>
        <v>798.18200000000002</v>
      </c>
      <c r="AC536">
        <f>ROUNDUP(S536*(1+'Scenario Modelling'!$B$4),0)</f>
        <v>13</v>
      </c>
      <c r="AD536">
        <f t="shared" si="79"/>
        <v>16418.270700000001</v>
      </c>
      <c r="AE536">
        <f t="shared" si="80"/>
        <v>6041.9047000000028</v>
      </c>
    </row>
    <row r="537" spans="1:31" x14ac:dyDescent="0.3">
      <c r="A537" s="31" t="s">
        <v>550</v>
      </c>
      <c r="B537" s="48">
        <v>45108</v>
      </c>
      <c r="C537" s="47" t="str">
        <f t="shared" si="73"/>
        <v>Q3-2023</v>
      </c>
      <c r="D537" s="32">
        <v>45118</v>
      </c>
      <c r="E537" s="17">
        <f t="shared" si="72"/>
        <v>10</v>
      </c>
      <c r="F537" s="33" t="s">
        <v>649</v>
      </c>
      <c r="G537" s="33" t="s">
        <v>657</v>
      </c>
      <c r="H537" s="33" t="s">
        <v>690</v>
      </c>
      <c r="I537" s="33" t="s">
        <v>701</v>
      </c>
      <c r="J537" s="33" t="s">
        <v>711</v>
      </c>
      <c r="K537" s="33" t="s">
        <v>721</v>
      </c>
      <c r="L537" s="33" t="s">
        <v>729</v>
      </c>
      <c r="M537" s="34" t="s">
        <v>1269</v>
      </c>
      <c r="N537" s="35">
        <v>479.5</v>
      </c>
      <c r="O537" s="35">
        <v>656.66</v>
      </c>
      <c r="P537" s="30" t="str">
        <f t="shared" si="74"/>
        <v>Low</v>
      </c>
      <c r="Q537" s="43">
        <v>0.14899999999999999</v>
      </c>
      <c r="R537" s="42" t="str">
        <f t="shared" si="75"/>
        <v>Medium</v>
      </c>
      <c r="S537" s="17">
        <v>14</v>
      </c>
      <c r="T537" s="30">
        <v>7823.4472399999995</v>
      </c>
      <c r="U537" s="30">
        <v>6713</v>
      </c>
      <c r="V537" s="30">
        <v>1110.4472399999995</v>
      </c>
      <c r="W537" s="30">
        <v>0.14193835606412289</v>
      </c>
      <c r="X537" t="str">
        <f t="shared" si="76"/>
        <v>Delayed</v>
      </c>
      <c r="Y537" t="str">
        <f t="shared" si="77"/>
        <v>Compliant Discount</v>
      </c>
      <c r="Z537" s="9">
        <f>MIN(Q537,'Scenario Modelling'!$B$2)</f>
        <v>0.14899999999999999</v>
      </c>
      <c r="AA537">
        <f t="shared" si="78"/>
        <v>558.81765999999993</v>
      </c>
      <c r="AB537">
        <f>N537*(1+'Scenario Modelling'!$B$3)</f>
        <v>527.45000000000005</v>
      </c>
      <c r="AC537">
        <f>ROUNDUP(S537*(1+'Scenario Modelling'!$B$4),0)</f>
        <v>15</v>
      </c>
      <c r="AD537">
        <f t="shared" si="79"/>
        <v>8382.2648999999983</v>
      </c>
      <c r="AE537">
        <f t="shared" si="80"/>
        <v>470.51489999999831</v>
      </c>
    </row>
    <row r="538" spans="1:31" x14ac:dyDescent="0.3">
      <c r="A538" s="36" t="s">
        <v>551</v>
      </c>
      <c r="B538" s="49">
        <v>45520</v>
      </c>
      <c r="C538" s="47" t="str">
        <f t="shared" si="73"/>
        <v>Q3-2024</v>
      </c>
      <c r="D538" s="37">
        <v>45530</v>
      </c>
      <c r="E538" s="16">
        <f t="shared" si="72"/>
        <v>10</v>
      </c>
      <c r="F538" s="38" t="s">
        <v>648</v>
      </c>
      <c r="G538" s="38" t="s">
        <v>660</v>
      </c>
      <c r="H538" s="38" t="s">
        <v>677</v>
      </c>
      <c r="I538" s="38" t="s">
        <v>701</v>
      </c>
      <c r="J538" s="38" t="s">
        <v>710</v>
      </c>
      <c r="K538" s="38" t="s">
        <v>716</v>
      </c>
      <c r="L538" s="38" t="s">
        <v>731</v>
      </c>
      <c r="M538" s="39" t="s">
        <v>1121</v>
      </c>
      <c r="N538" s="40">
        <v>1291.7</v>
      </c>
      <c r="O538" s="40">
        <v>2657.84</v>
      </c>
      <c r="P538" s="30" t="str">
        <f t="shared" si="74"/>
        <v>High</v>
      </c>
      <c r="Q538" s="44">
        <v>8.6999999999999994E-2</v>
      </c>
      <c r="R538" s="42" t="str">
        <f t="shared" si="75"/>
        <v>Low</v>
      </c>
      <c r="S538" s="16">
        <v>21</v>
      </c>
      <c r="T538" s="30">
        <v>50958.766320000002</v>
      </c>
      <c r="U538" s="30">
        <v>27125.7</v>
      </c>
      <c r="V538" s="30">
        <v>23833.066320000002</v>
      </c>
      <c r="W538" s="30">
        <v>0.46769315745083367</v>
      </c>
      <c r="X538" t="str">
        <f t="shared" si="76"/>
        <v>Delayed</v>
      </c>
      <c r="Y538" t="str">
        <f t="shared" si="77"/>
        <v>Compliant Discount</v>
      </c>
      <c r="Z538" s="9">
        <f>MIN(Q538,'Scenario Modelling'!$B$2)</f>
        <v>8.6999999999999994E-2</v>
      </c>
      <c r="AA538">
        <f t="shared" si="78"/>
        <v>2426.6079200000004</v>
      </c>
      <c r="AB538">
        <f>N538*(1+'Scenario Modelling'!$B$3)</f>
        <v>1420.8700000000001</v>
      </c>
      <c r="AC538">
        <f>ROUNDUP(S538*(1+'Scenario Modelling'!$B$4),0)</f>
        <v>23</v>
      </c>
      <c r="AD538">
        <f t="shared" si="79"/>
        <v>55811.982160000007</v>
      </c>
      <c r="AE538">
        <f t="shared" si="80"/>
        <v>23131.972160000005</v>
      </c>
    </row>
    <row r="539" spans="1:31" x14ac:dyDescent="0.3">
      <c r="A539" s="31" t="s">
        <v>552</v>
      </c>
      <c r="B539" s="48">
        <v>45114</v>
      </c>
      <c r="C539" s="47" t="str">
        <f t="shared" si="73"/>
        <v>Q3-2023</v>
      </c>
      <c r="D539" s="32">
        <v>45120</v>
      </c>
      <c r="E539" s="17">
        <f t="shared" si="72"/>
        <v>6</v>
      </c>
      <c r="F539" s="33" t="s">
        <v>646</v>
      </c>
      <c r="G539" s="33" t="s">
        <v>661</v>
      </c>
      <c r="H539" s="33" t="s">
        <v>695</v>
      </c>
      <c r="I539" s="33" t="s">
        <v>705</v>
      </c>
      <c r="J539" s="33" t="s">
        <v>709</v>
      </c>
      <c r="K539" s="33" t="s">
        <v>717</v>
      </c>
      <c r="L539" s="33" t="s">
        <v>733</v>
      </c>
      <c r="M539" s="34" t="s">
        <v>1270</v>
      </c>
      <c r="N539" s="35">
        <v>612.59</v>
      </c>
      <c r="O539" s="35">
        <v>1424.74</v>
      </c>
      <c r="P539" s="30" t="str">
        <f t="shared" si="74"/>
        <v>Medium</v>
      </c>
      <c r="Q539" s="43">
        <v>4.3999999999999997E-2</v>
      </c>
      <c r="R539" s="42" t="str">
        <f t="shared" si="75"/>
        <v>Low</v>
      </c>
      <c r="S539" s="17">
        <v>15</v>
      </c>
      <c r="T539" s="30">
        <v>20430.771599999996</v>
      </c>
      <c r="U539" s="30">
        <v>9188.85</v>
      </c>
      <c r="V539" s="30">
        <v>11241.921599999996</v>
      </c>
      <c r="W539" s="30">
        <v>0.55024459281802152</v>
      </c>
      <c r="X539" t="str">
        <f t="shared" si="76"/>
        <v>On-time</v>
      </c>
      <c r="Y539" t="str">
        <f t="shared" si="77"/>
        <v>Compliant Discount</v>
      </c>
      <c r="Z539" s="9">
        <f>MIN(Q539,'Scenario Modelling'!$B$2)</f>
        <v>4.3999999999999997E-2</v>
      </c>
      <c r="AA539">
        <f t="shared" si="78"/>
        <v>1362.05144</v>
      </c>
      <c r="AB539">
        <f>N539*(1+'Scenario Modelling'!$B$3)</f>
        <v>673.84900000000005</v>
      </c>
      <c r="AC539">
        <f>ROUNDUP(S539*(1+'Scenario Modelling'!$B$4),0)</f>
        <v>16</v>
      </c>
      <c r="AD539">
        <f t="shared" si="79"/>
        <v>21792.823039999999</v>
      </c>
      <c r="AE539">
        <f t="shared" si="80"/>
        <v>11011.239039999999</v>
      </c>
    </row>
    <row r="540" spans="1:31" x14ac:dyDescent="0.3">
      <c r="A540" s="36" t="s">
        <v>553</v>
      </c>
      <c r="B540" s="49">
        <v>45288</v>
      </c>
      <c r="C540" s="47" t="str">
        <f t="shared" si="73"/>
        <v>Q4-2023</v>
      </c>
      <c r="D540" s="37">
        <v>45292</v>
      </c>
      <c r="E540" s="16">
        <f t="shared" si="72"/>
        <v>4</v>
      </c>
      <c r="F540" s="38" t="s">
        <v>646</v>
      </c>
      <c r="G540" s="38" t="s">
        <v>661</v>
      </c>
      <c r="H540" s="38" t="s">
        <v>695</v>
      </c>
      <c r="I540" s="38" t="s">
        <v>702</v>
      </c>
      <c r="J540" s="38" t="s">
        <v>710</v>
      </c>
      <c r="K540" s="38" t="s">
        <v>720</v>
      </c>
      <c r="L540" s="38" t="s">
        <v>728</v>
      </c>
      <c r="M540" s="39" t="s">
        <v>1271</v>
      </c>
      <c r="N540" s="40">
        <v>1141.8</v>
      </c>
      <c r="O540" s="40">
        <v>2318.7399999999998</v>
      </c>
      <c r="P540" s="30" t="str">
        <f t="shared" si="74"/>
        <v>High</v>
      </c>
      <c r="Q540" s="44">
        <v>0.107</v>
      </c>
      <c r="R540" s="42" t="str">
        <f t="shared" si="75"/>
        <v>Medium</v>
      </c>
      <c r="S540" s="16">
        <v>32</v>
      </c>
      <c r="T540" s="30">
        <v>66260.314239999992</v>
      </c>
      <c r="U540" s="30">
        <v>36537.599999999999</v>
      </c>
      <c r="V540" s="30">
        <v>29722.714239999994</v>
      </c>
      <c r="W540" s="30">
        <v>0.44857490612468304</v>
      </c>
      <c r="X540" t="str">
        <f t="shared" si="76"/>
        <v>On-time</v>
      </c>
      <c r="Y540" t="str">
        <f t="shared" si="77"/>
        <v>Compliant Discount</v>
      </c>
      <c r="Z540" s="9">
        <f>MIN(Q540,'Scenario Modelling'!$B$2)</f>
        <v>0.107</v>
      </c>
      <c r="AA540">
        <f t="shared" si="78"/>
        <v>2070.6348199999998</v>
      </c>
      <c r="AB540">
        <f>N540*(1+'Scenario Modelling'!$B$3)</f>
        <v>1255.98</v>
      </c>
      <c r="AC540">
        <f>ROUNDUP(S540*(1+'Scenario Modelling'!$B$4),0)</f>
        <v>34</v>
      </c>
      <c r="AD540">
        <f t="shared" si="79"/>
        <v>70401.583879999991</v>
      </c>
      <c r="AE540">
        <f t="shared" si="80"/>
        <v>27698.263879999991</v>
      </c>
    </row>
    <row r="541" spans="1:31" x14ac:dyDescent="0.3">
      <c r="A541" s="31" t="s">
        <v>554</v>
      </c>
      <c r="B541" s="48">
        <v>44952</v>
      </c>
      <c r="C541" s="47" t="str">
        <f t="shared" si="73"/>
        <v>Q1-2023</v>
      </c>
      <c r="D541" s="32">
        <v>44972</v>
      </c>
      <c r="E541" s="17">
        <f t="shared" si="72"/>
        <v>20</v>
      </c>
      <c r="F541" s="33" t="s">
        <v>649</v>
      </c>
      <c r="G541" s="33" t="s">
        <v>656</v>
      </c>
      <c r="H541" s="33" t="s">
        <v>671</v>
      </c>
      <c r="I541" s="33" t="s">
        <v>705</v>
      </c>
      <c r="J541" s="33" t="s">
        <v>708</v>
      </c>
      <c r="K541" s="33" t="s">
        <v>719</v>
      </c>
      <c r="L541" s="33" t="s">
        <v>729</v>
      </c>
      <c r="M541" s="34" t="s">
        <v>1272</v>
      </c>
      <c r="N541" s="35">
        <v>492.62</v>
      </c>
      <c r="O541" s="35">
        <v>366.7</v>
      </c>
      <c r="P541" s="30" t="str">
        <f t="shared" si="74"/>
        <v>Low</v>
      </c>
      <c r="Q541" s="43">
        <v>8.8999999999999996E-2</v>
      </c>
      <c r="R541" s="42" t="str">
        <f t="shared" si="75"/>
        <v>Low</v>
      </c>
      <c r="S541" s="17">
        <v>10</v>
      </c>
      <c r="T541" s="30">
        <v>3340.6370000000002</v>
      </c>
      <c r="U541" s="30">
        <v>4926.2</v>
      </c>
      <c r="V541" s="30">
        <v>-1585.5629999999996</v>
      </c>
      <c r="W541" s="30">
        <v>-0.47462894052840809</v>
      </c>
      <c r="X541" t="str">
        <f t="shared" si="76"/>
        <v>Delayed</v>
      </c>
      <c r="Y541" t="str">
        <f t="shared" si="77"/>
        <v>Compliant Discount</v>
      </c>
      <c r="Z541" s="9">
        <f>MIN(Q541,'Scenario Modelling'!$B$2)</f>
        <v>8.8999999999999996E-2</v>
      </c>
      <c r="AA541">
        <f t="shared" si="78"/>
        <v>334.06369999999998</v>
      </c>
      <c r="AB541">
        <f>N541*(1+'Scenario Modelling'!$B$3)</f>
        <v>541.88200000000006</v>
      </c>
      <c r="AC541">
        <f>ROUNDUP(S541*(1+'Scenario Modelling'!$B$4),0)</f>
        <v>11</v>
      </c>
      <c r="AD541">
        <f t="shared" si="79"/>
        <v>3674.7006999999999</v>
      </c>
      <c r="AE541">
        <f t="shared" si="80"/>
        <v>-2286.0013000000008</v>
      </c>
    </row>
    <row r="542" spans="1:31" x14ac:dyDescent="0.3">
      <c r="A542" s="36" t="s">
        <v>555</v>
      </c>
      <c r="B542" s="49">
        <v>45115</v>
      </c>
      <c r="C542" s="47" t="str">
        <f t="shared" si="73"/>
        <v>Q3-2023</v>
      </c>
      <c r="D542" s="37">
        <v>45116</v>
      </c>
      <c r="E542" s="16">
        <f t="shared" si="72"/>
        <v>1</v>
      </c>
      <c r="F542" s="38" t="s">
        <v>646</v>
      </c>
      <c r="G542" s="38" t="s">
        <v>650</v>
      </c>
      <c r="H542" s="38" t="s">
        <v>664</v>
      </c>
      <c r="I542" s="38" t="s">
        <v>704</v>
      </c>
      <c r="J542" s="38" t="s">
        <v>708</v>
      </c>
      <c r="K542" s="38" t="s">
        <v>726</v>
      </c>
      <c r="L542" s="38" t="s">
        <v>731</v>
      </c>
      <c r="M542" s="39" t="s">
        <v>1273</v>
      </c>
      <c r="N542" s="40">
        <v>1258.72</v>
      </c>
      <c r="O542" s="40">
        <v>2797.41</v>
      </c>
      <c r="P542" s="30" t="str">
        <f t="shared" si="74"/>
        <v>High</v>
      </c>
      <c r="Q542" s="44">
        <v>0</v>
      </c>
      <c r="R542" s="42" t="str">
        <f t="shared" si="75"/>
        <v>Low</v>
      </c>
      <c r="S542" s="16">
        <v>7</v>
      </c>
      <c r="T542" s="30">
        <v>19581.87</v>
      </c>
      <c r="U542" s="30">
        <v>8811.0400000000009</v>
      </c>
      <c r="V542" s="30">
        <v>10770.829999999998</v>
      </c>
      <c r="W542" s="30">
        <v>0.55004093071805704</v>
      </c>
      <c r="X542" t="str">
        <f t="shared" si="76"/>
        <v>On-time</v>
      </c>
      <c r="Y542" t="str">
        <f t="shared" si="77"/>
        <v>Compliant Discount</v>
      </c>
      <c r="Z542" s="9">
        <f>MIN(Q542,'Scenario Modelling'!$B$2)</f>
        <v>0</v>
      </c>
      <c r="AA542">
        <f t="shared" si="78"/>
        <v>2797.41</v>
      </c>
      <c r="AB542">
        <f>N542*(1+'Scenario Modelling'!$B$3)</f>
        <v>1384.5920000000001</v>
      </c>
      <c r="AC542">
        <f>ROUNDUP(S542*(1+'Scenario Modelling'!$B$4),0)</f>
        <v>8</v>
      </c>
      <c r="AD542">
        <f t="shared" si="79"/>
        <v>22379.279999999999</v>
      </c>
      <c r="AE542">
        <f t="shared" si="80"/>
        <v>11302.543999999998</v>
      </c>
    </row>
    <row r="543" spans="1:31" x14ac:dyDescent="0.3">
      <c r="A543" s="31" t="s">
        <v>556</v>
      </c>
      <c r="B543" s="48">
        <v>45450</v>
      </c>
      <c r="C543" s="47" t="str">
        <f t="shared" si="73"/>
        <v>Q2-2024</v>
      </c>
      <c r="D543" s="32">
        <v>45452</v>
      </c>
      <c r="E543" s="17">
        <f t="shared" si="72"/>
        <v>2</v>
      </c>
      <c r="F543" s="33" t="s">
        <v>647</v>
      </c>
      <c r="G543" s="33" t="s">
        <v>659</v>
      </c>
      <c r="H543" s="33" t="s">
        <v>685</v>
      </c>
      <c r="I543" s="33" t="s">
        <v>701</v>
      </c>
      <c r="J543" s="33" t="s">
        <v>707</v>
      </c>
      <c r="K543" s="33" t="s">
        <v>719</v>
      </c>
      <c r="L543" s="33" t="s">
        <v>732</v>
      </c>
      <c r="M543" s="34" t="s">
        <v>1274</v>
      </c>
      <c r="N543" s="35">
        <v>1370.28</v>
      </c>
      <c r="O543" s="35">
        <v>2209.66</v>
      </c>
      <c r="P543" s="30" t="str">
        <f t="shared" si="74"/>
        <v>High</v>
      </c>
      <c r="Q543" s="43">
        <v>0.13300000000000001</v>
      </c>
      <c r="R543" s="42" t="str">
        <f t="shared" si="75"/>
        <v>Medium</v>
      </c>
      <c r="S543" s="17">
        <v>16</v>
      </c>
      <c r="T543" s="30">
        <v>30652.403519999996</v>
      </c>
      <c r="U543" s="30">
        <v>21924.48</v>
      </c>
      <c r="V543" s="30">
        <v>8727.9235199999966</v>
      </c>
      <c r="W543" s="30">
        <v>0.28473863442079589</v>
      </c>
      <c r="X543" t="str">
        <f t="shared" si="76"/>
        <v>On-time</v>
      </c>
      <c r="Y543" t="str">
        <f t="shared" si="77"/>
        <v>Compliant Discount</v>
      </c>
      <c r="Z543" s="9">
        <f>MIN(Q543,'Scenario Modelling'!$B$2)</f>
        <v>0.13300000000000001</v>
      </c>
      <c r="AA543">
        <f t="shared" si="78"/>
        <v>1915.7752199999998</v>
      </c>
      <c r="AB543">
        <f>N543*(1+'Scenario Modelling'!$B$3)</f>
        <v>1507.308</v>
      </c>
      <c r="AC543">
        <f>ROUNDUP(S543*(1+'Scenario Modelling'!$B$4),0)</f>
        <v>17</v>
      </c>
      <c r="AD543">
        <f t="shared" si="79"/>
        <v>32568.178739999996</v>
      </c>
      <c r="AE543">
        <f t="shared" si="80"/>
        <v>6943.9427399999959</v>
      </c>
    </row>
    <row r="544" spans="1:31" x14ac:dyDescent="0.3">
      <c r="A544" s="36" t="s">
        <v>557</v>
      </c>
      <c r="B544" s="49">
        <v>44968</v>
      </c>
      <c r="C544" s="47" t="str">
        <f t="shared" si="73"/>
        <v>Q1-2023</v>
      </c>
      <c r="D544" s="37">
        <v>44969</v>
      </c>
      <c r="E544" s="16">
        <f t="shared" si="72"/>
        <v>1</v>
      </c>
      <c r="F544" s="38" t="s">
        <v>646</v>
      </c>
      <c r="G544" s="38" t="s">
        <v>651</v>
      </c>
      <c r="H544" s="38" t="s">
        <v>663</v>
      </c>
      <c r="I544" s="38" t="s">
        <v>703</v>
      </c>
      <c r="J544" s="38" t="s">
        <v>711</v>
      </c>
      <c r="K544" s="38" t="s">
        <v>726</v>
      </c>
      <c r="L544" s="38" t="s">
        <v>733</v>
      </c>
      <c r="M544" s="39" t="s">
        <v>1275</v>
      </c>
      <c r="N544" s="40">
        <v>944.61</v>
      </c>
      <c r="O544" s="40">
        <v>839.04</v>
      </c>
      <c r="P544" s="30" t="str">
        <f t="shared" si="74"/>
        <v>Low</v>
      </c>
      <c r="Q544" s="44">
        <v>5.8999999999999997E-2</v>
      </c>
      <c r="R544" s="42" t="str">
        <f t="shared" si="75"/>
        <v>Low</v>
      </c>
      <c r="S544" s="16">
        <v>6</v>
      </c>
      <c r="T544" s="30">
        <v>4737.2198399999997</v>
      </c>
      <c r="U544" s="30">
        <v>5667.66</v>
      </c>
      <c r="V544" s="30">
        <v>-930.44016000000011</v>
      </c>
      <c r="W544" s="30">
        <v>-0.19641059343363726</v>
      </c>
      <c r="X544" t="str">
        <f t="shared" si="76"/>
        <v>On-time</v>
      </c>
      <c r="Y544" t="str">
        <f t="shared" si="77"/>
        <v>Compliant Discount</v>
      </c>
      <c r="Z544" s="9">
        <f>MIN(Q544,'Scenario Modelling'!$B$2)</f>
        <v>5.8999999999999997E-2</v>
      </c>
      <c r="AA544">
        <f t="shared" si="78"/>
        <v>789.53664000000003</v>
      </c>
      <c r="AB544">
        <f>N544*(1+'Scenario Modelling'!$B$3)</f>
        <v>1039.0710000000001</v>
      </c>
      <c r="AC544">
        <f>ROUNDUP(S544*(1+'Scenario Modelling'!$B$4),0)</f>
        <v>7</v>
      </c>
      <c r="AD544">
        <f t="shared" si="79"/>
        <v>5526.75648</v>
      </c>
      <c r="AE544">
        <f t="shared" si="80"/>
        <v>-1746.7405200000007</v>
      </c>
    </row>
    <row r="545" spans="1:31" x14ac:dyDescent="0.3">
      <c r="A545" s="31" t="s">
        <v>558</v>
      </c>
      <c r="B545" s="48">
        <v>45108</v>
      </c>
      <c r="C545" s="47" t="str">
        <f t="shared" si="73"/>
        <v>Q3-2023</v>
      </c>
      <c r="D545" s="32">
        <v>45115</v>
      </c>
      <c r="E545" s="17">
        <f t="shared" si="72"/>
        <v>7</v>
      </c>
      <c r="F545" s="33" t="s">
        <v>649</v>
      </c>
      <c r="G545" s="33" t="s">
        <v>656</v>
      </c>
      <c r="H545" s="33" t="s">
        <v>698</v>
      </c>
      <c r="I545" s="33" t="s">
        <v>705</v>
      </c>
      <c r="J545" s="33" t="s">
        <v>710</v>
      </c>
      <c r="K545" s="33" t="s">
        <v>725</v>
      </c>
      <c r="L545" s="33" t="s">
        <v>731</v>
      </c>
      <c r="M545" s="34" t="s">
        <v>1276</v>
      </c>
      <c r="N545" s="35">
        <v>460.21</v>
      </c>
      <c r="O545" s="35">
        <v>1139.1500000000001</v>
      </c>
      <c r="P545" s="30" t="str">
        <f t="shared" si="74"/>
        <v>Medium</v>
      </c>
      <c r="Q545" s="43">
        <v>0.115</v>
      </c>
      <c r="R545" s="42" t="str">
        <f t="shared" si="75"/>
        <v>Medium</v>
      </c>
      <c r="S545" s="17">
        <v>14</v>
      </c>
      <c r="T545" s="30">
        <v>14114.068500000001</v>
      </c>
      <c r="U545" s="30">
        <v>6442.94</v>
      </c>
      <c r="V545" s="30">
        <v>7671.1285000000016</v>
      </c>
      <c r="W545" s="30">
        <v>0.54350937151821255</v>
      </c>
      <c r="X545" t="str">
        <f t="shared" si="76"/>
        <v>On-time</v>
      </c>
      <c r="Y545" t="str">
        <f t="shared" si="77"/>
        <v>Compliant Discount</v>
      </c>
      <c r="Z545" s="9">
        <f>MIN(Q545,'Scenario Modelling'!$B$2)</f>
        <v>0.115</v>
      </c>
      <c r="AA545">
        <f t="shared" si="78"/>
        <v>1008.1477500000001</v>
      </c>
      <c r="AB545">
        <f>N545*(1+'Scenario Modelling'!$B$3)</f>
        <v>506.23099999999999</v>
      </c>
      <c r="AC545">
        <f>ROUNDUP(S545*(1+'Scenario Modelling'!$B$4),0)</f>
        <v>15</v>
      </c>
      <c r="AD545">
        <f t="shared" si="79"/>
        <v>15122.216250000001</v>
      </c>
      <c r="AE545">
        <f t="shared" si="80"/>
        <v>7528.7512500000012</v>
      </c>
    </row>
    <row r="546" spans="1:31" x14ac:dyDescent="0.3">
      <c r="A546" s="36" t="s">
        <v>559</v>
      </c>
      <c r="B546" s="49">
        <v>45889</v>
      </c>
      <c r="C546" s="47" t="str">
        <f t="shared" si="73"/>
        <v>Q3-2025</v>
      </c>
      <c r="D546" s="37">
        <v>45895</v>
      </c>
      <c r="E546" s="16">
        <f t="shared" si="72"/>
        <v>6</v>
      </c>
      <c r="F546" s="38" t="s">
        <v>648</v>
      </c>
      <c r="G546" s="38" t="s">
        <v>660</v>
      </c>
      <c r="H546" s="38" t="s">
        <v>700</v>
      </c>
      <c r="I546" s="38" t="s">
        <v>701</v>
      </c>
      <c r="J546" s="38" t="s">
        <v>707</v>
      </c>
      <c r="K546" s="38" t="s">
        <v>724</v>
      </c>
      <c r="L546" s="38" t="s">
        <v>729</v>
      </c>
      <c r="M546" s="39" t="s">
        <v>1277</v>
      </c>
      <c r="N546" s="40">
        <v>1304.95</v>
      </c>
      <c r="O546" s="40">
        <v>1712.03</v>
      </c>
      <c r="P546" s="30" t="str">
        <f t="shared" si="74"/>
        <v>High</v>
      </c>
      <c r="Q546" s="44">
        <v>0.21199999999999999</v>
      </c>
      <c r="R546" s="42" t="str">
        <f t="shared" si="75"/>
        <v>High</v>
      </c>
      <c r="S546" s="16">
        <v>8</v>
      </c>
      <c r="T546" s="30">
        <v>10792.637119999999</v>
      </c>
      <c r="U546" s="30">
        <v>10439.6</v>
      </c>
      <c r="V546" s="30">
        <v>353.03711999999905</v>
      </c>
      <c r="W546" s="30">
        <v>3.2710922833287949E-2</v>
      </c>
      <c r="X546" t="str">
        <f t="shared" si="76"/>
        <v>On-time</v>
      </c>
      <c r="Y546" t="str">
        <f t="shared" si="77"/>
        <v>Non-compliant Discount</v>
      </c>
      <c r="Z546" s="9">
        <f>MIN(Q546,'Scenario Modelling'!$B$2)</f>
        <v>0.2</v>
      </c>
      <c r="AA546">
        <f t="shared" si="78"/>
        <v>1369.624</v>
      </c>
      <c r="AB546">
        <f>N546*(1+'Scenario Modelling'!$B$3)</f>
        <v>1435.4450000000002</v>
      </c>
      <c r="AC546">
        <f>ROUNDUP(S546*(1+'Scenario Modelling'!$B$4),0)</f>
        <v>9</v>
      </c>
      <c r="AD546">
        <f t="shared" si="79"/>
        <v>12326.616</v>
      </c>
      <c r="AE546">
        <f t="shared" si="80"/>
        <v>-592.38900000000126</v>
      </c>
    </row>
    <row r="547" spans="1:31" x14ac:dyDescent="0.3">
      <c r="A547" s="31" t="s">
        <v>560</v>
      </c>
      <c r="B547" s="48">
        <v>45355</v>
      </c>
      <c r="C547" s="47" t="str">
        <f t="shared" si="73"/>
        <v>Q1-2024</v>
      </c>
      <c r="D547" s="32">
        <v>45367</v>
      </c>
      <c r="E547" s="17">
        <f t="shared" si="72"/>
        <v>12</v>
      </c>
      <c r="F547" s="33" t="s">
        <v>646</v>
      </c>
      <c r="G547" s="33" t="s">
        <v>661</v>
      </c>
      <c r="H547" s="33" t="s">
        <v>682</v>
      </c>
      <c r="I547" s="33" t="s">
        <v>706</v>
      </c>
      <c r="J547" s="33" t="s">
        <v>710</v>
      </c>
      <c r="K547" s="33" t="s">
        <v>724</v>
      </c>
      <c r="L547" s="33" t="s">
        <v>732</v>
      </c>
      <c r="M547" s="34" t="s">
        <v>1278</v>
      </c>
      <c r="N547" s="35">
        <v>441.08</v>
      </c>
      <c r="O547" s="35">
        <v>1054.29</v>
      </c>
      <c r="P547" s="30" t="str">
        <f t="shared" si="74"/>
        <v>Medium</v>
      </c>
      <c r="Q547" s="43">
        <v>0.23699999999999999</v>
      </c>
      <c r="R547" s="42" t="str">
        <f t="shared" si="75"/>
        <v>High</v>
      </c>
      <c r="S547" s="17">
        <v>6</v>
      </c>
      <c r="T547" s="30">
        <v>4826.5396199999996</v>
      </c>
      <c r="U547" s="30">
        <v>2646.48</v>
      </c>
      <c r="V547" s="30">
        <v>2180.0596199999995</v>
      </c>
      <c r="W547" s="30">
        <v>0.45168169985932899</v>
      </c>
      <c r="X547" t="str">
        <f t="shared" si="76"/>
        <v>Delayed</v>
      </c>
      <c r="Y547" t="str">
        <f t="shared" si="77"/>
        <v>Non-compliant Discount</v>
      </c>
      <c r="Z547" s="9">
        <f>MIN(Q547,'Scenario Modelling'!$B$2)</f>
        <v>0.2</v>
      </c>
      <c r="AA547">
        <f t="shared" si="78"/>
        <v>843.43200000000002</v>
      </c>
      <c r="AB547">
        <f>N547*(1+'Scenario Modelling'!$B$3)</f>
        <v>485.18800000000005</v>
      </c>
      <c r="AC547">
        <f>ROUNDUP(S547*(1+'Scenario Modelling'!$B$4),0)</f>
        <v>7</v>
      </c>
      <c r="AD547">
        <f t="shared" si="79"/>
        <v>5904.0240000000003</v>
      </c>
      <c r="AE547">
        <f t="shared" si="80"/>
        <v>2507.7079999999996</v>
      </c>
    </row>
    <row r="548" spans="1:31" x14ac:dyDescent="0.3">
      <c r="A548" s="36" t="s">
        <v>561</v>
      </c>
      <c r="B548" s="49">
        <v>45177</v>
      </c>
      <c r="C548" s="47" t="str">
        <f t="shared" si="73"/>
        <v>Q3-2023</v>
      </c>
      <c r="D548" s="37">
        <v>45201</v>
      </c>
      <c r="E548" s="16">
        <f t="shared" si="72"/>
        <v>24</v>
      </c>
      <c r="F548" s="38" t="s">
        <v>648</v>
      </c>
      <c r="G548" s="38" t="s">
        <v>653</v>
      </c>
      <c r="H548" s="38" t="s">
        <v>667</v>
      </c>
      <c r="I548" s="38" t="s">
        <v>702</v>
      </c>
      <c r="J548" s="38" t="s">
        <v>711</v>
      </c>
      <c r="K548" s="38" t="s">
        <v>720</v>
      </c>
      <c r="L548" s="38" t="s">
        <v>733</v>
      </c>
      <c r="M548" s="39" t="s">
        <v>1279</v>
      </c>
      <c r="N548" s="40">
        <v>1299.03</v>
      </c>
      <c r="O548" s="40">
        <v>2451.2199999999998</v>
      </c>
      <c r="P548" s="30" t="str">
        <f t="shared" si="74"/>
        <v>High</v>
      </c>
      <c r="Q548" s="44">
        <v>0.20799999999999999</v>
      </c>
      <c r="R548" s="42" t="str">
        <f t="shared" si="75"/>
        <v>High</v>
      </c>
      <c r="S548" s="16">
        <v>8</v>
      </c>
      <c r="T548" s="30">
        <v>15530.929919999999</v>
      </c>
      <c r="U548" s="30">
        <v>10392.24</v>
      </c>
      <c r="V548" s="30">
        <v>5138.6899199999989</v>
      </c>
      <c r="W548" s="30">
        <v>0.3308681416032041</v>
      </c>
      <c r="X548" t="str">
        <f t="shared" si="76"/>
        <v>Delayed</v>
      </c>
      <c r="Y548" t="str">
        <f t="shared" si="77"/>
        <v>Non-compliant Discount</v>
      </c>
      <c r="Z548" s="9">
        <f>MIN(Q548,'Scenario Modelling'!$B$2)</f>
        <v>0.2</v>
      </c>
      <c r="AA548">
        <f t="shared" si="78"/>
        <v>1960.9759999999999</v>
      </c>
      <c r="AB548">
        <f>N548*(1+'Scenario Modelling'!$B$3)</f>
        <v>1428.933</v>
      </c>
      <c r="AC548">
        <f>ROUNDUP(S548*(1+'Scenario Modelling'!$B$4),0)</f>
        <v>9</v>
      </c>
      <c r="AD548">
        <f t="shared" si="79"/>
        <v>17648.784</v>
      </c>
      <c r="AE548">
        <f t="shared" si="80"/>
        <v>4788.3869999999988</v>
      </c>
    </row>
    <row r="549" spans="1:31" x14ac:dyDescent="0.3">
      <c r="A549" s="31" t="s">
        <v>562</v>
      </c>
      <c r="B549" s="48">
        <v>44985</v>
      </c>
      <c r="C549" s="47" t="str">
        <f t="shared" si="73"/>
        <v>Q1-2023</v>
      </c>
      <c r="D549" s="32">
        <v>44991</v>
      </c>
      <c r="E549" s="17">
        <f t="shared" si="72"/>
        <v>6</v>
      </c>
      <c r="F549" s="33" t="s">
        <v>649</v>
      </c>
      <c r="G549" s="33" t="s">
        <v>656</v>
      </c>
      <c r="H549" s="33" t="s">
        <v>698</v>
      </c>
      <c r="I549" s="33" t="s">
        <v>705</v>
      </c>
      <c r="J549" s="33" t="s">
        <v>709</v>
      </c>
      <c r="K549" s="33" t="s">
        <v>726</v>
      </c>
      <c r="L549" s="33" t="s">
        <v>728</v>
      </c>
      <c r="M549" s="34" t="s">
        <v>1280</v>
      </c>
      <c r="N549" s="35">
        <v>880.02</v>
      </c>
      <c r="O549" s="35">
        <v>1251.21</v>
      </c>
      <c r="P549" s="30" t="str">
        <f t="shared" si="74"/>
        <v>Medium</v>
      </c>
      <c r="Q549" s="43">
        <v>0.123</v>
      </c>
      <c r="R549" s="42" t="str">
        <f t="shared" si="75"/>
        <v>Medium</v>
      </c>
      <c r="S549" s="17">
        <v>29</v>
      </c>
      <c r="T549" s="30">
        <v>31822.023930000003</v>
      </c>
      <c r="U549" s="30">
        <v>25520.579999999998</v>
      </c>
      <c r="V549" s="30">
        <v>6301.4439300000049</v>
      </c>
      <c r="W549" s="30">
        <v>0.19802146915172672</v>
      </c>
      <c r="X549" t="str">
        <f t="shared" si="76"/>
        <v>On-time</v>
      </c>
      <c r="Y549" t="str">
        <f t="shared" si="77"/>
        <v>Compliant Discount</v>
      </c>
      <c r="Z549" s="9">
        <f>MIN(Q549,'Scenario Modelling'!$B$2)</f>
        <v>0.123</v>
      </c>
      <c r="AA549">
        <f t="shared" si="78"/>
        <v>1097.3111699999999</v>
      </c>
      <c r="AB549">
        <f>N549*(1+'Scenario Modelling'!$B$3)</f>
        <v>968.02200000000005</v>
      </c>
      <c r="AC549">
        <f>ROUNDUP(S549*(1+'Scenario Modelling'!$B$4),0)</f>
        <v>31</v>
      </c>
      <c r="AD549">
        <f t="shared" si="79"/>
        <v>34016.646269999997</v>
      </c>
      <c r="AE549">
        <f t="shared" si="80"/>
        <v>4007.9642699999968</v>
      </c>
    </row>
    <row r="550" spans="1:31" x14ac:dyDescent="0.3">
      <c r="A550" s="36" t="s">
        <v>563</v>
      </c>
      <c r="B550" s="49">
        <v>45486</v>
      </c>
      <c r="C550" s="47" t="str">
        <f t="shared" si="73"/>
        <v>Q3-2024</v>
      </c>
      <c r="D550" s="37">
        <v>45507</v>
      </c>
      <c r="E550" s="16">
        <f t="shared" si="72"/>
        <v>21</v>
      </c>
      <c r="F550" s="38" t="s">
        <v>648</v>
      </c>
      <c r="G550" s="38" t="s">
        <v>655</v>
      </c>
      <c r="H550" s="38" t="s">
        <v>692</v>
      </c>
      <c r="I550" s="38" t="s">
        <v>701</v>
      </c>
      <c r="J550" s="38" t="s">
        <v>709</v>
      </c>
      <c r="K550" s="38" t="s">
        <v>724</v>
      </c>
      <c r="L550" s="38" t="s">
        <v>732</v>
      </c>
      <c r="M550" s="39" t="s">
        <v>1281</v>
      </c>
      <c r="N550" s="40">
        <v>702.98</v>
      </c>
      <c r="O550" s="40">
        <v>1104.8</v>
      </c>
      <c r="P550" s="30" t="str">
        <f t="shared" si="74"/>
        <v>Medium</v>
      </c>
      <c r="Q550" s="44">
        <v>0.17499999999999999</v>
      </c>
      <c r="R550" s="42" t="str">
        <f t="shared" si="75"/>
        <v>Medium</v>
      </c>
      <c r="S550" s="16">
        <v>12</v>
      </c>
      <c r="T550" s="30">
        <v>10937.519999999999</v>
      </c>
      <c r="U550" s="30">
        <v>8435.76</v>
      </c>
      <c r="V550" s="30">
        <v>2501.7599999999984</v>
      </c>
      <c r="W550" s="30">
        <v>0.22873192460448061</v>
      </c>
      <c r="X550" t="str">
        <f t="shared" si="76"/>
        <v>Delayed</v>
      </c>
      <c r="Y550" t="str">
        <f t="shared" si="77"/>
        <v>Compliant Discount</v>
      </c>
      <c r="Z550" s="9">
        <f>MIN(Q550,'Scenario Modelling'!$B$2)</f>
        <v>0.17499999999999999</v>
      </c>
      <c r="AA550">
        <f t="shared" si="78"/>
        <v>911.45999999999992</v>
      </c>
      <c r="AB550">
        <f>N550*(1+'Scenario Modelling'!$B$3)</f>
        <v>773.27800000000013</v>
      </c>
      <c r="AC550">
        <f>ROUNDUP(S550*(1+'Scenario Modelling'!$B$4),0)</f>
        <v>13</v>
      </c>
      <c r="AD550">
        <f t="shared" si="79"/>
        <v>11848.98</v>
      </c>
      <c r="AE550">
        <f t="shared" si="80"/>
        <v>1796.3659999999973</v>
      </c>
    </row>
    <row r="551" spans="1:31" x14ac:dyDescent="0.3">
      <c r="A551" s="31" t="s">
        <v>564</v>
      </c>
      <c r="B551" s="48">
        <v>45633</v>
      </c>
      <c r="C551" s="47" t="str">
        <f t="shared" si="73"/>
        <v>Q4-2024</v>
      </c>
      <c r="D551" s="32">
        <v>45652</v>
      </c>
      <c r="E551" s="17">
        <f t="shared" si="72"/>
        <v>19</v>
      </c>
      <c r="F551" s="33" t="s">
        <v>649</v>
      </c>
      <c r="G551" s="33" t="s">
        <v>658</v>
      </c>
      <c r="H551" s="33" t="s">
        <v>683</v>
      </c>
      <c r="I551" s="33" t="s">
        <v>706</v>
      </c>
      <c r="J551" s="33" t="s">
        <v>708</v>
      </c>
      <c r="K551" s="33" t="s">
        <v>726</v>
      </c>
      <c r="L551" s="33" t="s">
        <v>729</v>
      </c>
      <c r="M551" s="34" t="s">
        <v>1282</v>
      </c>
      <c r="N551" s="35">
        <v>1035.24</v>
      </c>
      <c r="O551" s="35">
        <v>2383.41</v>
      </c>
      <c r="P551" s="30" t="str">
        <f t="shared" si="74"/>
        <v>High</v>
      </c>
      <c r="Q551" s="43">
        <v>0.17</v>
      </c>
      <c r="R551" s="42" t="str">
        <f t="shared" si="75"/>
        <v>Medium</v>
      </c>
      <c r="S551" s="17">
        <v>15</v>
      </c>
      <c r="T551" s="30">
        <v>29673.454499999993</v>
      </c>
      <c r="U551" s="30">
        <v>15528.6</v>
      </c>
      <c r="V551" s="30">
        <v>14144.854499999992</v>
      </c>
      <c r="W551" s="30">
        <v>0.47668378145860962</v>
      </c>
      <c r="X551" t="str">
        <f t="shared" si="76"/>
        <v>Delayed</v>
      </c>
      <c r="Y551" t="str">
        <f t="shared" si="77"/>
        <v>Compliant Discount</v>
      </c>
      <c r="Z551" s="9">
        <f>MIN(Q551,'Scenario Modelling'!$B$2)</f>
        <v>0.17</v>
      </c>
      <c r="AA551">
        <f t="shared" si="78"/>
        <v>1978.2302999999997</v>
      </c>
      <c r="AB551">
        <f>N551*(1+'Scenario Modelling'!$B$3)</f>
        <v>1138.7640000000001</v>
      </c>
      <c r="AC551">
        <f>ROUNDUP(S551*(1+'Scenario Modelling'!$B$4),0)</f>
        <v>16</v>
      </c>
      <c r="AD551">
        <f t="shared" si="79"/>
        <v>31651.684799999995</v>
      </c>
      <c r="AE551">
        <f t="shared" si="80"/>
        <v>13431.460799999993</v>
      </c>
    </row>
    <row r="552" spans="1:31" x14ac:dyDescent="0.3">
      <c r="A552" s="36" t="s">
        <v>565</v>
      </c>
      <c r="B552" s="49">
        <v>45875</v>
      </c>
      <c r="C552" s="47" t="str">
        <f t="shared" si="73"/>
        <v>Q3-2025</v>
      </c>
      <c r="D552" s="37">
        <v>45892</v>
      </c>
      <c r="E552" s="16">
        <f t="shared" si="72"/>
        <v>17</v>
      </c>
      <c r="F552" s="38" t="s">
        <v>648</v>
      </c>
      <c r="G552" s="38" t="s">
        <v>655</v>
      </c>
      <c r="H552" s="38" t="s">
        <v>672</v>
      </c>
      <c r="I552" s="38" t="s">
        <v>704</v>
      </c>
      <c r="J552" s="38" t="s">
        <v>710</v>
      </c>
      <c r="K552" s="38" t="s">
        <v>720</v>
      </c>
      <c r="L552" s="38" t="s">
        <v>732</v>
      </c>
      <c r="M552" s="39" t="s">
        <v>1283</v>
      </c>
      <c r="N552" s="40">
        <v>86.64</v>
      </c>
      <c r="O552" s="40">
        <v>213.06</v>
      </c>
      <c r="P552" s="30" t="str">
        <f t="shared" si="74"/>
        <v>Low</v>
      </c>
      <c r="Q552" s="44">
        <v>0.21199999999999999</v>
      </c>
      <c r="R552" s="42" t="str">
        <f t="shared" si="75"/>
        <v>High</v>
      </c>
      <c r="S552" s="16">
        <v>11</v>
      </c>
      <c r="T552" s="30">
        <v>1846.8040799999999</v>
      </c>
      <c r="U552" s="30">
        <v>953.04</v>
      </c>
      <c r="V552" s="30">
        <v>893.76407999999992</v>
      </c>
      <c r="W552" s="30">
        <v>0.48395175735154322</v>
      </c>
      <c r="X552" t="str">
        <f t="shared" si="76"/>
        <v>Delayed</v>
      </c>
      <c r="Y552" t="str">
        <f t="shared" si="77"/>
        <v>Non-compliant Discount</v>
      </c>
      <c r="Z552" s="9">
        <f>MIN(Q552,'Scenario Modelling'!$B$2)</f>
        <v>0.2</v>
      </c>
      <c r="AA552">
        <f t="shared" si="78"/>
        <v>170.44800000000001</v>
      </c>
      <c r="AB552">
        <f>N552*(1+'Scenario Modelling'!$B$3)</f>
        <v>95.304000000000002</v>
      </c>
      <c r="AC552">
        <f>ROUNDUP(S552*(1+'Scenario Modelling'!$B$4),0)</f>
        <v>12</v>
      </c>
      <c r="AD552">
        <f t="shared" si="79"/>
        <v>2045.3760000000002</v>
      </c>
      <c r="AE552">
        <f t="shared" si="80"/>
        <v>901.72800000000007</v>
      </c>
    </row>
    <row r="553" spans="1:31" x14ac:dyDescent="0.3">
      <c r="A553" s="31" t="s">
        <v>566</v>
      </c>
      <c r="B553" s="48">
        <v>44988</v>
      </c>
      <c r="C553" s="47" t="str">
        <f t="shared" si="73"/>
        <v>Q1-2023</v>
      </c>
      <c r="D553" s="32">
        <v>45005</v>
      </c>
      <c r="E553" s="17">
        <f t="shared" si="72"/>
        <v>17</v>
      </c>
      <c r="F553" s="33" t="s">
        <v>647</v>
      </c>
      <c r="G553" s="33" t="s">
        <v>652</v>
      </c>
      <c r="H553" s="33" t="s">
        <v>694</v>
      </c>
      <c r="I553" s="33" t="s">
        <v>705</v>
      </c>
      <c r="J553" s="33" t="s">
        <v>708</v>
      </c>
      <c r="K553" s="33" t="s">
        <v>726</v>
      </c>
      <c r="L553" s="33" t="s">
        <v>729</v>
      </c>
      <c r="M553" s="34" t="s">
        <v>1284</v>
      </c>
      <c r="N553" s="35">
        <v>1171.17</v>
      </c>
      <c r="O553" s="35">
        <v>2030.64</v>
      </c>
      <c r="P553" s="30" t="str">
        <f t="shared" si="74"/>
        <v>High</v>
      </c>
      <c r="Q553" s="43">
        <v>0.157</v>
      </c>
      <c r="R553" s="42" t="str">
        <f t="shared" si="75"/>
        <v>Medium</v>
      </c>
      <c r="S553" s="17">
        <v>11</v>
      </c>
      <c r="T553" s="30">
        <v>18830.12472</v>
      </c>
      <c r="U553" s="30">
        <v>12882.87</v>
      </c>
      <c r="V553" s="30">
        <v>5947.254719999999</v>
      </c>
      <c r="W553" s="30">
        <v>0.31583724528830415</v>
      </c>
      <c r="X553" t="str">
        <f t="shared" si="76"/>
        <v>Delayed</v>
      </c>
      <c r="Y553" t="str">
        <f t="shared" si="77"/>
        <v>Compliant Discount</v>
      </c>
      <c r="Z553" s="9">
        <f>MIN(Q553,'Scenario Modelling'!$B$2)</f>
        <v>0.157</v>
      </c>
      <c r="AA553">
        <f t="shared" si="78"/>
        <v>1711.82952</v>
      </c>
      <c r="AB553">
        <f>N553*(1+'Scenario Modelling'!$B$3)</f>
        <v>1288.2870000000003</v>
      </c>
      <c r="AC553">
        <f>ROUNDUP(S553*(1+'Scenario Modelling'!$B$4),0)</f>
        <v>12</v>
      </c>
      <c r="AD553">
        <f t="shared" si="79"/>
        <v>20541.954239999999</v>
      </c>
      <c r="AE553">
        <f t="shared" si="80"/>
        <v>5082.5102399999969</v>
      </c>
    </row>
    <row r="554" spans="1:31" x14ac:dyDescent="0.3">
      <c r="A554" s="36" t="s">
        <v>567</v>
      </c>
      <c r="B554" s="49">
        <v>45704</v>
      </c>
      <c r="C554" s="47" t="str">
        <f t="shared" si="73"/>
        <v>Q1-2025</v>
      </c>
      <c r="D554" s="37">
        <v>45733</v>
      </c>
      <c r="E554" s="16">
        <f t="shared" si="72"/>
        <v>29</v>
      </c>
      <c r="F554" s="38" t="s">
        <v>649</v>
      </c>
      <c r="G554" s="38" t="s">
        <v>656</v>
      </c>
      <c r="H554" s="38" t="s">
        <v>684</v>
      </c>
      <c r="I554" s="38" t="s">
        <v>704</v>
      </c>
      <c r="J554" s="38" t="s">
        <v>707</v>
      </c>
      <c r="K554" s="38" t="s">
        <v>716</v>
      </c>
      <c r="L554" s="38" t="s">
        <v>733</v>
      </c>
      <c r="M554" s="39" t="s">
        <v>1285</v>
      </c>
      <c r="N554" s="40">
        <v>730.42</v>
      </c>
      <c r="O554" s="40">
        <v>956.7</v>
      </c>
      <c r="P554" s="30" t="str">
        <f t="shared" si="74"/>
        <v>Medium</v>
      </c>
      <c r="Q554" s="44">
        <v>4.2000000000000003E-2</v>
      </c>
      <c r="R554" s="42" t="str">
        <f t="shared" si="75"/>
        <v>Low</v>
      </c>
      <c r="S554" s="16">
        <v>22</v>
      </c>
      <c r="T554" s="30">
        <v>20163.409200000002</v>
      </c>
      <c r="U554" s="30">
        <v>16069.24</v>
      </c>
      <c r="V554" s="30">
        <v>4094.1692000000021</v>
      </c>
      <c r="W554" s="30">
        <v>0.20304945256975698</v>
      </c>
      <c r="X554" t="str">
        <f t="shared" si="76"/>
        <v>Delayed</v>
      </c>
      <c r="Y554" t="str">
        <f t="shared" si="77"/>
        <v>Compliant Discount</v>
      </c>
      <c r="Z554" s="9">
        <f>MIN(Q554,'Scenario Modelling'!$B$2)</f>
        <v>4.2000000000000003E-2</v>
      </c>
      <c r="AA554">
        <f t="shared" si="78"/>
        <v>916.51859999999999</v>
      </c>
      <c r="AB554">
        <f>N554*(1+'Scenario Modelling'!$B$3)</f>
        <v>803.46199999999999</v>
      </c>
      <c r="AC554">
        <f>ROUNDUP(S554*(1+'Scenario Modelling'!$B$4),0)</f>
        <v>24</v>
      </c>
      <c r="AD554">
        <f t="shared" si="79"/>
        <v>21996.446400000001</v>
      </c>
      <c r="AE554">
        <f t="shared" si="80"/>
        <v>2713.3584000000001</v>
      </c>
    </row>
    <row r="555" spans="1:31" x14ac:dyDescent="0.3">
      <c r="A555" s="31" t="s">
        <v>568</v>
      </c>
      <c r="B555" s="48">
        <v>45703</v>
      </c>
      <c r="C555" s="47" t="str">
        <f t="shared" si="73"/>
        <v>Q1-2025</v>
      </c>
      <c r="D555" s="32">
        <v>45717</v>
      </c>
      <c r="E555" s="17">
        <f t="shared" si="72"/>
        <v>14</v>
      </c>
      <c r="F555" s="33" t="s">
        <v>646</v>
      </c>
      <c r="G555" s="33" t="s">
        <v>650</v>
      </c>
      <c r="H555" s="33" t="s">
        <v>675</v>
      </c>
      <c r="I555" s="33" t="s">
        <v>702</v>
      </c>
      <c r="J555" s="33" t="s">
        <v>711</v>
      </c>
      <c r="K555" s="33" t="s">
        <v>716</v>
      </c>
      <c r="L555" s="33" t="s">
        <v>733</v>
      </c>
      <c r="M555" s="34" t="s">
        <v>1286</v>
      </c>
      <c r="N555" s="35">
        <v>1162.8599999999999</v>
      </c>
      <c r="O555" s="35">
        <v>1447.68</v>
      </c>
      <c r="P555" s="30" t="str">
        <f t="shared" si="74"/>
        <v>Medium</v>
      </c>
      <c r="Q555" s="43">
        <v>8.6999999999999994E-2</v>
      </c>
      <c r="R555" s="42" t="str">
        <f t="shared" si="75"/>
        <v>Low</v>
      </c>
      <c r="S555" s="17">
        <v>12</v>
      </c>
      <c r="T555" s="30">
        <v>15860.782080000001</v>
      </c>
      <c r="U555" s="30">
        <v>13954.32</v>
      </c>
      <c r="V555" s="30">
        <v>1906.4620800000012</v>
      </c>
      <c r="W555" s="30">
        <v>0.12019975247021369</v>
      </c>
      <c r="X555" t="str">
        <f t="shared" si="76"/>
        <v>Delayed</v>
      </c>
      <c r="Y555" t="str">
        <f t="shared" si="77"/>
        <v>Compliant Discount</v>
      </c>
      <c r="Z555" s="9">
        <f>MIN(Q555,'Scenario Modelling'!$B$2)</f>
        <v>8.6999999999999994E-2</v>
      </c>
      <c r="AA555">
        <f t="shared" si="78"/>
        <v>1321.7318400000001</v>
      </c>
      <c r="AB555">
        <f>N555*(1+'Scenario Modelling'!$B$3)</f>
        <v>1279.146</v>
      </c>
      <c r="AC555">
        <f>ROUNDUP(S555*(1+'Scenario Modelling'!$B$4),0)</f>
        <v>13</v>
      </c>
      <c r="AD555">
        <f t="shared" si="79"/>
        <v>17182.513920000001</v>
      </c>
      <c r="AE555">
        <f t="shared" si="80"/>
        <v>553.61592000000246</v>
      </c>
    </row>
    <row r="556" spans="1:31" x14ac:dyDescent="0.3">
      <c r="A556" s="36" t="s">
        <v>569</v>
      </c>
      <c r="B556" s="49">
        <v>45535</v>
      </c>
      <c r="C556" s="47" t="str">
        <f t="shared" si="73"/>
        <v>Q3-2024</v>
      </c>
      <c r="D556" s="37">
        <v>45561</v>
      </c>
      <c r="E556" s="16">
        <f t="shared" si="72"/>
        <v>26</v>
      </c>
      <c r="F556" s="38" t="s">
        <v>647</v>
      </c>
      <c r="G556" s="38" t="s">
        <v>652</v>
      </c>
      <c r="H556" s="38" t="s">
        <v>689</v>
      </c>
      <c r="I556" s="38" t="s">
        <v>702</v>
      </c>
      <c r="J556" s="38" t="s">
        <v>708</v>
      </c>
      <c r="K556" s="38" t="s">
        <v>714</v>
      </c>
      <c r="L556" s="38" t="s">
        <v>730</v>
      </c>
      <c r="M556" s="39" t="s">
        <v>1287</v>
      </c>
      <c r="N556" s="40">
        <v>1189.03</v>
      </c>
      <c r="O556" s="40">
        <v>2949.62</v>
      </c>
      <c r="P556" s="30" t="str">
        <f t="shared" si="74"/>
        <v>High</v>
      </c>
      <c r="Q556" s="44">
        <v>0.125</v>
      </c>
      <c r="R556" s="42" t="str">
        <f t="shared" si="75"/>
        <v>Medium</v>
      </c>
      <c r="S556" s="16">
        <v>13</v>
      </c>
      <c r="T556" s="30">
        <v>33551.927499999998</v>
      </c>
      <c r="U556" s="30">
        <v>15457.39</v>
      </c>
      <c r="V556" s="30">
        <v>18094.537499999999</v>
      </c>
      <c r="W556" s="30">
        <v>0.53929949330034765</v>
      </c>
      <c r="X556" t="str">
        <f t="shared" si="76"/>
        <v>Delayed</v>
      </c>
      <c r="Y556" t="str">
        <f t="shared" si="77"/>
        <v>Compliant Discount</v>
      </c>
      <c r="Z556" s="9">
        <f>MIN(Q556,'Scenario Modelling'!$B$2)</f>
        <v>0.125</v>
      </c>
      <c r="AA556">
        <f t="shared" si="78"/>
        <v>2580.9175</v>
      </c>
      <c r="AB556">
        <f>N556*(1+'Scenario Modelling'!$B$3)</f>
        <v>1307.933</v>
      </c>
      <c r="AC556">
        <f>ROUNDUP(S556*(1+'Scenario Modelling'!$B$4),0)</f>
        <v>14</v>
      </c>
      <c r="AD556">
        <f t="shared" si="79"/>
        <v>36132.845000000001</v>
      </c>
      <c r="AE556">
        <f t="shared" si="80"/>
        <v>17821.782999999999</v>
      </c>
    </row>
    <row r="557" spans="1:31" x14ac:dyDescent="0.3">
      <c r="A557" s="31" t="s">
        <v>570</v>
      </c>
      <c r="B557" s="48">
        <v>45053</v>
      </c>
      <c r="C557" s="47" t="str">
        <f t="shared" si="73"/>
        <v>Q2-2023</v>
      </c>
      <c r="D557" s="32">
        <v>45066</v>
      </c>
      <c r="E557" s="17">
        <f t="shared" si="72"/>
        <v>13</v>
      </c>
      <c r="F557" s="33" t="s">
        <v>647</v>
      </c>
      <c r="G557" s="33" t="s">
        <v>654</v>
      </c>
      <c r="H557" s="33" t="s">
        <v>691</v>
      </c>
      <c r="I557" s="33" t="s">
        <v>706</v>
      </c>
      <c r="J557" s="33" t="s">
        <v>707</v>
      </c>
      <c r="K557" s="33" t="s">
        <v>726</v>
      </c>
      <c r="L557" s="33" t="s">
        <v>733</v>
      </c>
      <c r="M557" s="34" t="s">
        <v>1288</v>
      </c>
      <c r="N557" s="35">
        <v>1443.28</v>
      </c>
      <c r="O557" s="35">
        <v>2580.5700000000002</v>
      </c>
      <c r="P557" s="30" t="str">
        <f t="shared" si="74"/>
        <v>High</v>
      </c>
      <c r="Q557" s="43">
        <v>0</v>
      </c>
      <c r="R557" s="42" t="str">
        <f t="shared" si="75"/>
        <v>Low</v>
      </c>
      <c r="S557" s="17">
        <v>18</v>
      </c>
      <c r="T557" s="30">
        <v>46450.26</v>
      </c>
      <c r="U557" s="30">
        <v>25979.040000000001</v>
      </c>
      <c r="V557" s="30">
        <v>20471.22</v>
      </c>
      <c r="W557" s="30">
        <v>0.4407127107577008</v>
      </c>
      <c r="X557" t="str">
        <f t="shared" si="76"/>
        <v>Delayed</v>
      </c>
      <c r="Y557" t="str">
        <f t="shared" si="77"/>
        <v>Compliant Discount</v>
      </c>
      <c r="Z557" s="9">
        <f>MIN(Q557,'Scenario Modelling'!$B$2)</f>
        <v>0</v>
      </c>
      <c r="AA557">
        <f t="shared" si="78"/>
        <v>2580.5700000000002</v>
      </c>
      <c r="AB557">
        <f>N557*(1+'Scenario Modelling'!$B$3)</f>
        <v>1587.6080000000002</v>
      </c>
      <c r="AC557">
        <f>ROUNDUP(S557*(1+'Scenario Modelling'!$B$4),0)</f>
        <v>19</v>
      </c>
      <c r="AD557">
        <f t="shared" si="79"/>
        <v>49030.83</v>
      </c>
      <c r="AE557">
        <f t="shared" si="80"/>
        <v>18866.277999999998</v>
      </c>
    </row>
    <row r="558" spans="1:31" x14ac:dyDescent="0.3">
      <c r="A558" s="36" t="s">
        <v>571</v>
      </c>
      <c r="B558" s="49">
        <v>45791</v>
      </c>
      <c r="C558" s="47" t="str">
        <f t="shared" si="73"/>
        <v>Q2-2025</v>
      </c>
      <c r="D558" s="37">
        <v>45798</v>
      </c>
      <c r="E558" s="16">
        <f t="shared" si="72"/>
        <v>7</v>
      </c>
      <c r="F558" s="38" t="s">
        <v>648</v>
      </c>
      <c r="G558" s="38" t="s">
        <v>653</v>
      </c>
      <c r="H558" s="38" t="s">
        <v>688</v>
      </c>
      <c r="I558" s="38" t="s">
        <v>703</v>
      </c>
      <c r="J558" s="38" t="s">
        <v>710</v>
      </c>
      <c r="K558" s="38" t="s">
        <v>721</v>
      </c>
      <c r="L558" s="38" t="s">
        <v>728</v>
      </c>
      <c r="M558" s="39" t="s">
        <v>1289</v>
      </c>
      <c r="N558" s="40">
        <v>883.5</v>
      </c>
      <c r="O558" s="40">
        <v>1978.91</v>
      </c>
      <c r="P558" s="30" t="str">
        <f t="shared" si="74"/>
        <v>High</v>
      </c>
      <c r="Q558" s="44">
        <v>5.3999999999999999E-2</v>
      </c>
      <c r="R558" s="42" t="str">
        <f t="shared" si="75"/>
        <v>Low</v>
      </c>
      <c r="S558" s="16">
        <v>27</v>
      </c>
      <c r="T558" s="30">
        <v>50545.319219999998</v>
      </c>
      <c r="U558" s="30">
        <v>23854.5</v>
      </c>
      <c r="V558" s="30">
        <v>26690.819219999998</v>
      </c>
      <c r="W558" s="30">
        <v>0.52805718970390547</v>
      </c>
      <c r="X558" t="str">
        <f t="shared" si="76"/>
        <v>On-time</v>
      </c>
      <c r="Y558" t="str">
        <f t="shared" si="77"/>
        <v>Compliant Discount</v>
      </c>
      <c r="Z558" s="9">
        <f>MIN(Q558,'Scenario Modelling'!$B$2)</f>
        <v>5.3999999999999999E-2</v>
      </c>
      <c r="AA558">
        <f t="shared" si="78"/>
        <v>1872.0488599999999</v>
      </c>
      <c r="AB558">
        <f>N558*(1+'Scenario Modelling'!$B$3)</f>
        <v>971.85</v>
      </c>
      <c r="AC558">
        <f>ROUNDUP(S558*(1+'Scenario Modelling'!$B$4),0)</f>
        <v>29</v>
      </c>
      <c r="AD558">
        <f t="shared" si="79"/>
        <v>54289.416939999996</v>
      </c>
      <c r="AE558">
        <f t="shared" si="80"/>
        <v>26105.766939999994</v>
      </c>
    </row>
    <row r="559" spans="1:31" x14ac:dyDescent="0.3">
      <c r="A559" s="31" t="s">
        <v>572</v>
      </c>
      <c r="B559" s="48">
        <v>45362</v>
      </c>
      <c r="C559" s="47" t="str">
        <f t="shared" si="73"/>
        <v>Q1-2024</v>
      </c>
      <c r="D559" s="32">
        <v>45380</v>
      </c>
      <c r="E559" s="17">
        <f t="shared" si="72"/>
        <v>18</v>
      </c>
      <c r="F559" s="33" t="s">
        <v>648</v>
      </c>
      <c r="G559" s="33" t="s">
        <v>660</v>
      </c>
      <c r="H559" s="33" t="s">
        <v>700</v>
      </c>
      <c r="I559" s="33" t="s">
        <v>701</v>
      </c>
      <c r="J559" s="33" t="s">
        <v>707</v>
      </c>
      <c r="K559" s="33" t="s">
        <v>724</v>
      </c>
      <c r="L559" s="33" t="s">
        <v>732</v>
      </c>
      <c r="M559" s="34" t="s">
        <v>1290</v>
      </c>
      <c r="N559" s="35">
        <v>710.98</v>
      </c>
      <c r="O559" s="35">
        <v>1481.45</v>
      </c>
      <c r="P559" s="30" t="str">
        <f t="shared" si="74"/>
        <v>Medium</v>
      </c>
      <c r="Q559" s="43">
        <v>0.21099999999999999</v>
      </c>
      <c r="R559" s="42" t="str">
        <f t="shared" si="75"/>
        <v>High</v>
      </c>
      <c r="S559" s="17">
        <v>9</v>
      </c>
      <c r="T559" s="30">
        <v>10519.776450000001</v>
      </c>
      <c r="U559" s="30">
        <v>6398.82</v>
      </c>
      <c r="V559" s="30">
        <v>4120.9564500000015</v>
      </c>
      <c r="W559" s="30">
        <v>0.39173422264120461</v>
      </c>
      <c r="X559" t="str">
        <f t="shared" si="76"/>
        <v>Delayed</v>
      </c>
      <c r="Y559" t="str">
        <f t="shared" si="77"/>
        <v>Non-compliant Discount</v>
      </c>
      <c r="Z559" s="9">
        <f>MIN(Q559,'Scenario Modelling'!$B$2)</f>
        <v>0.2</v>
      </c>
      <c r="AA559">
        <f t="shared" si="78"/>
        <v>1185.1600000000001</v>
      </c>
      <c r="AB559">
        <f>N559*(1+'Scenario Modelling'!$B$3)</f>
        <v>782.07800000000009</v>
      </c>
      <c r="AC559">
        <f>ROUNDUP(S559*(1+'Scenario Modelling'!$B$4),0)</f>
        <v>10</v>
      </c>
      <c r="AD559">
        <f t="shared" si="79"/>
        <v>11851.6</v>
      </c>
      <c r="AE559">
        <f t="shared" si="80"/>
        <v>4030.8199999999997</v>
      </c>
    </row>
    <row r="560" spans="1:31" x14ac:dyDescent="0.3">
      <c r="A560" s="36" t="s">
        <v>573</v>
      </c>
      <c r="B560" s="49">
        <v>45430</v>
      </c>
      <c r="C560" s="47" t="str">
        <f t="shared" si="73"/>
        <v>Q2-2024</v>
      </c>
      <c r="D560" s="37">
        <v>45434</v>
      </c>
      <c r="E560" s="16">
        <f t="shared" si="72"/>
        <v>4</v>
      </c>
      <c r="F560" s="38" t="s">
        <v>646</v>
      </c>
      <c r="G560" s="38" t="s">
        <v>650</v>
      </c>
      <c r="H560" s="38" t="s">
        <v>664</v>
      </c>
      <c r="I560" s="38" t="s">
        <v>701</v>
      </c>
      <c r="J560" s="38" t="s">
        <v>711</v>
      </c>
      <c r="K560" s="38" t="s">
        <v>722</v>
      </c>
      <c r="L560" s="38" t="s">
        <v>733</v>
      </c>
      <c r="M560" s="39" t="s">
        <v>1291</v>
      </c>
      <c r="N560" s="40">
        <v>857.42</v>
      </c>
      <c r="O560" s="40">
        <v>1658.92</v>
      </c>
      <c r="P560" s="30" t="str">
        <f t="shared" si="74"/>
        <v>High</v>
      </c>
      <c r="Q560" s="44">
        <v>0.122</v>
      </c>
      <c r="R560" s="42" t="str">
        <f t="shared" si="75"/>
        <v>Medium</v>
      </c>
      <c r="S560" s="16">
        <v>9</v>
      </c>
      <c r="T560" s="30">
        <v>13108.78584</v>
      </c>
      <c r="U560" s="30">
        <v>7716.78</v>
      </c>
      <c r="V560" s="30">
        <v>5392.0058400000007</v>
      </c>
      <c r="W560" s="30">
        <v>0.41132763215544305</v>
      </c>
      <c r="X560" t="str">
        <f t="shared" si="76"/>
        <v>On-time</v>
      </c>
      <c r="Y560" t="str">
        <f t="shared" si="77"/>
        <v>Compliant Discount</v>
      </c>
      <c r="Z560" s="9">
        <f>MIN(Q560,'Scenario Modelling'!$B$2)</f>
        <v>0.122</v>
      </c>
      <c r="AA560">
        <f t="shared" si="78"/>
        <v>1456.5317600000001</v>
      </c>
      <c r="AB560">
        <f>N560*(1+'Scenario Modelling'!$B$3)</f>
        <v>943.16200000000003</v>
      </c>
      <c r="AC560">
        <f>ROUNDUP(S560*(1+'Scenario Modelling'!$B$4),0)</f>
        <v>10</v>
      </c>
      <c r="AD560">
        <f t="shared" si="79"/>
        <v>14565.3176</v>
      </c>
      <c r="AE560">
        <f t="shared" si="80"/>
        <v>5133.6976000000004</v>
      </c>
    </row>
    <row r="561" spans="1:31" x14ac:dyDescent="0.3">
      <c r="A561" s="31" t="s">
        <v>574</v>
      </c>
      <c r="B561" s="48">
        <v>45299</v>
      </c>
      <c r="C561" s="47" t="str">
        <f t="shared" si="73"/>
        <v>Q1-2024</v>
      </c>
      <c r="D561" s="32">
        <v>45303</v>
      </c>
      <c r="E561" s="17">
        <f t="shared" si="72"/>
        <v>4</v>
      </c>
      <c r="F561" s="33" t="s">
        <v>647</v>
      </c>
      <c r="G561" s="33" t="s">
        <v>654</v>
      </c>
      <c r="H561" s="33" t="s">
        <v>668</v>
      </c>
      <c r="I561" s="33" t="s">
        <v>701</v>
      </c>
      <c r="J561" s="33" t="s">
        <v>711</v>
      </c>
      <c r="K561" s="33" t="s">
        <v>718</v>
      </c>
      <c r="L561" s="33" t="s">
        <v>728</v>
      </c>
      <c r="M561" s="34" t="s">
        <v>1292</v>
      </c>
      <c r="N561" s="35">
        <v>802.32</v>
      </c>
      <c r="O561" s="35">
        <v>602.34</v>
      </c>
      <c r="P561" s="30" t="str">
        <f t="shared" si="74"/>
        <v>Low</v>
      </c>
      <c r="Q561" s="43">
        <v>0.12</v>
      </c>
      <c r="R561" s="42" t="str">
        <f t="shared" si="75"/>
        <v>Medium</v>
      </c>
      <c r="S561" s="17">
        <v>25</v>
      </c>
      <c r="T561" s="30">
        <v>13251.48</v>
      </c>
      <c r="U561" s="30">
        <v>20058</v>
      </c>
      <c r="V561" s="30">
        <v>-6806.52</v>
      </c>
      <c r="W561" s="30">
        <v>-0.51364224977134632</v>
      </c>
      <c r="X561" t="str">
        <f t="shared" si="76"/>
        <v>On-time</v>
      </c>
      <c r="Y561" t="str">
        <f t="shared" si="77"/>
        <v>Compliant Discount</v>
      </c>
      <c r="Z561" s="9">
        <f>MIN(Q561,'Scenario Modelling'!$B$2)</f>
        <v>0.12</v>
      </c>
      <c r="AA561">
        <f t="shared" si="78"/>
        <v>530.05920000000003</v>
      </c>
      <c r="AB561">
        <f>N561*(1+'Scenario Modelling'!$B$3)</f>
        <v>882.55200000000013</v>
      </c>
      <c r="AC561">
        <f>ROUNDUP(S561*(1+'Scenario Modelling'!$B$4),0)</f>
        <v>27</v>
      </c>
      <c r="AD561">
        <f t="shared" si="79"/>
        <v>14311.598400000001</v>
      </c>
      <c r="AE561">
        <f t="shared" si="80"/>
        <v>-9517.3056000000033</v>
      </c>
    </row>
    <row r="562" spans="1:31" x14ac:dyDescent="0.3">
      <c r="A562" s="36" t="s">
        <v>575</v>
      </c>
      <c r="B562" s="49">
        <v>45590</v>
      </c>
      <c r="C562" s="47" t="str">
        <f t="shared" si="73"/>
        <v>Q4-2024</v>
      </c>
      <c r="D562" s="37">
        <v>45601</v>
      </c>
      <c r="E562" s="16">
        <f t="shared" si="72"/>
        <v>11</v>
      </c>
      <c r="F562" s="38" t="s">
        <v>648</v>
      </c>
      <c r="G562" s="38" t="s">
        <v>660</v>
      </c>
      <c r="H562" s="38" t="s">
        <v>700</v>
      </c>
      <c r="I562" s="38" t="s">
        <v>701</v>
      </c>
      <c r="J562" s="38" t="s">
        <v>710</v>
      </c>
      <c r="K562" s="38" t="s">
        <v>725</v>
      </c>
      <c r="L562" s="38" t="s">
        <v>727</v>
      </c>
      <c r="M562" s="39" t="s">
        <v>1293</v>
      </c>
      <c r="N562" s="40">
        <v>446.66</v>
      </c>
      <c r="O562" s="40">
        <v>527.64</v>
      </c>
      <c r="P562" s="30" t="str">
        <f t="shared" si="74"/>
        <v>Low</v>
      </c>
      <c r="Q562" s="44">
        <v>0.14499999999999999</v>
      </c>
      <c r="R562" s="42" t="str">
        <f t="shared" si="75"/>
        <v>Medium</v>
      </c>
      <c r="S562" s="16">
        <v>15</v>
      </c>
      <c r="T562" s="30">
        <v>6766.9829999999993</v>
      </c>
      <c r="U562" s="30">
        <v>6699.9000000000005</v>
      </c>
      <c r="V562" s="30">
        <v>67.082999999998719</v>
      </c>
      <c r="W562" s="30">
        <v>9.9132804087137105E-3</v>
      </c>
      <c r="X562" t="str">
        <f t="shared" si="76"/>
        <v>Delayed</v>
      </c>
      <c r="Y562" t="str">
        <f t="shared" si="77"/>
        <v>Compliant Discount</v>
      </c>
      <c r="Z562" s="9">
        <f>MIN(Q562,'Scenario Modelling'!$B$2)</f>
        <v>0.14499999999999999</v>
      </c>
      <c r="AA562">
        <f t="shared" si="78"/>
        <v>451.13219999999995</v>
      </c>
      <c r="AB562">
        <f>N562*(1+'Scenario Modelling'!$B$3)</f>
        <v>491.32600000000008</v>
      </c>
      <c r="AC562">
        <f>ROUNDUP(S562*(1+'Scenario Modelling'!$B$4),0)</f>
        <v>16</v>
      </c>
      <c r="AD562">
        <f t="shared" si="79"/>
        <v>7218.1151999999993</v>
      </c>
      <c r="AE562">
        <f t="shared" si="80"/>
        <v>-643.10080000000198</v>
      </c>
    </row>
    <row r="563" spans="1:31" x14ac:dyDescent="0.3">
      <c r="A563" s="31" t="s">
        <v>576</v>
      </c>
      <c r="B563" s="48">
        <v>45626</v>
      </c>
      <c r="C563" s="47" t="str">
        <f t="shared" si="73"/>
        <v>Q4-2024</v>
      </c>
      <c r="D563" s="32">
        <v>45645</v>
      </c>
      <c r="E563" s="17">
        <f t="shared" si="72"/>
        <v>19</v>
      </c>
      <c r="F563" s="33" t="s">
        <v>646</v>
      </c>
      <c r="G563" s="33" t="s">
        <v>650</v>
      </c>
      <c r="H563" s="33" t="s">
        <v>662</v>
      </c>
      <c r="I563" s="33" t="s">
        <v>701</v>
      </c>
      <c r="J563" s="33" t="s">
        <v>708</v>
      </c>
      <c r="K563" s="33" t="s">
        <v>716</v>
      </c>
      <c r="L563" s="33" t="s">
        <v>730</v>
      </c>
      <c r="M563" s="34" t="s">
        <v>1294</v>
      </c>
      <c r="N563" s="35">
        <v>1195.98</v>
      </c>
      <c r="O563" s="35">
        <v>1841.9</v>
      </c>
      <c r="P563" s="30" t="str">
        <f t="shared" si="74"/>
        <v>High</v>
      </c>
      <c r="Q563" s="43">
        <v>5.5E-2</v>
      </c>
      <c r="R563" s="42" t="str">
        <f t="shared" si="75"/>
        <v>Low</v>
      </c>
      <c r="S563" s="17">
        <v>19</v>
      </c>
      <c r="T563" s="30">
        <v>33071.3145</v>
      </c>
      <c r="U563" s="30">
        <v>22723.62</v>
      </c>
      <c r="V563" s="30">
        <v>10347.694500000001</v>
      </c>
      <c r="W563" s="30">
        <v>0.31289032977506842</v>
      </c>
      <c r="X563" t="str">
        <f t="shared" si="76"/>
        <v>Delayed</v>
      </c>
      <c r="Y563" t="str">
        <f t="shared" si="77"/>
        <v>Compliant Discount</v>
      </c>
      <c r="Z563" s="9">
        <f>MIN(Q563,'Scenario Modelling'!$B$2)</f>
        <v>5.5E-2</v>
      </c>
      <c r="AA563">
        <f t="shared" si="78"/>
        <v>1740.5954999999999</v>
      </c>
      <c r="AB563">
        <f>N563*(1+'Scenario Modelling'!$B$3)</f>
        <v>1315.5780000000002</v>
      </c>
      <c r="AC563">
        <f>ROUNDUP(S563*(1+'Scenario Modelling'!$B$4),0)</f>
        <v>20</v>
      </c>
      <c r="AD563">
        <f t="shared" si="79"/>
        <v>34811.909999999996</v>
      </c>
      <c r="AE563">
        <f t="shared" si="80"/>
        <v>8500.3499999999949</v>
      </c>
    </row>
    <row r="564" spans="1:31" x14ac:dyDescent="0.3">
      <c r="A564" s="36" t="s">
        <v>577</v>
      </c>
      <c r="B564" s="49">
        <v>45029</v>
      </c>
      <c r="C564" s="47" t="str">
        <f t="shared" si="73"/>
        <v>Q2-2023</v>
      </c>
      <c r="D564" s="37">
        <v>45048</v>
      </c>
      <c r="E564" s="16">
        <f t="shared" si="72"/>
        <v>19</v>
      </c>
      <c r="F564" s="38" t="s">
        <v>648</v>
      </c>
      <c r="G564" s="38" t="s">
        <v>653</v>
      </c>
      <c r="H564" s="38" t="s">
        <v>681</v>
      </c>
      <c r="I564" s="38" t="s">
        <v>704</v>
      </c>
      <c r="J564" s="38" t="s">
        <v>710</v>
      </c>
      <c r="K564" s="38" t="s">
        <v>718</v>
      </c>
      <c r="L564" s="38" t="s">
        <v>732</v>
      </c>
      <c r="M564" s="39" t="s">
        <v>1295</v>
      </c>
      <c r="N564" s="40">
        <v>671.05</v>
      </c>
      <c r="O564" s="40">
        <v>1645.48</v>
      </c>
      <c r="P564" s="30" t="str">
        <f t="shared" si="74"/>
        <v>High</v>
      </c>
      <c r="Q564" s="44">
        <v>0.13700000000000001</v>
      </c>
      <c r="R564" s="42" t="str">
        <f t="shared" si="75"/>
        <v>Medium</v>
      </c>
      <c r="S564" s="16">
        <v>6</v>
      </c>
      <c r="T564" s="30">
        <v>8520.2954399999999</v>
      </c>
      <c r="U564" s="30">
        <v>4026.2999999999997</v>
      </c>
      <c r="V564" s="30">
        <v>4493.9954400000006</v>
      </c>
      <c r="W564" s="30">
        <v>0.52744596377517172</v>
      </c>
      <c r="X564" t="str">
        <f t="shared" si="76"/>
        <v>Delayed</v>
      </c>
      <c r="Y564" t="str">
        <f t="shared" si="77"/>
        <v>Compliant Discount</v>
      </c>
      <c r="Z564" s="9">
        <f>MIN(Q564,'Scenario Modelling'!$B$2)</f>
        <v>0.13700000000000001</v>
      </c>
      <c r="AA564">
        <f t="shared" si="78"/>
        <v>1420.0492400000001</v>
      </c>
      <c r="AB564">
        <f>N564*(1+'Scenario Modelling'!$B$3)</f>
        <v>738.15499999999997</v>
      </c>
      <c r="AC564">
        <f>ROUNDUP(S564*(1+'Scenario Modelling'!$B$4),0)</f>
        <v>7</v>
      </c>
      <c r="AD564">
        <f t="shared" si="79"/>
        <v>9940.3446800000002</v>
      </c>
      <c r="AE564">
        <f t="shared" si="80"/>
        <v>4773.259680000001</v>
      </c>
    </row>
    <row r="565" spans="1:31" x14ac:dyDescent="0.3">
      <c r="A565" s="31" t="s">
        <v>578</v>
      </c>
      <c r="B565" s="48">
        <v>45692</v>
      </c>
      <c r="C565" s="47" t="str">
        <f t="shared" si="73"/>
        <v>Q1-2025</v>
      </c>
      <c r="D565" s="32">
        <v>45696</v>
      </c>
      <c r="E565" s="17">
        <f t="shared" si="72"/>
        <v>4</v>
      </c>
      <c r="F565" s="33" t="s">
        <v>649</v>
      </c>
      <c r="G565" s="33" t="s">
        <v>658</v>
      </c>
      <c r="H565" s="33" t="s">
        <v>693</v>
      </c>
      <c r="I565" s="33" t="s">
        <v>706</v>
      </c>
      <c r="J565" s="33" t="s">
        <v>709</v>
      </c>
      <c r="K565" s="33" t="s">
        <v>716</v>
      </c>
      <c r="L565" s="33" t="s">
        <v>729</v>
      </c>
      <c r="M565" s="34" t="s">
        <v>1296</v>
      </c>
      <c r="N565" s="35">
        <v>586.21</v>
      </c>
      <c r="O565" s="35">
        <v>727.22</v>
      </c>
      <c r="P565" s="30" t="str">
        <f t="shared" si="74"/>
        <v>Low</v>
      </c>
      <c r="Q565" s="43">
        <v>6.8000000000000005E-2</v>
      </c>
      <c r="R565" s="42" t="str">
        <f t="shared" si="75"/>
        <v>Low</v>
      </c>
      <c r="S565" s="17">
        <v>15</v>
      </c>
      <c r="T565" s="30">
        <v>10166.535600000001</v>
      </c>
      <c r="U565" s="30">
        <v>8793.1500000000015</v>
      </c>
      <c r="V565" s="30">
        <v>1373.3855999999996</v>
      </c>
      <c r="W565" s="30">
        <v>0.13508884973559721</v>
      </c>
      <c r="X565" t="str">
        <f t="shared" si="76"/>
        <v>On-time</v>
      </c>
      <c r="Y565" t="str">
        <f t="shared" si="77"/>
        <v>Compliant Discount</v>
      </c>
      <c r="Z565" s="9">
        <f>MIN(Q565,'Scenario Modelling'!$B$2)</f>
        <v>6.8000000000000005E-2</v>
      </c>
      <c r="AA565">
        <f t="shared" si="78"/>
        <v>677.76904000000002</v>
      </c>
      <c r="AB565">
        <f>N565*(1+'Scenario Modelling'!$B$3)</f>
        <v>644.83100000000013</v>
      </c>
      <c r="AC565">
        <f>ROUNDUP(S565*(1+'Scenario Modelling'!$B$4),0)</f>
        <v>16</v>
      </c>
      <c r="AD565">
        <f t="shared" si="79"/>
        <v>10844.30464</v>
      </c>
      <c r="AE565">
        <f t="shared" si="80"/>
        <v>527.00863999999819</v>
      </c>
    </row>
    <row r="566" spans="1:31" x14ac:dyDescent="0.3">
      <c r="A566" s="36" t="s">
        <v>579</v>
      </c>
      <c r="B566" s="49">
        <v>45315</v>
      </c>
      <c r="C566" s="47" t="str">
        <f t="shared" si="73"/>
        <v>Q1-2024</v>
      </c>
      <c r="D566" s="37">
        <v>45326</v>
      </c>
      <c r="E566" s="16">
        <f t="shared" si="72"/>
        <v>11</v>
      </c>
      <c r="F566" s="38" t="s">
        <v>649</v>
      </c>
      <c r="G566" s="38" t="s">
        <v>658</v>
      </c>
      <c r="H566" s="38" t="s">
        <v>693</v>
      </c>
      <c r="I566" s="38" t="s">
        <v>704</v>
      </c>
      <c r="J566" s="38" t="s">
        <v>707</v>
      </c>
      <c r="K566" s="38" t="s">
        <v>717</v>
      </c>
      <c r="L566" s="38" t="s">
        <v>731</v>
      </c>
      <c r="M566" s="39" t="s">
        <v>1297</v>
      </c>
      <c r="N566" s="40">
        <v>525.34</v>
      </c>
      <c r="O566" s="40">
        <v>1233.79</v>
      </c>
      <c r="P566" s="30" t="str">
        <f t="shared" si="74"/>
        <v>Medium</v>
      </c>
      <c r="Q566" s="44">
        <v>0.14299999999999999</v>
      </c>
      <c r="R566" s="42" t="str">
        <f t="shared" si="75"/>
        <v>Medium</v>
      </c>
      <c r="S566" s="16">
        <v>4</v>
      </c>
      <c r="T566" s="30">
        <v>4229.4321199999995</v>
      </c>
      <c r="U566" s="30">
        <v>2101.36</v>
      </c>
      <c r="V566" s="30">
        <v>2128.0721199999994</v>
      </c>
      <c r="W566" s="30">
        <v>0.50315788494082736</v>
      </c>
      <c r="X566" t="str">
        <f t="shared" si="76"/>
        <v>Delayed</v>
      </c>
      <c r="Y566" t="str">
        <f t="shared" si="77"/>
        <v>Compliant Discount</v>
      </c>
      <c r="Z566" s="9">
        <f>MIN(Q566,'Scenario Modelling'!$B$2)</f>
        <v>0.14299999999999999</v>
      </c>
      <c r="AA566">
        <f t="shared" si="78"/>
        <v>1057.3580299999999</v>
      </c>
      <c r="AB566">
        <f>N566*(1+'Scenario Modelling'!$B$3)</f>
        <v>577.87400000000014</v>
      </c>
      <c r="AC566">
        <f>ROUNDUP(S566*(1+'Scenario Modelling'!$B$4),0)</f>
        <v>5</v>
      </c>
      <c r="AD566">
        <f t="shared" si="79"/>
        <v>5286.7901499999989</v>
      </c>
      <c r="AE566">
        <f t="shared" si="80"/>
        <v>2397.4201499999986</v>
      </c>
    </row>
    <row r="567" spans="1:31" x14ac:dyDescent="0.3">
      <c r="A567" s="31" t="s">
        <v>580</v>
      </c>
      <c r="B567" s="48">
        <v>45330</v>
      </c>
      <c r="C567" s="47" t="str">
        <f t="shared" si="73"/>
        <v>Q1-2024</v>
      </c>
      <c r="D567" s="32">
        <v>45331</v>
      </c>
      <c r="E567" s="17">
        <f t="shared" si="72"/>
        <v>1</v>
      </c>
      <c r="F567" s="33" t="s">
        <v>646</v>
      </c>
      <c r="G567" s="33" t="s">
        <v>650</v>
      </c>
      <c r="H567" s="33" t="s">
        <v>675</v>
      </c>
      <c r="I567" s="33" t="s">
        <v>701</v>
      </c>
      <c r="J567" s="33" t="s">
        <v>711</v>
      </c>
      <c r="K567" s="33" t="s">
        <v>721</v>
      </c>
      <c r="L567" s="33" t="s">
        <v>727</v>
      </c>
      <c r="M567" s="34" t="s">
        <v>1298</v>
      </c>
      <c r="N567" s="35">
        <v>1233.52</v>
      </c>
      <c r="O567" s="35">
        <v>1543.76</v>
      </c>
      <c r="P567" s="30" t="str">
        <f t="shared" si="74"/>
        <v>Medium</v>
      </c>
      <c r="Q567" s="43">
        <v>0.126</v>
      </c>
      <c r="R567" s="42" t="str">
        <f t="shared" si="75"/>
        <v>Medium</v>
      </c>
      <c r="S567" s="17">
        <v>13</v>
      </c>
      <c r="T567" s="30">
        <v>17540.201120000002</v>
      </c>
      <c r="U567" s="30">
        <v>16035.76</v>
      </c>
      <c r="V567" s="30">
        <v>1504.4411200000013</v>
      </c>
      <c r="W567" s="30">
        <v>8.5771030201277493E-2</v>
      </c>
      <c r="X567" t="str">
        <f t="shared" si="76"/>
        <v>On-time</v>
      </c>
      <c r="Y567" t="str">
        <f t="shared" si="77"/>
        <v>Compliant Discount</v>
      </c>
      <c r="Z567" s="9">
        <f>MIN(Q567,'Scenario Modelling'!$B$2)</f>
        <v>0.126</v>
      </c>
      <c r="AA567">
        <f t="shared" si="78"/>
        <v>1349.2462399999999</v>
      </c>
      <c r="AB567">
        <f>N567*(1+'Scenario Modelling'!$B$3)</f>
        <v>1356.8720000000001</v>
      </c>
      <c r="AC567">
        <f>ROUNDUP(S567*(1+'Scenario Modelling'!$B$4),0)</f>
        <v>14</v>
      </c>
      <c r="AD567">
        <f t="shared" si="79"/>
        <v>18889.447359999998</v>
      </c>
      <c r="AE567">
        <f t="shared" si="80"/>
        <v>-106.76064000000179</v>
      </c>
    </row>
    <row r="568" spans="1:31" x14ac:dyDescent="0.3">
      <c r="A568" s="36" t="s">
        <v>581</v>
      </c>
      <c r="B568" s="49">
        <v>45834</v>
      </c>
      <c r="C568" s="47" t="str">
        <f t="shared" si="73"/>
        <v>Q2-2025</v>
      </c>
      <c r="D568" s="37">
        <v>45849</v>
      </c>
      <c r="E568" s="16">
        <f t="shared" si="72"/>
        <v>15</v>
      </c>
      <c r="F568" s="38" t="s">
        <v>646</v>
      </c>
      <c r="G568" s="38" t="s">
        <v>651</v>
      </c>
      <c r="H568" s="38" t="s">
        <v>663</v>
      </c>
      <c r="I568" s="38" t="s">
        <v>705</v>
      </c>
      <c r="J568" s="38" t="s">
        <v>708</v>
      </c>
      <c r="K568" s="38" t="s">
        <v>720</v>
      </c>
      <c r="L568" s="38" t="s">
        <v>731</v>
      </c>
      <c r="M568" s="39" t="s">
        <v>1299</v>
      </c>
      <c r="N568" s="40">
        <v>1170.1500000000001</v>
      </c>
      <c r="O568" s="40">
        <v>2115.19</v>
      </c>
      <c r="P568" s="30" t="str">
        <f t="shared" si="74"/>
        <v>High</v>
      </c>
      <c r="Q568" s="44">
        <v>9.1999999999999998E-2</v>
      </c>
      <c r="R568" s="42" t="str">
        <f t="shared" si="75"/>
        <v>Low</v>
      </c>
      <c r="S568" s="16">
        <v>23</v>
      </c>
      <c r="T568" s="30">
        <v>44173.627960000005</v>
      </c>
      <c r="U568" s="30">
        <v>26913.45</v>
      </c>
      <c r="V568" s="30">
        <v>17260.177960000005</v>
      </c>
      <c r="W568" s="30">
        <v>0.39073489674946776</v>
      </c>
      <c r="X568" t="str">
        <f t="shared" si="76"/>
        <v>Delayed</v>
      </c>
      <c r="Y568" t="str">
        <f t="shared" si="77"/>
        <v>Compliant Discount</v>
      </c>
      <c r="Z568" s="9">
        <f>MIN(Q568,'Scenario Modelling'!$B$2)</f>
        <v>9.1999999999999998E-2</v>
      </c>
      <c r="AA568">
        <f t="shared" si="78"/>
        <v>1920.5925200000001</v>
      </c>
      <c r="AB568">
        <f>N568*(1+'Scenario Modelling'!$B$3)</f>
        <v>1287.1650000000002</v>
      </c>
      <c r="AC568">
        <f>ROUNDUP(S568*(1+'Scenario Modelling'!$B$4),0)</f>
        <v>25</v>
      </c>
      <c r="AD568">
        <f t="shared" si="79"/>
        <v>48014.813000000002</v>
      </c>
      <c r="AE568">
        <f t="shared" si="80"/>
        <v>15835.687999999998</v>
      </c>
    </row>
    <row r="569" spans="1:31" x14ac:dyDescent="0.3">
      <c r="A569" s="31" t="s">
        <v>582</v>
      </c>
      <c r="B569" s="48">
        <v>45600</v>
      </c>
      <c r="C569" s="47" t="str">
        <f t="shared" si="73"/>
        <v>Q4-2024</v>
      </c>
      <c r="D569" s="32">
        <v>45603</v>
      </c>
      <c r="E569" s="17">
        <f t="shared" si="72"/>
        <v>3</v>
      </c>
      <c r="F569" s="33" t="s">
        <v>649</v>
      </c>
      <c r="G569" s="33" t="s">
        <v>657</v>
      </c>
      <c r="H569" s="33" t="s">
        <v>679</v>
      </c>
      <c r="I569" s="33" t="s">
        <v>701</v>
      </c>
      <c r="J569" s="33" t="s">
        <v>708</v>
      </c>
      <c r="K569" s="33" t="s">
        <v>719</v>
      </c>
      <c r="L569" s="33" t="s">
        <v>732</v>
      </c>
      <c r="M569" s="34" t="s">
        <v>1300</v>
      </c>
      <c r="N569" s="35">
        <v>740.68</v>
      </c>
      <c r="O569" s="35">
        <v>1837.19</v>
      </c>
      <c r="P569" s="30" t="str">
        <f t="shared" si="74"/>
        <v>High</v>
      </c>
      <c r="Q569" s="43">
        <v>0.19700000000000001</v>
      </c>
      <c r="R569" s="42" t="str">
        <f t="shared" si="75"/>
        <v>Medium</v>
      </c>
      <c r="S569" s="17">
        <v>17</v>
      </c>
      <c r="T569" s="30">
        <v>25079.480689999997</v>
      </c>
      <c r="U569" s="30">
        <v>12591.56</v>
      </c>
      <c r="V569" s="30">
        <v>12487.920689999997</v>
      </c>
      <c r="W569" s="30">
        <v>0.4979337827748298</v>
      </c>
      <c r="X569" t="str">
        <f t="shared" si="76"/>
        <v>On-time</v>
      </c>
      <c r="Y569" t="str">
        <f t="shared" si="77"/>
        <v>Compliant Discount</v>
      </c>
      <c r="Z569" s="9">
        <f>MIN(Q569,'Scenario Modelling'!$B$2)</f>
        <v>0.19700000000000001</v>
      </c>
      <c r="AA569">
        <f t="shared" si="78"/>
        <v>1475.2635699999998</v>
      </c>
      <c r="AB569">
        <f>N569*(1+'Scenario Modelling'!$B$3)</f>
        <v>814.74800000000005</v>
      </c>
      <c r="AC569">
        <f>ROUNDUP(S569*(1+'Scenario Modelling'!$B$4),0)</f>
        <v>18</v>
      </c>
      <c r="AD569">
        <f t="shared" si="79"/>
        <v>26554.744259999996</v>
      </c>
      <c r="AE569">
        <f t="shared" si="80"/>
        <v>11889.280259999996</v>
      </c>
    </row>
    <row r="570" spans="1:31" x14ac:dyDescent="0.3">
      <c r="A570" s="36" t="s">
        <v>583</v>
      </c>
      <c r="B570" s="49">
        <v>45342</v>
      </c>
      <c r="C570" s="47" t="str">
        <f t="shared" si="73"/>
        <v>Q1-2024</v>
      </c>
      <c r="D570" s="37">
        <v>45342</v>
      </c>
      <c r="E570" s="16">
        <f t="shared" si="72"/>
        <v>0</v>
      </c>
      <c r="F570" s="38" t="s">
        <v>648</v>
      </c>
      <c r="G570" s="38" t="s">
        <v>660</v>
      </c>
      <c r="H570" s="38" t="s">
        <v>700</v>
      </c>
      <c r="I570" s="38" t="s">
        <v>706</v>
      </c>
      <c r="J570" s="38" t="s">
        <v>708</v>
      </c>
      <c r="K570" s="38" t="s">
        <v>712</v>
      </c>
      <c r="L570" s="38" t="s">
        <v>729</v>
      </c>
      <c r="M570" s="39" t="s">
        <v>1301</v>
      </c>
      <c r="N570" s="40">
        <v>1407.05</v>
      </c>
      <c r="O570" s="40">
        <v>2858.93</v>
      </c>
      <c r="P570" s="30" t="str">
        <f t="shared" si="74"/>
        <v>High</v>
      </c>
      <c r="Q570" s="44">
        <v>0</v>
      </c>
      <c r="R570" s="42" t="str">
        <f t="shared" si="75"/>
        <v>Low</v>
      </c>
      <c r="S570" s="16">
        <v>12</v>
      </c>
      <c r="T570" s="30">
        <v>34307.159999999996</v>
      </c>
      <c r="U570" s="30">
        <v>16884.599999999999</v>
      </c>
      <c r="V570" s="30">
        <v>17422.559999999998</v>
      </c>
      <c r="W570" s="30">
        <v>0.50784034586366222</v>
      </c>
      <c r="X570" t="str">
        <f t="shared" si="76"/>
        <v>On-time</v>
      </c>
      <c r="Y570" t="str">
        <f t="shared" si="77"/>
        <v>Compliant Discount</v>
      </c>
      <c r="Z570" s="9">
        <f>MIN(Q570,'Scenario Modelling'!$B$2)</f>
        <v>0</v>
      </c>
      <c r="AA570">
        <f t="shared" si="78"/>
        <v>2858.93</v>
      </c>
      <c r="AB570">
        <f>N570*(1+'Scenario Modelling'!$B$3)</f>
        <v>1547.7550000000001</v>
      </c>
      <c r="AC570">
        <f>ROUNDUP(S570*(1+'Scenario Modelling'!$B$4),0)</f>
        <v>13</v>
      </c>
      <c r="AD570">
        <f t="shared" si="79"/>
        <v>37166.089999999997</v>
      </c>
      <c r="AE570">
        <f t="shared" si="80"/>
        <v>17045.274999999998</v>
      </c>
    </row>
    <row r="571" spans="1:31" x14ac:dyDescent="0.3">
      <c r="A571" s="31" t="s">
        <v>584</v>
      </c>
      <c r="B571" s="48">
        <v>45760</v>
      </c>
      <c r="C571" s="47" t="str">
        <f t="shared" si="73"/>
        <v>Q2-2025</v>
      </c>
      <c r="D571" s="32">
        <v>45761</v>
      </c>
      <c r="E571" s="17">
        <f t="shared" si="72"/>
        <v>1</v>
      </c>
      <c r="F571" s="33" t="s">
        <v>647</v>
      </c>
      <c r="G571" s="33" t="s">
        <v>652</v>
      </c>
      <c r="H571" s="33" t="s">
        <v>666</v>
      </c>
      <c r="I571" s="33" t="s">
        <v>706</v>
      </c>
      <c r="J571" s="33" t="s">
        <v>708</v>
      </c>
      <c r="K571" s="33" t="s">
        <v>715</v>
      </c>
      <c r="L571" s="33" t="s">
        <v>727</v>
      </c>
      <c r="M571" s="34" t="s">
        <v>1302</v>
      </c>
      <c r="N571" s="35">
        <v>138.9</v>
      </c>
      <c r="O571" s="35">
        <v>289.92</v>
      </c>
      <c r="P571" s="30" t="str">
        <f t="shared" si="74"/>
        <v>Low</v>
      </c>
      <c r="Q571" s="43">
        <v>2.9000000000000001E-2</v>
      </c>
      <c r="R571" s="42" t="str">
        <f t="shared" si="75"/>
        <v>Low</v>
      </c>
      <c r="S571" s="17">
        <v>12</v>
      </c>
      <c r="T571" s="30">
        <v>3378.1478400000001</v>
      </c>
      <c r="U571" s="30">
        <v>1666.8000000000002</v>
      </c>
      <c r="V571" s="30">
        <v>1711.3478399999999</v>
      </c>
      <c r="W571" s="30">
        <v>0.50659353025828491</v>
      </c>
      <c r="X571" t="str">
        <f t="shared" si="76"/>
        <v>On-time</v>
      </c>
      <c r="Y571" t="str">
        <f t="shared" si="77"/>
        <v>Compliant Discount</v>
      </c>
      <c r="Z571" s="9">
        <f>MIN(Q571,'Scenario Modelling'!$B$2)</f>
        <v>2.9000000000000001E-2</v>
      </c>
      <c r="AA571">
        <f t="shared" si="78"/>
        <v>281.51231999999999</v>
      </c>
      <c r="AB571">
        <f>N571*(1+'Scenario Modelling'!$B$3)</f>
        <v>152.79000000000002</v>
      </c>
      <c r="AC571">
        <f>ROUNDUP(S571*(1+'Scenario Modelling'!$B$4),0)</f>
        <v>13</v>
      </c>
      <c r="AD571">
        <f t="shared" si="79"/>
        <v>3659.6601599999999</v>
      </c>
      <c r="AE571">
        <f t="shared" si="80"/>
        <v>1673.3901599999995</v>
      </c>
    </row>
    <row r="572" spans="1:31" x14ac:dyDescent="0.3">
      <c r="A572" s="36" t="s">
        <v>585</v>
      </c>
      <c r="B572" s="49">
        <v>45078</v>
      </c>
      <c r="C572" s="47" t="str">
        <f t="shared" si="73"/>
        <v>Q2-2023</v>
      </c>
      <c r="D572" s="37">
        <v>45078</v>
      </c>
      <c r="E572" s="16">
        <f t="shared" si="72"/>
        <v>0</v>
      </c>
      <c r="F572" s="38" t="s">
        <v>647</v>
      </c>
      <c r="G572" s="38" t="s">
        <v>654</v>
      </c>
      <c r="H572" s="38" t="s">
        <v>668</v>
      </c>
      <c r="I572" s="38" t="s">
        <v>701</v>
      </c>
      <c r="J572" s="38" t="s">
        <v>707</v>
      </c>
      <c r="K572" s="38" t="s">
        <v>718</v>
      </c>
      <c r="L572" s="38" t="s">
        <v>733</v>
      </c>
      <c r="M572" s="39" t="s">
        <v>1303</v>
      </c>
      <c r="N572" s="40">
        <v>669.37</v>
      </c>
      <c r="O572" s="40">
        <v>997.2</v>
      </c>
      <c r="P572" s="30" t="str">
        <f t="shared" si="74"/>
        <v>Medium</v>
      </c>
      <c r="Q572" s="44">
        <v>8.2000000000000003E-2</v>
      </c>
      <c r="R572" s="42" t="str">
        <f t="shared" si="75"/>
        <v>Low</v>
      </c>
      <c r="S572" s="16">
        <v>5</v>
      </c>
      <c r="T572" s="30">
        <v>4577.1480000000001</v>
      </c>
      <c r="U572" s="30">
        <v>3346.85</v>
      </c>
      <c r="V572" s="30">
        <v>1230.2980000000002</v>
      </c>
      <c r="W572" s="30">
        <v>0.26879139586484863</v>
      </c>
      <c r="X572" t="str">
        <f t="shared" si="76"/>
        <v>On-time</v>
      </c>
      <c r="Y572" t="str">
        <f t="shared" si="77"/>
        <v>Compliant Discount</v>
      </c>
      <c r="Z572" s="9">
        <f>MIN(Q572,'Scenario Modelling'!$B$2)</f>
        <v>8.2000000000000003E-2</v>
      </c>
      <c r="AA572">
        <f t="shared" si="78"/>
        <v>915.42960000000005</v>
      </c>
      <c r="AB572">
        <f>N572*(1+'Scenario Modelling'!$B$3)</f>
        <v>736.30700000000002</v>
      </c>
      <c r="AC572">
        <f>ROUNDUP(S572*(1+'Scenario Modelling'!$B$4),0)</f>
        <v>6</v>
      </c>
      <c r="AD572">
        <f t="shared" si="79"/>
        <v>5492.5776000000005</v>
      </c>
      <c r="AE572">
        <f t="shared" si="80"/>
        <v>1074.7356000000002</v>
      </c>
    </row>
    <row r="573" spans="1:31" x14ac:dyDescent="0.3">
      <c r="A573" s="31" t="s">
        <v>586</v>
      </c>
      <c r="B573" s="48">
        <v>45740</v>
      </c>
      <c r="C573" s="47" t="str">
        <f t="shared" si="73"/>
        <v>Q1-2025</v>
      </c>
      <c r="D573" s="32">
        <v>45751</v>
      </c>
      <c r="E573" s="17">
        <f t="shared" si="72"/>
        <v>11</v>
      </c>
      <c r="F573" s="33" t="s">
        <v>647</v>
      </c>
      <c r="G573" s="33" t="s">
        <v>654</v>
      </c>
      <c r="H573" s="33" t="s">
        <v>691</v>
      </c>
      <c r="I573" s="33" t="s">
        <v>702</v>
      </c>
      <c r="J573" s="33" t="s">
        <v>709</v>
      </c>
      <c r="K573" s="33" t="s">
        <v>713</v>
      </c>
      <c r="L573" s="33" t="s">
        <v>730</v>
      </c>
      <c r="M573" s="34" t="s">
        <v>1304</v>
      </c>
      <c r="N573" s="35">
        <v>23.83</v>
      </c>
      <c r="O573" s="35">
        <v>47.29</v>
      </c>
      <c r="P573" s="30" t="str">
        <f t="shared" si="74"/>
        <v>Low</v>
      </c>
      <c r="Q573" s="43">
        <v>6.4000000000000001E-2</v>
      </c>
      <c r="R573" s="42" t="str">
        <f t="shared" si="75"/>
        <v>Low</v>
      </c>
      <c r="S573" s="17">
        <v>19</v>
      </c>
      <c r="T573" s="30">
        <v>841.00536</v>
      </c>
      <c r="U573" s="30">
        <v>452.77</v>
      </c>
      <c r="V573" s="30">
        <v>388.23536000000001</v>
      </c>
      <c r="W573" s="30">
        <v>0.46163244429262618</v>
      </c>
      <c r="X573" t="str">
        <f t="shared" si="76"/>
        <v>Delayed</v>
      </c>
      <c r="Y573" t="str">
        <f t="shared" si="77"/>
        <v>Compliant Discount</v>
      </c>
      <c r="Z573" s="9">
        <f>MIN(Q573,'Scenario Modelling'!$B$2)</f>
        <v>6.4000000000000001E-2</v>
      </c>
      <c r="AA573">
        <f t="shared" si="78"/>
        <v>44.263439999999996</v>
      </c>
      <c r="AB573">
        <f>N573*(1+'Scenario Modelling'!$B$3)</f>
        <v>26.213000000000001</v>
      </c>
      <c r="AC573">
        <f>ROUNDUP(S573*(1+'Scenario Modelling'!$B$4),0)</f>
        <v>20</v>
      </c>
      <c r="AD573">
        <f t="shared" si="79"/>
        <v>885.26879999999994</v>
      </c>
      <c r="AE573">
        <f t="shared" si="80"/>
        <v>361.00879999999989</v>
      </c>
    </row>
    <row r="574" spans="1:31" x14ac:dyDescent="0.3">
      <c r="A574" s="36" t="s">
        <v>587</v>
      </c>
      <c r="B574" s="49">
        <v>45293</v>
      </c>
      <c r="C574" s="47" t="str">
        <f t="shared" si="73"/>
        <v>Q1-2024</v>
      </c>
      <c r="D574" s="37">
        <v>45293</v>
      </c>
      <c r="E574" s="16">
        <f t="shared" si="72"/>
        <v>0</v>
      </c>
      <c r="F574" s="38" t="s">
        <v>648</v>
      </c>
      <c r="G574" s="38" t="s">
        <v>653</v>
      </c>
      <c r="H574" s="38" t="s">
        <v>688</v>
      </c>
      <c r="I574" s="38" t="s">
        <v>702</v>
      </c>
      <c r="J574" s="38" t="s">
        <v>711</v>
      </c>
      <c r="K574" s="38" t="s">
        <v>720</v>
      </c>
      <c r="L574" s="38" t="s">
        <v>731</v>
      </c>
      <c r="M574" s="39" t="s">
        <v>1305</v>
      </c>
      <c r="N574" s="40">
        <v>444.41</v>
      </c>
      <c r="O574" s="40">
        <v>754.24</v>
      </c>
      <c r="P574" s="30" t="str">
        <f t="shared" si="74"/>
        <v>Low</v>
      </c>
      <c r="Q574" s="44">
        <v>0.20699999999999999</v>
      </c>
      <c r="R574" s="42" t="str">
        <f t="shared" si="75"/>
        <v>High</v>
      </c>
      <c r="S574" s="16">
        <v>32</v>
      </c>
      <c r="T574" s="30">
        <v>19139.594240000002</v>
      </c>
      <c r="U574" s="30">
        <v>14221.12</v>
      </c>
      <c r="V574" s="30">
        <v>4918.4742400000014</v>
      </c>
      <c r="W574" s="30">
        <v>0.25697902360546598</v>
      </c>
      <c r="X574" t="str">
        <f t="shared" si="76"/>
        <v>On-time</v>
      </c>
      <c r="Y574" t="str">
        <f t="shared" si="77"/>
        <v>Non-compliant Discount</v>
      </c>
      <c r="Z574" s="9">
        <f>MIN(Q574,'Scenario Modelling'!$B$2)</f>
        <v>0.2</v>
      </c>
      <c r="AA574">
        <f t="shared" si="78"/>
        <v>603.39200000000005</v>
      </c>
      <c r="AB574">
        <f>N574*(1+'Scenario Modelling'!$B$3)</f>
        <v>488.85100000000006</v>
      </c>
      <c r="AC574">
        <f>ROUNDUP(S574*(1+'Scenario Modelling'!$B$4),0)</f>
        <v>34</v>
      </c>
      <c r="AD574">
        <f t="shared" si="79"/>
        <v>20515.328000000001</v>
      </c>
      <c r="AE574">
        <f t="shared" si="80"/>
        <v>3894.3939999999998</v>
      </c>
    </row>
    <row r="575" spans="1:31" x14ac:dyDescent="0.3">
      <c r="A575" s="31" t="s">
        <v>588</v>
      </c>
      <c r="B575" s="48">
        <v>45279</v>
      </c>
      <c r="C575" s="47" t="str">
        <f t="shared" si="73"/>
        <v>Q4-2023</v>
      </c>
      <c r="D575" s="32">
        <v>45292</v>
      </c>
      <c r="E575" s="17">
        <f t="shared" si="72"/>
        <v>13</v>
      </c>
      <c r="F575" s="33" t="s">
        <v>648</v>
      </c>
      <c r="G575" s="33" t="s">
        <v>653</v>
      </c>
      <c r="H575" s="33" t="s">
        <v>667</v>
      </c>
      <c r="I575" s="33" t="s">
        <v>706</v>
      </c>
      <c r="J575" s="33" t="s">
        <v>707</v>
      </c>
      <c r="K575" s="33" t="s">
        <v>723</v>
      </c>
      <c r="L575" s="33" t="s">
        <v>732</v>
      </c>
      <c r="M575" s="34" t="s">
        <v>1306</v>
      </c>
      <c r="N575" s="35">
        <v>856.1</v>
      </c>
      <c r="O575" s="35">
        <v>901.48</v>
      </c>
      <c r="P575" s="30" t="str">
        <f t="shared" si="74"/>
        <v>Medium</v>
      </c>
      <c r="Q575" s="43">
        <v>5.6000000000000001E-2</v>
      </c>
      <c r="R575" s="42" t="str">
        <f t="shared" si="75"/>
        <v>Low</v>
      </c>
      <c r="S575" s="17">
        <v>17</v>
      </c>
      <c r="T575" s="30">
        <v>14466.95104</v>
      </c>
      <c r="U575" s="30">
        <v>14553.7</v>
      </c>
      <c r="V575" s="30">
        <v>-86.748960000000807</v>
      </c>
      <c r="W575" s="30">
        <v>-5.9963540182134192E-3</v>
      </c>
      <c r="X575" t="str">
        <f t="shared" si="76"/>
        <v>Delayed</v>
      </c>
      <c r="Y575" t="str">
        <f t="shared" si="77"/>
        <v>Compliant Discount</v>
      </c>
      <c r="Z575" s="9">
        <f>MIN(Q575,'Scenario Modelling'!$B$2)</f>
        <v>5.6000000000000001E-2</v>
      </c>
      <c r="AA575">
        <f t="shared" si="78"/>
        <v>850.99712</v>
      </c>
      <c r="AB575">
        <f>N575*(1+'Scenario Modelling'!$B$3)</f>
        <v>941.71000000000015</v>
      </c>
      <c r="AC575">
        <f>ROUNDUP(S575*(1+'Scenario Modelling'!$B$4),0)</f>
        <v>18</v>
      </c>
      <c r="AD575">
        <f t="shared" si="79"/>
        <v>15317.94816</v>
      </c>
      <c r="AE575">
        <f t="shared" si="80"/>
        <v>-1632.8318400000028</v>
      </c>
    </row>
    <row r="576" spans="1:31" x14ac:dyDescent="0.3">
      <c r="A576" s="36" t="s">
        <v>589</v>
      </c>
      <c r="B576" s="49">
        <v>45042</v>
      </c>
      <c r="C576" s="47" t="str">
        <f t="shared" si="73"/>
        <v>Q2-2023</v>
      </c>
      <c r="D576" s="37">
        <v>45042</v>
      </c>
      <c r="E576" s="16">
        <f t="shared" si="72"/>
        <v>0</v>
      </c>
      <c r="F576" s="38" t="s">
        <v>649</v>
      </c>
      <c r="G576" s="38" t="s">
        <v>657</v>
      </c>
      <c r="H576" s="38" t="s">
        <v>673</v>
      </c>
      <c r="I576" s="38" t="s">
        <v>704</v>
      </c>
      <c r="J576" s="38" t="s">
        <v>711</v>
      </c>
      <c r="K576" s="38" t="s">
        <v>724</v>
      </c>
      <c r="L576" s="38" t="s">
        <v>727</v>
      </c>
      <c r="M576" s="39" t="s">
        <v>1307</v>
      </c>
      <c r="N576" s="40">
        <v>81.489999999999995</v>
      </c>
      <c r="O576" s="40">
        <v>113.08</v>
      </c>
      <c r="P576" s="30" t="str">
        <f t="shared" si="74"/>
        <v>Low</v>
      </c>
      <c r="Q576" s="44">
        <v>0.121</v>
      </c>
      <c r="R576" s="42" t="str">
        <f t="shared" si="75"/>
        <v>Medium</v>
      </c>
      <c r="S576" s="16">
        <v>5</v>
      </c>
      <c r="T576" s="30">
        <v>496.98660000000001</v>
      </c>
      <c r="U576" s="30">
        <v>407.45</v>
      </c>
      <c r="V576" s="30">
        <v>89.536600000000021</v>
      </c>
      <c r="W576" s="30">
        <v>0.18015898215364362</v>
      </c>
      <c r="X576" t="str">
        <f t="shared" si="76"/>
        <v>On-time</v>
      </c>
      <c r="Y576" t="str">
        <f t="shared" si="77"/>
        <v>Compliant Discount</v>
      </c>
      <c r="Z576" s="9">
        <f>MIN(Q576,'Scenario Modelling'!$B$2)</f>
        <v>0.121</v>
      </c>
      <c r="AA576">
        <f t="shared" si="78"/>
        <v>99.397319999999993</v>
      </c>
      <c r="AB576">
        <f>N576*(1+'Scenario Modelling'!$B$3)</f>
        <v>89.638999999999996</v>
      </c>
      <c r="AC576">
        <f>ROUNDUP(S576*(1+'Scenario Modelling'!$B$4),0)</f>
        <v>6</v>
      </c>
      <c r="AD576">
        <f t="shared" si="79"/>
        <v>596.38391999999999</v>
      </c>
      <c r="AE576">
        <f t="shared" si="80"/>
        <v>58.549919999999986</v>
      </c>
    </row>
    <row r="577" spans="1:31" x14ac:dyDescent="0.3">
      <c r="A577" s="31" t="s">
        <v>590</v>
      </c>
      <c r="B577" s="48">
        <v>45872</v>
      </c>
      <c r="C577" s="47" t="str">
        <f t="shared" si="73"/>
        <v>Q3-2025</v>
      </c>
      <c r="D577" s="32">
        <v>45885</v>
      </c>
      <c r="E577" s="17">
        <f t="shared" si="72"/>
        <v>13</v>
      </c>
      <c r="F577" s="33" t="s">
        <v>648</v>
      </c>
      <c r="G577" s="33" t="s">
        <v>653</v>
      </c>
      <c r="H577" s="33" t="s">
        <v>681</v>
      </c>
      <c r="I577" s="33" t="s">
        <v>706</v>
      </c>
      <c r="J577" s="33" t="s">
        <v>710</v>
      </c>
      <c r="K577" s="33" t="s">
        <v>719</v>
      </c>
      <c r="L577" s="33" t="s">
        <v>729</v>
      </c>
      <c r="M577" s="34" t="s">
        <v>1308</v>
      </c>
      <c r="N577" s="35">
        <v>698.66</v>
      </c>
      <c r="O577" s="35">
        <v>868.62</v>
      </c>
      <c r="P577" s="30" t="str">
        <f t="shared" si="74"/>
        <v>Medium</v>
      </c>
      <c r="Q577" s="43">
        <v>7.1999999999999995E-2</v>
      </c>
      <c r="R577" s="42" t="str">
        <f t="shared" si="75"/>
        <v>Low</v>
      </c>
      <c r="S577" s="17">
        <v>15</v>
      </c>
      <c r="T577" s="30">
        <v>12091.190399999999</v>
      </c>
      <c r="U577" s="30">
        <v>10479.9</v>
      </c>
      <c r="V577" s="30">
        <v>1611.2903999999999</v>
      </c>
      <c r="W577" s="30">
        <v>0.13326151906432637</v>
      </c>
      <c r="X577" t="str">
        <f t="shared" si="76"/>
        <v>Delayed</v>
      </c>
      <c r="Y577" t="str">
        <f t="shared" si="77"/>
        <v>Compliant Discount</v>
      </c>
      <c r="Z577" s="9">
        <f>MIN(Q577,'Scenario Modelling'!$B$2)</f>
        <v>7.1999999999999995E-2</v>
      </c>
      <c r="AA577">
        <f t="shared" si="78"/>
        <v>806.07936000000007</v>
      </c>
      <c r="AB577">
        <f>N577*(1+'Scenario Modelling'!$B$3)</f>
        <v>768.52600000000007</v>
      </c>
      <c r="AC577">
        <f>ROUNDUP(S577*(1+'Scenario Modelling'!$B$4),0)</f>
        <v>16</v>
      </c>
      <c r="AD577">
        <f t="shared" si="79"/>
        <v>12897.269760000001</v>
      </c>
      <c r="AE577">
        <f t="shared" si="80"/>
        <v>600.85375999999997</v>
      </c>
    </row>
    <row r="578" spans="1:31" x14ac:dyDescent="0.3">
      <c r="A578" s="36" t="s">
        <v>591</v>
      </c>
      <c r="B578" s="49">
        <v>45140</v>
      </c>
      <c r="C578" s="47" t="str">
        <f t="shared" si="73"/>
        <v>Q3-2023</v>
      </c>
      <c r="D578" s="37">
        <v>45157</v>
      </c>
      <c r="E578" s="16">
        <f t="shared" ref="E578:E632" si="81">D578-B578</f>
        <v>17</v>
      </c>
      <c r="F578" s="38" t="s">
        <v>648</v>
      </c>
      <c r="G578" s="38" t="s">
        <v>653</v>
      </c>
      <c r="H578" s="38" t="s">
        <v>688</v>
      </c>
      <c r="I578" s="38" t="s">
        <v>701</v>
      </c>
      <c r="J578" s="38" t="s">
        <v>708</v>
      </c>
      <c r="K578" s="38" t="s">
        <v>721</v>
      </c>
      <c r="L578" s="38" t="s">
        <v>729</v>
      </c>
      <c r="M578" s="39" t="s">
        <v>1309</v>
      </c>
      <c r="N578" s="40">
        <v>175.38</v>
      </c>
      <c r="O578" s="40">
        <v>347.9</v>
      </c>
      <c r="P578" s="30" t="str">
        <f t="shared" si="74"/>
        <v>Low</v>
      </c>
      <c r="Q578" s="44">
        <v>7.1999999999999995E-2</v>
      </c>
      <c r="R578" s="42" t="str">
        <f t="shared" si="75"/>
        <v>Low</v>
      </c>
      <c r="S578" s="16">
        <v>43</v>
      </c>
      <c r="T578" s="30">
        <v>13882.6016</v>
      </c>
      <c r="U578" s="30">
        <v>7541.34</v>
      </c>
      <c r="V578" s="30">
        <v>6341.2615999999998</v>
      </c>
      <c r="W578" s="30">
        <v>0.45677761148169804</v>
      </c>
      <c r="X578" t="str">
        <f t="shared" si="76"/>
        <v>Delayed</v>
      </c>
      <c r="Y578" t="str">
        <f t="shared" si="77"/>
        <v>Compliant Discount</v>
      </c>
      <c r="Z578" s="9">
        <f>MIN(Q578,'Scenario Modelling'!$B$2)</f>
        <v>7.1999999999999995E-2</v>
      </c>
      <c r="AA578">
        <f t="shared" si="78"/>
        <v>322.85120000000001</v>
      </c>
      <c r="AB578">
        <f>N578*(1+'Scenario Modelling'!$B$3)</f>
        <v>192.91800000000001</v>
      </c>
      <c r="AC578">
        <f>ROUNDUP(S578*(1+'Scenario Modelling'!$B$4),0)</f>
        <v>46</v>
      </c>
      <c r="AD578">
        <f t="shared" si="79"/>
        <v>14851.155200000001</v>
      </c>
      <c r="AE578">
        <f t="shared" si="80"/>
        <v>5976.9272000000001</v>
      </c>
    </row>
    <row r="579" spans="1:31" x14ac:dyDescent="0.3">
      <c r="A579" s="31" t="s">
        <v>592</v>
      </c>
      <c r="B579" s="48">
        <v>45092</v>
      </c>
      <c r="C579" s="47" t="str">
        <f t="shared" ref="C579:C632" si="82">"Q"&amp;ROUNDUP(MONTH(B579)/3,0)&amp;"-"&amp;YEAR(B579)</f>
        <v>Q2-2023</v>
      </c>
      <c r="D579" s="32">
        <v>45119</v>
      </c>
      <c r="E579" s="17">
        <f t="shared" si="81"/>
        <v>27</v>
      </c>
      <c r="F579" s="33" t="s">
        <v>649</v>
      </c>
      <c r="G579" s="33" t="s">
        <v>658</v>
      </c>
      <c r="H579" s="33" t="s">
        <v>693</v>
      </c>
      <c r="I579" s="33" t="s">
        <v>704</v>
      </c>
      <c r="J579" s="33" t="s">
        <v>711</v>
      </c>
      <c r="K579" s="33" t="s">
        <v>714</v>
      </c>
      <c r="L579" s="33" t="s">
        <v>733</v>
      </c>
      <c r="M579" s="34" t="s">
        <v>1310</v>
      </c>
      <c r="N579" s="35">
        <v>751.28</v>
      </c>
      <c r="O579" s="35">
        <v>1111.8800000000001</v>
      </c>
      <c r="P579" s="30" t="str">
        <f t="shared" ref="P579:P632" si="83">IF(O579&lt;=_xlfn.PERCENTILE.INC(IF(L579:L1209=L579, O579:O1209), 0.33), "Low", IF(O579&lt;=_xlfn.PERCENTILE.INC(IF(L579:L1209=L579, O579:O1209), 0.66), "Medium", IF(O579 &gt; _xlfn.PERCENTILE.INC(IF(L579:L1209=L579, O579:O1209), 0.66), "High")))</f>
        <v>Medium</v>
      </c>
      <c r="Q579" s="43">
        <v>0.13500000000000001</v>
      </c>
      <c r="R579" s="42" t="str">
        <f t="shared" ref="R579:R632" si="84">IF(Q579&lt;=0.1,"Low",IF(Q579&gt;0.2,"High","Medium"))</f>
        <v>Medium</v>
      </c>
      <c r="S579" s="17">
        <v>7</v>
      </c>
      <c r="T579" s="30">
        <v>6732.4334000000008</v>
      </c>
      <c r="U579" s="30">
        <v>5258.96</v>
      </c>
      <c r="V579" s="30">
        <v>1473.4734000000008</v>
      </c>
      <c r="W579" s="30">
        <v>0.21886193482433863</v>
      </c>
      <c r="X579" t="str">
        <f t="shared" ref="X579:X632" si="85">IF(E579&lt;=7,"On-time","Delayed")</f>
        <v>Delayed</v>
      </c>
      <c r="Y579" t="str">
        <f t="shared" ref="Y579:Y632" si="86">IF(Q579&lt;=0.2, "Compliant Discount", "Non-compliant Discount")</f>
        <v>Compliant Discount</v>
      </c>
      <c r="Z579" s="9">
        <f>MIN(Q579,'Scenario Modelling'!$B$2)</f>
        <v>0.13500000000000001</v>
      </c>
      <c r="AA579">
        <f t="shared" ref="AA579:AA632" si="87">O579*(1-Z579)</f>
        <v>961.77620000000013</v>
      </c>
      <c r="AB579">
        <f>N579*(1+'Scenario Modelling'!$B$3)</f>
        <v>826.40800000000002</v>
      </c>
      <c r="AC579">
        <f>ROUNDUP(S579*(1+'Scenario Modelling'!$B$4),0)</f>
        <v>8</v>
      </c>
      <c r="AD579">
        <f t="shared" ref="AD579:AD632" si="88">AA579*AC579</f>
        <v>7694.209600000001</v>
      </c>
      <c r="AE579">
        <f t="shared" ref="AE579:AE632" si="89">(AA579-AB579)*AC579</f>
        <v>1082.9456000000009</v>
      </c>
    </row>
    <row r="580" spans="1:31" x14ac:dyDescent="0.3">
      <c r="A580" s="36" t="s">
        <v>593</v>
      </c>
      <c r="B580" s="49">
        <v>45607</v>
      </c>
      <c r="C580" s="47" t="str">
        <f t="shared" si="82"/>
        <v>Q4-2024</v>
      </c>
      <c r="D580" s="37">
        <v>45620</v>
      </c>
      <c r="E580" s="16">
        <f t="shared" si="81"/>
        <v>13</v>
      </c>
      <c r="F580" s="38" t="s">
        <v>649</v>
      </c>
      <c r="G580" s="38" t="s">
        <v>658</v>
      </c>
      <c r="H580" s="38" t="s">
        <v>683</v>
      </c>
      <c r="I580" s="38" t="s">
        <v>701</v>
      </c>
      <c r="J580" s="38" t="s">
        <v>707</v>
      </c>
      <c r="K580" s="38" t="s">
        <v>718</v>
      </c>
      <c r="L580" s="38" t="s">
        <v>729</v>
      </c>
      <c r="M580" s="39" t="s">
        <v>1311</v>
      </c>
      <c r="N580" s="40">
        <v>164.53</v>
      </c>
      <c r="O580" s="40">
        <v>327.72</v>
      </c>
      <c r="P580" s="30" t="str">
        <f t="shared" si="83"/>
        <v>Low</v>
      </c>
      <c r="Q580" s="44">
        <v>6.7000000000000004E-2</v>
      </c>
      <c r="R580" s="42" t="str">
        <f t="shared" si="84"/>
        <v>Low</v>
      </c>
      <c r="S580" s="16">
        <v>14</v>
      </c>
      <c r="T580" s="30">
        <v>4280.6786400000001</v>
      </c>
      <c r="U580" s="30">
        <v>2303.42</v>
      </c>
      <c r="V580" s="30">
        <v>1977.25864</v>
      </c>
      <c r="W580" s="30">
        <v>0.46190307805960412</v>
      </c>
      <c r="X580" t="str">
        <f t="shared" si="85"/>
        <v>Delayed</v>
      </c>
      <c r="Y580" t="str">
        <f t="shared" si="86"/>
        <v>Compliant Discount</v>
      </c>
      <c r="Z580" s="9">
        <f>MIN(Q580,'Scenario Modelling'!$B$2)</f>
        <v>6.7000000000000004E-2</v>
      </c>
      <c r="AA580">
        <f t="shared" si="87"/>
        <v>305.76276000000001</v>
      </c>
      <c r="AB580">
        <f>N580*(1+'Scenario Modelling'!$B$3)</f>
        <v>180.983</v>
      </c>
      <c r="AC580">
        <f>ROUNDUP(S580*(1+'Scenario Modelling'!$B$4),0)</f>
        <v>15</v>
      </c>
      <c r="AD580">
        <f t="shared" si="88"/>
        <v>4586.4414000000006</v>
      </c>
      <c r="AE580">
        <f t="shared" si="89"/>
        <v>1871.6964000000003</v>
      </c>
    </row>
    <row r="581" spans="1:31" x14ac:dyDescent="0.3">
      <c r="A581" s="31" t="s">
        <v>594</v>
      </c>
      <c r="B581" s="48">
        <v>45849</v>
      </c>
      <c r="C581" s="47" t="str">
        <f t="shared" si="82"/>
        <v>Q3-2025</v>
      </c>
      <c r="D581" s="32">
        <v>45872</v>
      </c>
      <c r="E581" s="17">
        <f t="shared" si="81"/>
        <v>23</v>
      </c>
      <c r="F581" s="33" t="s">
        <v>646</v>
      </c>
      <c r="G581" s="33" t="s">
        <v>650</v>
      </c>
      <c r="H581" s="33" t="s">
        <v>678</v>
      </c>
      <c r="I581" s="33" t="s">
        <v>705</v>
      </c>
      <c r="J581" s="33" t="s">
        <v>707</v>
      </c>
      <c r="K581" s="33" t="s">
        <v>712</v>
      </c>
      <c r="L581" s="33" t="s">
        <v>730</v>
      </c>
      <c r="M581" s="34" t="s">
        <v>1312</v>
      </c>
      <c r="N581" s="35">
        <v>389.93</v>
      </c>
      <c r="O581" s="35">
        <v>486.13</v>
      </c>
      <c r="P581" s="30" t="str">
        <f t="shared" si="83"/>
        <v>Low</v>
      </c>
      <c r="Q581" s="43">
        <v>0.13200000000000001</v>
      </c>
      <c r="R581" s="42" t="str">
        <f t="shared" si="84"/>
        <v>Medium</v>
      </c>
      <c r="S581" s="17">
        <v>17</v>
      </c>
      <c r="T581" s="30">
        <v>7173.3342799999991</v>
      </c>
      <c r="U581" s="30">
        <v>6628.81</v>
      </c>
      <c r="V581" s="30">
        <v>544.52427999999873</v>
      </c>
      <c r="W581" s="30">
        <v>7.5909508569562828E-2</v>
      </c>
      <c r="X581" t="str">
        <f t="shared" si="85"/>
        <v>Delayed</v>
      </c>
      <c r="Y581" t="str">
        <f t="shared" si="86"/>
        <v>Compliant Discount</v>
      </c>
      <c r="Z581" s="9">
        <f>MIN(Q581,'Scenario Modelling'!$B$2)</f>
        <v>0.13200000000000001</v>
      </c>
      <c r="AA581">
        <f t="shared" si="87"/>
        <v>421.96084000000002</v>
      </c>
      <c r="AB581">
        <f>N581*(1+'Scenario Modelling'!$B$3)</f>
        <v>428.92300000000006</v>
      </c>
      <c r="AC581">
        <f>ROUNDUP(S581*(1+'Scenario Modelling'!$B$4),0)</f>
        <v>18</v>
      </c>
      <c r="AD581">
        <f t="shared" si="88"/>
        <v>7595.2951200000007</v>
      </c>
      <c r="AE581">
        <f t="shared" si="89"/>
        <v>-125.31888000000072</v>
      </c>
    </row>
    <row r="582" spans="1:31" x14ac:dyDescent="0.3">
      <c r="A582" s="36" t="s">
        <v>595</v>
      </c>
      <c r="B582" s="49">
        <v>45080</v>
      </c>
      <c r="C582" s="47" t="str">
        <f t="shared" si="82"/>
        <v>Q2-2023</v>
      </c>
      <c r="D582" s="37">
        <v>45108</v>
      </c>
      <c r="E582" s="16">
        <f t="shared" si="81"/>
        <v>28</v>
      </c>
      <c r="F582" s="38" t="s">
        <v>648</v>
      </c>
      <c r="G582" s="38" t="s">
        <v>655</v>
      </c>
      <c r="H582" s="38" t="s">
        <v>672</v>
      </c>
      <c r="I582" s="38" t="s">
        <v>705</v>
      </c>
      <c r="J582" s="38" t="s">
        <v>709</v>
      </c>
      <c r="K582" s="38" t="s">
        <v>720</v>
      </c>
      <c r="L582" s="38" t="s">
        <v>727</v>
      </c>
      <c r="M582" s="39" t="s">
        <v>1313</v>
      </c>
      <c r="N582" s="40">
        <v>860.4</v>
      </c>
      <c r="O582" s="40">
        <v>2066.6</v>
      </c>
      <c r="P582" s="30" t="str">
        <f t="shared" si="83"/>
        <v>High</v>
      </c>
      <c r="Q582" s="44">
        <v>0.01</v>
      </c>
      <c r="R582" s="42" t="str">
        <f t="shared" si="84"/>
        <v>Low</v>
      </c>
      <c r="S582" s="16">
        <v>3</v>
      </c>
      <c r="T582" s="30">
        <v>6137.8019999999988</v>
      </c>
      <c r="U582" s="30">
        <v>2581.1999999999998</v>
      </c>
      <c r="V582" s="30">
        <v>3556.601999999999</v>
      </c>
      <c r="W582" s="30">
        <v>0.57945857491004105</v>
      </c>
      <c r="X582" t="str">
        <f t="shared" si="85"/>
        <v>Delayed</v>
      </c>
      <c r="Y582" t="str">
        <f t="shared" si="86"/>
        <v>Compliant Discount</v>
      </c>
      <c r="Z582" s="9">
        <f>MIN(Q582,'Scenario Modelling'!$B$2)</f>
        <v>0.01</v>
      </c>
      <c r="AA582">
        <f t="shared" si="87"/>
        <v>2045.934</v>
      </c>
      <c r="AB582">
        <f>N582*(1+'Scenario Modelling'!$B$3)</f>
        <v>946.44</v>
      </c>
      <c r="AC582">
        <f>ROUNDUP(S582*(1+'Scenario Modelling'!$B$4),0)</f>
        <v>4</v>
      </c>
      <c r="AD582">
        <f t="shared" si="88"/>
        <v>8183.7359999999999</v>
      </c>
      <c r="AE582">
        <f t="shared" si="89"/>
        <v>4397.9759999999997</v>
      </c>
    </row>
    <row r="583" spans="1:31" x14ac:dyDescent="0.3">
      <c r="A583" s="31" t="s">
        <v>596</v>
      </c>
      <c r="B583" s="48">
        <v>44955</v>
      </c>
      <c r="C583" s="47" t="str">
        <f t="shared" si="82"/>
        <v>Q1-2023</v>
      </c>
      <c r="D583" s="32">
        <v>44963</v>
      </c>
      <c r="E583" s="17">
        <f t="shared" si="81"/>
        <v>8</v>
      </c>
      <c r="F583" s="33" t="s">
        <v>648</v>
      </c>
      <c r="G583" s="33" t="s">
        <v>655</v>
      </c>
      <c r="H583" s="33" t="s">
        <v>672</v>
      </c>
      <c r="I583" s="33" t="s">
        <v>701</v>
      </c>
      <c r="J583" s="33" t="s">
        <v>709</v>
      </c>
      <c r="K583" s="33" t="s">
        <v>726</v>
      </c>
      <c r="L583" s="33" t="s">
        <v>732</v>
      </c>
      <c r="M583" s="34" t="s">
        <v>1314</v>
      </c>
      <c r="N583" s="35">
        <v>41.84</v>
      </c>
      <c r="O583" s="35">
        <v>86.2</v>
      </c>
      <c r="P583" s="30" t="str">
        <f t="shared" si="83"/>
        <v>Low</v>
      </c>
      <c r="Q583" s="43">
        <v>0.22600000000000001</v>
      </c>
      <c r="R583" s="42" t="str">
        <f t="shared" si="84"/>
        <v>High</v>
      </c>
      <c r="S583" s="17">
        <v>27</v>
      </c>
      <c r="T583" s="30">
        <v>1801.4076000000002</v>
      </c>
      <c r="U583" s="30">
        <v>1129.68</v>
      </c>
      <c r="V583" s="30">
        <v>671.72760000000017</v>
      </c>
      <c r="W583" s="30">
        <v>0.37289039970742882</v>
      </c>
      <c r="X583" t="str">
        <f t="shared" si="85"/>
        <v>Delayed</v>
      </c>
      <c r="Y583" t="str">
        <f t="shared" si="86"/>
        <v>Non-compliant Discount</v>
      </c>
      <c r="Z583" s="9">
        <f>MIN(Q583,'Scenario Modelling'!$B$2)</f>
        <v>0.2</v>
      </c>
      <c r="AA583">
        <f t="shared" si="87"/>
        <v>68.960000000000008</v>
      </c>
      <c r="AB583">
        <f>N583*(1+'Scenario Modelling'!$B$3)</f>
        <v>46.024000000000008</v>
      </c>
      <c r="AC583">
        <f>ROUNDUP(S583*(1+'Scenario Modelling'!$B$4),0)</f>
        <v>29</v>
      </c>
      <c r="AD583">
        <f t="shared" si="88"/>
        <v>1999.8400000000001</v>
      </c>
      <c r="AE583">
        <f t="shared" si="89"/>
        <v>665.14400000000001</v>
      </c>
    </row>
    <row r="584" spans="1:31" x14ac:dyDescent="0.3">
      <c r="A584" s="36" t="s">
        <v>597</v>
      </c>
      <c r="B584" s="49">
        <v>45541</v>
      </c>
      <c r="C584" s="47" t="str">
        <f t="shared" si="82"/>
        <v>Q3-2024</v>
      </c>
      <c r="D584" s="37">
        <v>45548</v>
      </c>
      <c r="E584" s="16">
        <f t="shared" si="81"/>
        <v>7</v>
      </c>
      <c r="F584" s="38" t="s">
        <v>647</v>
      </c>
      <c r="G584" s="38" t="s">
        <v>652</v>
      </c>
      <c r="H584" s="38" t="s">
        <v>666</v>
      </c>
      <c r="I584" s="38" t="s">
        <v>701</v>
      </c>
      <c r="J584" s="38" t="s">
        <v>711</v>
      </c>
      <c r="K584" s="38" t="s">
        <v>720</v>
      </c>
      <c r="L584" s="38" t="s">
        <v>731</v>
      </c>
      <c r="M584" s="39" t="s">
        <v>1315</v>
      </c>
      <c r="N584" s="40">
        <v>1368.17</v>
      </c>
      <c r="O584" s="40">
        <v>2307.75</v>
      </c>
      <c r="P584" s="30" t="str">
        <f t="shared" si="83"/>
        <v>High</v>
      </c>
      <c r="Q584" s="44">
        <v>0.16300000000000001</v>
      </c>
      <c r="R584" s="42" t="str">
        <f t="shared" si="84"/>
        <v>Medium</v>
      </c>
      <c r="S584" s="16">
        <v>21</v>
      </c>
      <c r="T584" s="30">
        <v>40563.321749999996</v>
      </c>
      <c r="U584" s="30">
        <v>28731.57</v>
      </c>
      <c r="V584" s="30">
        <v>11831.751749999996</v>
      </c>
      <c r="W584" s="30">
        <v>0.29168596750831921</v>
      </c>
      <c r="X584" t="str">
        <f t="shared" si="85"/>
        <v>On-time</v>
      </c>
      <c r="Y584" t="str">
        <f t="shared" si="86"/>
        <v>Compliant Discount</v>
      </c>
      <c r="Z584" s="9">
        <f>MIN(Q584,'Scenario Modelling'!$B$2)</f>
        <v>0.16300000000000001</v>
      </c>
      <c r="AA584">
        <f t="shared" si="87"/>
        <v>1931.5867499999999</v>
      </c>
      <c r="AB584">
        <f>N584*(1+'Scenario Modelling'!$B$3)</f>
        <v>1504.9870000000003</v>
      </c>
      <c r="AC584">
        <f>ROUNDUP(S584*(1+'Scenario Modelling'!$B$4),0)</f>
        <v>23</v>
      </c>
      <c r="AD584">
        <f t="shared" si="88"/>
        <v>44426.49525</v>
      </c>
      <c r="AE584">
        <f t="shared" si="89"/>
        <v>9811.7942499999917</v>
      </c>
    </row>
    <row r="585" spans="1:31" x14ac:dyDescent="0.3">
      <c r="A585" s="31" t="s">
        <v>598</v>
      </c>
      <c r="B585" s="48">
        <v>45507</v>
      </c>
      <c r="C585" s="47" t="str">
        <f t="shared" si="82"/>
        <v>Q3-2024</v>
      </c>
      <c r="D585" s="32">
        <v>45513</v>
      </c>
      <c r="E585" s="17">
        <f t="shared" si="81"/>
        <v>6</v>
      </c>
      <c r="F585" s="33" t="s">
        <v>646</v>
      </c>
      <c r="G585" s="33" t="s">
        <v>650</v>
      </c>
      <c r="H585" s="33" t="s">
        <v>675</v>
      </c>
      <c r="I585" s="33" t="s">
        <v>704</v>
      </c>
      <c r="J585" s="33" t="s">
        <v>709</v>
      </c>
      <c r="K585" s="33" t="s">
        <v>722</v>
      </c>
      <c r="L585" s="33" t="s">
        <v>731</v>
      </c>
      <c r="M585" s="34" t="s">
        <v>1316</v>
      </c>
      <c r="N585" s="35">
        <v>643.21</v>
      </c>
      <c r="O585" s="35">
        <v>1112.81</v>
      </c>
      <c r="P585" s="30" t="str">
        <f t="shared" si="83"/>
        <v>Medium</v>
      </c>
      <c r="Q585" s="43">
        <v>0.14099999999999999</v>
      </c>
      <c r="R585" s="42" t="str">
        <f t="shared" si="84"/>
        <v>Medium</v>
      </c>
      <c r="S585" s="17">
        <v>4</v>
      </c>
      <c r="T585" s="30">
        <v>3823.6151599999998</v>
      </c>
      <c r="U585" s="30">
        <v>2572.84</v>
      </c>
      <c r="V585" s="30">
        <v>1250.7751599999997</v>
      </c>
      <c r="W585" s="30">
        <v>0.32711847496702562</v>
      </c>
      <c r="X585" t="str">
        <f t="shared" si="85"/>
        <v>On-time</v>
      </c>
      <c r="Y585" t="str">
        <f t="shared" si="86"/>
        <v>Compliant Discount</v>
      </c>
      <c r="Z585" s="9">
        <f>MIN(Q585,'Scenario Modelling'!$B$2)</f>
        <v>0.14099999999999999</v>
      </c>
      <c r="AA585">
        <f t="shared" si="87"/>
        <v>955.90378999999996</v>
      </c>
      <c r="AB585">
        <f>N585*(1+'Scenario Modelling'!$B$3)</f>
        <v>707.53100000000006</v>
      </c>
      <c r="AC585">
        <f>ROUNDUP(S585*(1+'Scenario Modelling'!$B$4),0)</f>
        <v>5</v>
      </c>
      <c r="AD585">
        <f t="shared" si="88"/>
        <v>4779.5189499999997</v>
      </c>
      <c r="AE585">
        <f t="shared" si="89"/>
        <v>1241.8639499999995</v>
      </c>
    </row>
    <row r="586" spans="1:31" x14ac:dyDescent="0.3">
      <c r="A586" s="36" t="s">
        <v>599</v>
      </c>
      <c r="B586" s="49">
        <v>45764</v>
      </c>
      <c r="C586" s="47" t="str">
        <f t="shared" si="82"/>
        <v>Q2-2025</v>
      </c>
      <c r="D586" s="37">
        <v>45764</v>
      </c>
      <c r="E586" s="16">
        <f t="shared" si="81"/>
        <v>0</v>
      </c>
      <c r="F586" s="38" t="s">
        <v>648</v>
      </c>
      <c r="G586" s="38" t="s">
        <v>655</v>
      </c>
      <c r="H586" s="38" t="s">
        <v>670</v>
      </c>
      <c r="I586" s="38" t="s">
        <v>701</v>
      </c>
      <c r="J586" s="38" t="s">
        <v>710</v>
      </c>
      <c r="K586" s="38" t="s">
        <v>716</v>
      </c>
      <c r="L586" s="38" t="s">
        <v>730</v>
      </c>
      <c r="M586" s="39" t="s">
        <v>1317</v>
      </c>
      <c r="N586" s="40">
        <v>719.41</v>
      </c>
      <c r="O586" s="40">
        <v>1125.99</v>
      </c>
      <c r="P586" s="30" t="str">
        <f t="shared" si="83"/>
        <v>Medium</v>
      </c>
      <c r="Q586" s="44">
        <v>4.1000000000000002E-2</v>
      </c>
      <c r="R586" s="42" t="str">
        <f t="shared" si="84"/>
        <v>Low</v>
      </c>
      <c r="S586" s="16">
        <v>21</v>
      </c>
      <c r="T586" s="30">
        <v>22676.312610000001</v>
      </c>
      <c r="U586" s="30">
        <v>15107.609999999999</v>
      </c>
      <c r="V586" s="30">
        <v>7568.7026100000021</v>
      </c>
      <c r="W586" s="30">
        <v>0.33377131194876403</v>
      </c>
      <c r="X586" t="str">
        <f t="shared" si="85"/>
        <v>On-time</v>
      </c>
      <c r="Y586" t="str">
        <f t="shared" si="86"/>
        <v>Compliant Discount</v>
      </c>
      <c r="Z586" s="9">
        <f>MIN(Q586,'Scenario Modelling'!$B$2)</f>
        <v>4.1000000000000002E-2</v>
      </c>
      <c r="AA586">
        <f t="shared" si="87"/>
        <v>1079.8244099999999</v>
      </c>
      <c r="AB586">
        <f>N586*(1+'Scenario Modelling'!$B$3)</f>
        <v>791.351</v>
      </c>
      <c r="AC586">
        <f>ROUNDUP(S586*(1+'Scenario Modelling'!$B$4),0)</f>
        <v>23</v>
      </c>
      <c r="AD586">
        <f t="shared" si="88"/>
        <v>24835.961429999999</v>
      </c>
      <c r="AE586">
        <f t="shared" si="89"/>
        <v>6634.8884299999991</v>
      </c>
    </row>
    <row r="587" spans="1:31" x14ac:dyDescent="0.3">
      <c r="A587" s="31" t="s">
        <v>600</v>
      </c>
      <c r="B587" s="48">
        <v>45049</v>
      </c>
      <c r="C587" s="47" t="str">
        <f t="shared" si="82"/>
        <v>Q2-2023</v>
      </c>
      <c r="D587" s="32">
        <v>45062</v>
      </c>
      <c r="E587" s="17">
        <f t="shared" si="81"/>
        <v>13</v>
      </c>
      <c r="F587" s="33" t="s">
        <v>648</v>
      </c>
      <c r="G587" s="33" t="s">
        <v>660</v>
      </c>
      <c r="H587" s="33" t="s">
        <v>700</v>
      </c>
      <c r="I587" s="33" t="s">
        <v>701</v>
      </c>
      <c r="J587" s="33" t="s">
        <v>709</v>
      </c>
      <c r="K587" s="33" t="s">
        <v>716</v>
      </c>
      <c r="L587" s="33" t="s">
        <v>730</v>
      </c>
      <c r="M587" s="34" t="s">
        <v>1318</v>
      </c>
      <c r="N587" s="35">
        <v>64.5</v>
      </c>
      <c r="O587" s="35">
        <v>123.62</v>
      </c>
      <c r="P587" s="30" t="str">
        <f t="shared" si="83"/>
        <v>Low</v>
      </c>
      <c r="Q587" s="43">
        <v>0</v>
      </c>
      <c r="R587" s="42" t="str">
        <f t="shared" si="84"/>
        <v>Low</v>
      </c>
      <c r="S587" s="17">
        <v>3</v>
      </c>
      <c r="T587" s="30">
        <v>370.86</v>
      </c>
      <c r="U587" s="30">
        <v>193.5</v>
      </c>
      <c r="V587" s="30">
        <v>177.36</v>
      </c>
      <c r="W587" s="30">
        <v>0.47823976702798904</v>
      </c>
      <c r="X587" t="str">
        <f t="shared" si="85"/>
        <v>Delayed</v>
      </c>
      <c r="Y587" t="str">
        <f t="shared" si="86"/>
        <v>Compliant Discount</v>
      </c>
      <c r="Z587" s="9">
        <f>MIN(Q587,'Scenario Modelling'!$B$2)</f>
        <v>0</v>
      </c>
      <c r="AA587">
        <f t="shared" si="87"/>
        <v>123.62</v>
      </c>
      <c r="AB587">
        <f>N587*(1+'Scenario Modelling'!$B$3)</f>
        <v>70.95</v>
      </c>
      <c r="AC587">
        <f>ROUNDUP(S587*(1+'Scenario Modelling'!$B$4),0)</f>
        <v>4</v>
      </c>
      <c r="AD587">
        <f t="shared" si="88"/>
        <v>494.48</v>
      </c>
      <c r="AE587">
        <f t="shared" si="89"/>
        <v>210.68</v>
      </c>
    </row>
    <row r="588" spans="1:31" x14ac:dyDescent="0.3">
      <c r="A588" s="36" t="s">
        <v>601</v>
      </c>
      <c r="B588" s="49">
        <v>45364</v>
      </c>
      <c r="C588" s="47" t="str">
        <f t="shared" si="82"/>
        <v>Q1-2024</v>
      </c>
      <c r="D588" s="37">
        <v>45388</v>
      </c>
      <c r="E588" s="16">
        <f t="shared" si="81"/>
        <v>24</v>
      </c>
      <c r="F588" s="38" t="s">
        <v>646</v>
      </c>
      <c r="G588" s="38" t="s">
        <v>651</v>
      </c>
      <c r="H588" s="38" t="s">
        <v>669</v>
      </c>
      <c r="I588" s="38" t="s">
        <v>704</v>
      </c>
      <c r="J588" s="38" t="s">
        <v>710</v>
      </c>
      <c r="K588" s="38" t="s">
        <v>716</v>
      </c>
      <c r="L588" s="38" t="s">
        <v>727</v>
      </c>
      <c r="M588" s="39" t="s">
        <v>1319</v>
      </c>
      <c r="N588" s="40">
        <v>1232.78</v>
      </c>
      <c r="O588" s="40">
        <v>1731.75</v>
      </c>
      <c r="P588" s="30" t="str">
        <f t="shared" si="83"/>
        <v>High</v>
      </c>
      <c r="Q588" s="44">
        <v>9.2999999999999999E-2</v>
      </c>
      <c r="R588" s="42" t="str">
        <f t="shared" si="84"/>
        <v>Low</v>
      </c>
      <c r="S588" s="16">
        <v>16</v>
      </c>
      <c r="T588" s="30">
        <v>25131.155999999999</v>
      </c>
      <c r="U588" s="30">
        <v>19724.48</v>
      </c>
      <c r="V588" s="30">
        <v>5406.6759999999995</v>
      </c>
      <c r="W588" s="30">
        <v>0.21513837246484005</v>
      </c>
      <c r="X588" t="str">
        <f t="shared" si="85"/>
        <v>Delayed</v>
      </c>
      <c r="Y588" t="str">
        <f t="shared" si="86"/>
        <v>Compliant Discount</v>
      </c>
      <c r="Z588" s="9">
        <f>MIN(Q588,'Scenario Modelling'!$B$2)</f>
        <v>9.2999999999999999E-2</v>
      </c>
      <c r="AA588">
        <f t="shared" si="87"/>
        <v>1570.6972499999999</v>
      </c>
      <c r="AB588">
        <f>N588*(1+'Scenario Modelling'!$B$3)</f>
        <v>1356.058</v>
      </c>
      <c r="AC588">
        <f>ROUNDUP(S588*(1+'Scenario Modelling'!$B$4),0)</f>
        <v>17</v>
      </c>
      <c r="AD588">
        <f t="shared" si="88"/>
        <v>26701.85325</v>
      </c>
      <c r="AE588">
        <f t="shared" si="89"/>
        <v>3648.8672499999993</v>
      </c>
    </row>
    <row r="589" spans="1:31" x14ac:dyDescent="0.3">
      <c r="A589" s="31" t="s">
        <v>602</v>
      </c>
      <c r="B589" s="48">
        <v>45459</v>
      </c>
      <c r="C589" s="47" t="str">
        <f t="shared" si="82"/>
        <v>Q2-2024</v>
      </c>
      <c r="D589" s="32">
        <v>45464</v>
      </c>
      <c r="E589" s="17">
        <f t="shared" si="81"/>
        <v>5</v>
      </c>
      <c r="F589" s="33" t="s">
        <v>647</v>
      </c>
      <c r="G589" s="33" t="s">
        <v>652</v>
      </c>
      <c r="H589" s="33" t="s">
        <v>689</v>
      </c>
      <c r="I589" s="33" t="s">
        <v>705</v>
      </c>
      <c r="J589" s="33" t="s">
        <v>710</v>
      </c>
      <c r="K589" s="33" t="s">
        <v>721</v>
      </c>
      <c r="L589" s="33" t="s">
        <v>730</v>
      </c>
      <c r="M589" s="34" t="s">
        <v>1320</v>
      </c>
      <c r="N589" s="35">
        <v>1367.13</v>
      </c>
      <c r="O589" s="35">
        <v>3062.01</v>
      </c>
      <c r="P589" s="30" t="str">
        <f t="shared" si="83"/>
        <v>High</v>
      </c>
      <c r="Q589" s="43">
        <v>0.10299999999999999</v>
      </c>
      <c r="R589" s="42" t="str">
        <f t="shared" si="84"/>
        <v>Medium</v>
      </c>
      <c r="S589" s="17">
        <v>25</v>
      </c>
      <c r="T589" s="30">
        <v>68665.574250000005</v>
      </c>
      <c r="U589" s="30">
        <v>34178.25</v>
      </c>
      <c r="V589" s="30">
        <v>34487.324250000005</v>
      </c>
      <c r="W589" s="30">
        <v>0.50225057645971705</v>
      </c>
      <c r="X589" t="str">
        <f t="shared" si="85"/>
        <v>On-time</v>
      </c>
      <c r="Y589" t="str">
        <f t="shared" si="86"/>
        <v>Compliant Discount</v>
      </c>
      <c r="Z589" s="9">
        <f>MIN(Q589,'Scenario Modelling'!$B$2)</f>
        <v>0.10299999999999999</v>
      </c>
      <c r="AA589">
        <f t="shared" si="87"/>
        <v>2746.6229700000004</v>
      </c>
      <c r="AB589">
        <f>N589*(1+'Scenario Modelling'!$B$3)</f>
        <v>1503.8430000000003</v>
      </c>
      <c r="AC589">
        <f>ROUNDUP(S589*(1+'Scenario Modelling'!$B$4),0)</f>
        <v>27</v>
      </c>
      <c r="AD589">
        <f t="shared" si="88"/>
        <v>74158.820190000013</v>
      </c>
      <c r="AE589">
        <f t="shared" si="89"/>
        <v>33555.05919</v>
      </c>
    </row>
    <row r="590" spans="1:31" x14ac:dyDescent="0.3">
      <c r="A590" s="36" t="s">
        <v>603</v>
      </c>
      <c r="B590" s="49">
        <v>45703</v>
      </c>
      <c r="C590" s="47" t="str">
        <f t="shared" si="82"/>
        <v>Q1-2025</v>
      </c>
      <c r="D590" s="37">
        <v>45715</v>
      </c>
      <c r="E590" s="16">
        <f t="shared" si="81"/>
        <v>12</v>
      </c>
      <c r="F590" s="38" t="s">
        <v>649</v>
      </c>
      <c r="G590" s="38" t="s">
        <v>657</v>
      </c>
      <c r="H590" s="38" t="s">
        <v>679</v>
      </c>
      <c r="I590" s="38" t="s">
        <v>703</v>
      </c>
      <c r="J590" s="38" t="s">
        <v>711</v>
      </c>
      <c r="K590" s="38" t="s">
        <v>723</v>
      </c>
      <c r="L590" s="38" t="s">
        <v>733</v>
      </c>
      <c r="M590" s="39" t="s">
        <v>1321</v>
      </c>
      <c r="N590" s="40">
        <v>1027.26</v>
      </c>
      <c r="O590" s="40">
        <v>2200.41</v>
      </c>
      <c r="P590" s="30" t="str">
        <f t="shared" si="83"/>
        <v>High</v>
      </c>
      <c r="Q590" s="44">
        <v>8.7999999999999995E-2</v>
      </c>
      <c r="R590" s="42" t="str">
        <f t="shared" si="84"/>
        <v>Low</v>
      </c>
      <c r="S590" s="16">
        <v>6</v>
      </c>
      <c r="T590" s="30">
        <v>12040.64352</v>
      </c>
      <c r="U590" s="30">
        <v>6163.5599999999995</v>
      </c>
      <c r="V590" s="30">
        <v>5877.0835200000001</v>
      </c>
      <c r="W590" s="30">
        <v>0.48810377204822358</v>
      </c>
      <c r="X590" t="str">
        <f t="shared" si="85"/>
        <v>Delayed</v>
      </c>
      <c r="Y590" t="str">
        <f t="shared" si="86"/>
        <v>Compliant Discount</v>
      </c>
      <c r="Z590" s="9">
        <f>MIN(Q590,'Scenario Modelling'!$B$2)</f>
        <v>8.7999999999999995E-2</v>
      </c>
      <c r="AA590">
        <f t="shared" si="87"/>
        <v>2006.7739199999999</v>
      </c>
      <c r="AB590">
        <f>N590*(1+'Scenario Modelling'!$B$3)</f>
        <v>1129.9860000000001</v>
      </c>
      <c r="AC590">
        <f>ROUNDUP(S590*(1+'Scenario Modelling'!$B$4),0)</f>
        <v>7</v>
      </c>
      <c r="AD590">
        <f t="shared" si="88"/>
        <v>14047.417439999999</v>
      </c>
      <c r="AE590">
        <f t="shared" si="89"/>
        <v>6137.5154399999983</v>
      </c>
    </row>
    <row r="591" spans="1:31" x14ac:dyDescent="0.3">
      <c r="A591" s="31" t="s">
        <v>604</v>
      </c>
      <c r="B591" s="48">
        <v>45019</v>
      </c>
      <c r="C591" s="47" t="str">
        <f t="shared" si="82"/>
        <v>Q2-2023</v>
      </c>
      <c r="D591" s="32">
        <v>45032</v>
      </c>
      <c r="E591" s="17">
        <f t="shared" si="81"/>
        <v>13</v>
      </c>
      <c r="F591" s="33" t="s">
        <v>649</v>
      </c>
      <c r="G591" s="33" t="s">
        <v>657</v>
      </c>
      <c r="H591" s="33" t="s">
        <v>673</v>
      </c>
      <c r="I591" s="33" t="s">
        <v>703</v>
      </c>
      <c r="J591" s="33" t="s">
        <v>709</v>
      </c>
      <c r="K591" s="33" t="s">
        <v>724</v>
      </c>
      <c r="L591" s="33" t="s">
        <v>733</v>
      </c>
      <c r="M591" s="34" t="s">
        <v>1322</v>
      </c>
      <c r="N591" s="35">
        <v>790.54</v>
      </c>
      <c r="O591" s="35">
        <v>601.49</v>
      </c>
      <c r="P591" s="30" t="str">
        <f t="shared" si="83"/>
        <v>Low</v>
      </c>
      <c r="Q591" s="43">
        <v>0</v>
      </c>
      <c r="R591" s="42" t="str">
        <f t="shared" si="84"/>
        <v>Low</v>
      </c>
      <c r="S591" s="17">
        <v>15</v>
      </c>
      <c r="T591" s="30">
        <v>9022.35</v>
      </c>
      <c r="U591" s="30">
        <v>11858.099999999999</v>
      </c>
      <c r="V591" s="30">
        <v>-2835.7499999999982</v>
      </c>
      <c r="W591" s="30">
        <v>-0.31430281467688553</v>
      </c>
      <c r="X591" t="str">
        <f t="shared" si="85"/>
        <v>Delayed</v>
      </c>
      <c r="Y591" t="str">
        <f t="shared" si="86"/>
        <v>Compliant Discount</v>
      </c>
      <c r="Z591" s="9">
        <f>MIN(Q591,'Scenario Modelling'!$B$2)</f>
        <v>0</v>
      </c>
      <c r="AA591">
        <f t="shared" si="87"/>
        <v>601.49</v>
      </c>
      <c r="AB591">
        <f>N591*(1+'Scenario Modelling'!$B$3)</f>
        <v>869.59400000000005</v>
      </c>
      <c r="AC591">
        <f>ROUNDUP(S591*(1+'Scenario Modelling'!$B$4),0)</f>
        <v>16</v>
      </c>
      <c r="AD591">
        <f t="shared" si="88"/>
        <v>9623.84</v>
      </c>
      <c r="AE591">
        <f t="shared" si="89"/>
        <v>-4289.6640000000007</v>
      </c>
    </row>
    <row r="592" spans="1:31" x14ac:dyDescent="0.3">
      <c r="A592" s="36" t="s">
        <v>605</v>
      </c>
      <c r="B592" s="49">
        <v>45899</v>
      </c>
      <c r="C592" s="47" t="str">
        <f t="shared" si="82"/>
        <v>Q3-2025</v>
      </c>
      <c r="D592" s="37">
        <v>45922</v>
      </c>
      <c r="E592" s="16">
        <f t="shared" si="81"/>
        <v>23</v>
      </c>
      <c r="F592" s="38" t="s">
        <v>649</v>
      </c>
      <c r="G592" s="38" t="s">
        <v>657</v>
      </c>
      <c r="H592" s="38" t="s">
        <v>673</v>
      </c>
      <c r="I592" s="38" t="s">
        <v>701</v>
      </c>
      <c r="J592" s="38" t="s">
        <v>711</v>
      </c>
      <c r="K592" s="38" t="s">
        <v>718</v>
      </c>
      <c r="L592" s="38" t="s">
        <v>727</v>
      </c>
      <c r="M592" s="39" t="s">
        <v>1323</v>
      </c>
      <c r="N592" s="40">
        <v>663.9</v>
      </c>
      <c r="O592" s="40">
        <v>947.77</v>
      </c>
      <c r="P592" s="30" t="str">
        <f t="shared" si="83"/>
        <v>Medium</v>
      </c>
      <c r="Q592" s="44">
        <v>0.17399999999999999</v>
      </c>
      <c r="R592" s="42" t="str">
        <f t="shared" si="84"/>
        <v>Medium</v>
      </c>
      <c r="S592" s="16">
        <v>15</v>
      </c>
      <c r="T592" s="30">
        <v>11742.8703</v>
      </c>
      <c r="U592" s="30">
        <v>9958.5</v>
      </c>
      <c r="V592" s="30">
        <v>1784.3703000000005</v>
      </c>
      <c r="W592" s="30">
        <v>0.1519535049280073</v>
      </c>
      <c r="X592" t="str">
        <f t="shared" si="85"/>
        <v>Delayed</v>
      </c>
      <c r="Y592" t="str">
        <f t="shared" si="86"/>
        <v>Compliant Discount</v>
      </c>
      <c r="Z592" s="9">
        <f>MIN(Q592,'Scenario Modelling'!$B$2)</f>
        <v>0.17399999999999999</v>
      </c>
      <c r="AA592">
        <f t="shared" si="87"/>
        <v>782.85802000000001</v>
      </c>
      <c r="AB592">
        <f>N592*(1+'Scenario Modelling'!$B$3)</f>
        <v>730.29000000000008</v>
      </c>
      <c r="AC592">
        <f>ROUNDUP(S592*(1+'Scenario Modelling'!$B$4),0)</f>
        <v>16</v>
      </c>
      <c r="AD592">
        <f t="shared" si="88"/>
        <v>12525.72832</v>
      </c>
      <c r="AE592">
        <f t="shared" si="89"/>
        <v>841.08831999999893</v>
      </c>
    </row>
    <row r="593" spans="1:31" x14ac:dyDescent="0.3">
      <c r="A593" s="31" t="s">
        <v>606</v>
      </c>
      <c r="B593" s="48">
        <v>44984</v>
      </c>
      <c r="C593" s="47" t="str">
        <f t="shared" si="82"/>
        <v>Q1-2023</v>
      </c>
      <c r="D593" s="32">
        <v>44991</v>
      </c>
      <c r="E593" s="17">
        <f t="shared" si="81"/>
        <v>7</v>
      </c>
      <c r="F593" s="33" t="s">
        <v>648</v>
      </c>
      <c r="G593" s="33" t="s">
        <v>660</v>
      </c>
      <c r="H593" s="33" t="s">
        <v>686</v>
      </c>
      <c r="I593" s="33" t="s">
        <v>703</v>
      </c>
      <c r="J593" s="33" t="s">
        <v>708</v>
      </c>
      <c r="K593" s="33" t="s">
        <v>716</v>
      </c>
      <c r="L593" s="33" t="s">
        <v>729</v>
      </c>
      <c r="M593" s="34" t="s">
        <v>1324</v>
      </c>
      <c r="N593" s="35">
        <v>1015.91</v>
      </c>
      <c r="O593" s="35">
        <v>2331.48</v>
      </c>
      <c r="P593" s="30" t="str">
        <f t="shared" si="83"/>
        <v>High</v>
      </c>
      <c r="Q593" s="43">
        <v>0.14599999999999999</v>
      </c>
      <c r="R593" s="42" t="str">
        <f t="shared" si="84"/>
        <v>Medium</v>
      </c>
      <c r="S593" s="17">
        <v>26</v>
      </c>
      <c r="T593" s="30">
        <v>51768.181920000003</v>
      </c>
      <c r="U593" s="30">
        <v>26413.66</v>
      </c>
      <c r="V593" s="30">
        <v>25354.521920000003</v>
      </c>
      <c r="W593" s="30">
        <v>0.48977037592669626</v>
      </c>
      <c r="X593" t="str">
        <f t="shared" si="85"/>
        <v>On-time</v>
      </c>
      <c r="Y593" t="str">
        <f t="shared" si="86"/>
        <v>Compliant Discount</v>
      </c>
      <c r="Z593" s="9">
        <f>MIN(Q593,'Scenario Modelling'!$B$2)</f>
        <v>0.14599999999999999</v>
      </c>
      <c r="AA593">
        <f t="shared" si="87"/>
        <v>1991.08392</v>
      </c>
      <c r="AB593">
        <f>N593*(1+'Scenario Modelling'!$B$3)</f>
        <v>1117.501</v>
      </c>
      <c r="AC593">
        <f>ROUNDUP(S593*(1+'Scenario Modelling'!$B$4),0)</f>
        <v>28</v>
      </c>
      <c r="AD593">
        <f t="shared" si="88"/>
        <v>55750.349759999997</v>
      </c>
      <c r="AE593">
        <f t="shared" si="89"/>
        <v>24460.321760000003</v>
      </c>
    </row>
    <row r="594" spans="1:31" x14ac:dyDescent="0.3">
      <c r="A594" s="36" t="s">
        <v>607</v>
      </c>
      <c r="B594" s="49">
        <v>45504</v>
      </c>
      <c r="C594" s="47" t="str">
        <f t="shared" si="82"/>
        <v>Q3-2024</v>
      </c>
      <c r="D594" s="37">
        <v>45519</v>
      </c>
      <c r="E594" s="16">
        <f t="shared" si="81"/>
        <v>15</v>
      </c>
      <c r="F594" s="38" t="s">
        <v>647</v>
      </c>
      <c r="G594" s="38" t="s">
        <v>652</v>
      </c>
      <c r="H594" s="38" t="s">
        <v>689</v>
      </c>
      <c r="I594" s="38" t="s">
        <v>701</v>
      </c>
      <c r="J594" s="38" t="s">
        <v>709</v>
      </c>
      <c r="K594" s="38" t="s">
        <v>721</v>
      </c>
      <c r="L594" s="38" t="s">
        <v>732</v>
      </c>
      <c r="M594" s="39" t="s">
        <v>1325</v>
      </c>
      <c r="N594" s="40">
        <v>1252.52</v>
      </c>
      <c r="O594" s="40">
        <v>1417.24</v>
      </c>
      <c r="P594" s="30" t="str">
        <f t="shared" si="83"/>
        <v>Medium</v>
      </c>
      <c r="Q594" s="44">
        <v>0.192</v>
      </c>
      <c r="R594" s="42" t="str">
        <f t="shared" si="84"/>
        <v>Medium</v>
      </c>
      <c r="S594" s="16">
        <v>5</v>
      </c>
      <c r="T594" s="30">
        <v>5725.6496000000006</v>
      </c>
      <c r="U594" s="30">
        <v>6262.6</v>
      </c>
      <c r="V594" s="30">
        <v>-536.95039999999972</v>
      </c>
      <c r="W594" s="30">
        <v>-9.3779821943696953E-2</v>
      </c>
      <c r="X594" t="str">
        <f t="shared" si="85"/>
        <v>Delayed</v>
      </c>
      <c r="Y594" t="str">
        <f t="shared" si="86"/>
        <v>Compliant Discount</v>
      </c>
      <c r="Z594" s="9">
        <f>MIN(Q594,'Scenario Modelling'!$B$2)</f>
        <v>0.192</v>
      </c>
      <c r="AA594">
        <f t="shared" si="87"/>
        <v>1145.1299200000001</v>
      </c>
      <c r="AB594">
        <f>N594*(1+'Scenario Modelling'!$B$3)</f>
        <v>1377.7720000000002</v>
      </c>
      <c r="AC594">
        <f>ROUNDUP(S594*(1+'Scenario Modelling'!$B$4),0)</f>
        <v>6</v>
      </c>
      <c r="AD594">
        <f t="shared" si="88"/>
        <v>6870.77952</v>
      </c>
      <c r="AE594">
        <f t="shared" si="89"/>
        <v>-1395.8524800000005</v>
      </c>
    </row>
    <row r="595" spans="1:31" x14ac:dyDescent="0.3">
      <c r="A595" s="31" t="s">
        <v>608</v>
      </c>
      <c r="B595" s="48">
        <v>45823</v>
      </c>
      <c r="C595" s="47" t="str">
        <f t="shared" si="82"/>
        <v>Q2-2025</v>
      </c>
      <c r="D595" s="32">
        <v>45850</v>
      </c>
      <c r="E595" s="17">
        <f t="shared" si="81"/>
        <v>27</v>
      </c>
      <c r="F595" s="33" t="s">
        <v>649</v>
      </c>
      <c r="G595" s="33" t="s">
        <v>657</v>
      </c>
      <c r="H595" s="33" t="s">
        <v>673</v>
      </c>
      <c r="I595" s="33" t="s">
        <v>704</v>
      </c>
      <c r="J595" s="33" t="s">
        <v>711</v>
      </c>
      <c r="K595" s="33" t="s">
        <v>712</v>
      </c>
      <c r="L595" s="33" t="s">
        <v>733</v>
      </c>
      <c r="M595" s="34" t="s">
        <v>1326</v>
      </c>
      <c r="N595" s="35">
        <v>318.83</v>
      </c>
      <c r="O595" s="35">
        <v>699.5</v>
      </c>
      <c r="P595" s="30" t="str">
        <f t="shared" si="83"/>
        <v>Low</v>
      </c>
      <c r="Q595" s="43">
        <v>0.08</v>
      </c>
      <c r="R595" s="42" t="str">
        <f t="shared" si="84"/>
        <v>Low</v>
      </c>
      <c r="S595" s="17">
        <v>13</v>
      </c>
      <c r="T595" s="30">
        <v>8366.02</v>
      </c>
      <c r="U595" s="30">
        <v>4144.79</v>
      </c>
      <c r="V595" s="30">
        <v>4221.2300000000005</v>
      </c>
      <c r="W595" s="30">
        <v>0.50456848059172699</v>
      </c>
      <c r="X595" t="str">
        <f t="shared" si="85"/>
        <v>Delayed</v>
      </c>
      <c r="Y595" t="str">
        <f t="shared" si="86"/>
        <v>Compliant Discount</v>
      </c>
      <c r="Z595" s="9">
        <f>MIN(Q595,'Scenario Modelling'!$B$2)</f>
        <v>0.08</v>
      </c>
      <c r="AA595">
        <f t="shared" si="87"/>
        <v>643.54000000000008</v>
      </c>
      <c r="AB595">
        <f>N595*(1+'Scenario Modelling'!$B$3)</f>
        <v>350.71300000000002</v>
      </c>
      <c r="AC595">
        <f>ROUNDUP(S595*(1+'Scenario Modelling'!$B$4),0)</f>
        <v>14</v>
      </c>
      <c r="AD595">
        <f t="shared" si="88"/>
        <v>9009.5600000000013</v>
      </c>
      <c r="AE595">
        <f t="shared" si="89"/>
        <v>4099.5780000000004</v>
      </c>
    </row>
    <row r="596" spans="1:31" x14ac:dyDescent="0.3">
      <c r="A596" s="36" t="s">
        <v>609</v>
      </c>
      <c r="B596" s="49">
        <v>45473</v>
      </c>
      <c r="C596" s="47" t="str">
        <f t="shared" si="82"/>
        <v>Q2-2024</v>
      </c>
      <c r="D596" s="37">
        <v>45494</v>
      </c>
      <c r="E596" s="16">
        <f t="shared" si="81"/>
        <v>21</v>
      </c>
      <c r="F596" s="38" t="s">
        <v>646</v>
      </c>
      <c r="G596" s="38" t="s">
        <v>650</v>
      </c>
      <c r="H596" s="38" t="s">
        <v>662</v>
      </c>
      <c r="I596" s="38" t="s">
        <v>705</v>
      </c>
      <c r="J596" s="38" t="s">
        <v>707</v>
      </c>
      <c r="K596" s="38" t="s">
        <v>723</v>
      </c>
      <c r="L596" s="38" t="s">
        <v>731</v>
      </c>
      <c r="M596" s="39" t="s">
        <v>1327</v>
      </c>
      <c r="N596" s="40">
        <v>753.43</v>
      </c>
      <c r="O596" s="40">
        <v>1787.2</v>
      </c>
      <c r="P596" s="30" t="str">
        <f t="shared" si="83"/>
        <v>High</v>
      </c>
      <c r="Q596" s="44">
        <v>7.2999999999999995E-2</v>
      </c>
      <c r="R596" s="42" t="str">
        <f t="shared" si="84"/>
        <v>Low</v>
      </c>
      <c r="S596" s="16">
        <v>9</v>
      </c>
      <c r="T596" s="30">
        <v>14910.609600000002</v>
      </c>
      <c r="U596" s="30">
        <v>6780.87</v>
      </c>
      <c r="V596" s="30">
        <v>8129.7396000000017</v>
      </c>
      <c r="W596" s="30">
        <v>0.54523187301476939</v>
      </c>
      <c r="X596" t="str">
        <f t="shared" si="85"/>
        <v>Delayed</v>
      </c>
      <c r="Y596" t="str">
        <f t="shared" si="86"/>
        <v>Compliant Discount</v>
      </c>
      <c r="Z596" s="9">
        <f>MIN(Q596,'Scenario Modelling'!$B$2)</f>
        <v>7.2999999999999995E-2</v>
      </c>
      <c r="AA596">
        <f t="shared" si="87"/>
        <v>1656.7344000000001</v>
      </c>
      <c r="AB596">
        <f>N596*(1+'Scenario Modelling'!$B$3)</f>
        <v>828.77300000000002</v>
      </c>
      <c r="AC596">
        <f>ROUNDUP(S596*(1+'Scenario Modelling'!$B$4),0)</f>
        <v>10</v>
      </c>
      <c r="AD596">
        <f t="shared" si="88"/>
        <v>16567.344000000001</v>
      </c>
      <c r="AE596">
        <f t="shared" si="89"/>
        <v>8279.6139999999996</v>
      </c>
    </row>
    <row r="597" spans="1:31" x14ac:dyDescent="0.3">
      <c r="A597" s="31" t="s">
        <v>610</v>
      </c>
      <c r="B597" s="48">
        <v>45705</v>
      </c>
      <c r="C597" s="47" t="str">
        <f t="shared" si="82"/>
        <v>Q1-2025</v>
      </c>
      <c r="D597" s="32">
        <v>45712</v>
      </c>
      <c r="E597" s="17">
        <f t="shared" si="81"/>
        <v>7</v>
      </c>
      <c r="F597" s="33" t="s">
        <v>648</v>
      </c>
      <c r="G597" s="33" t="s">
        <v>653</v>
      </c>
      <c r="H597" s="33" t="s">
        <v>667</v>
      </c>
      <c r="I597" s="33" t="s">
        <v>705</v>
      </c>
      <c r="J597" s="33" t="s">
        <v>707</v>
      </c>
      <c r="K597" s="33" t="s">
        <v>726</v>
      </c>
      <c r="L597" s="33" t="s">
        <v>727</v>
      </c>
      <c r="M597" s="34" t="s">
        <v>1328</v>
      </c>
      <c r="N597" s="35">
        <v>1133.47</v>
      </c>
      <c r="O597" s="35">
        <v>1698.75</v>
      </c>
      <c r="P597" s="30" t="str">
        <f t="shared" si="83"/>
        <v>High</v>
      </c>
      <c r="Q597" s="43">
        <v>4.2999999999999997E-2</v>
      </c>
      <c r="R597" s="42" t="str">
        <f t="shared" si="84"/>
        <v>Low</v>
      </c>
      <c r="S597" s="17">
        <v>5</v>
      </c>
      <c r="T597" s="30">
        <v>8128.5187499999993</v>
      </c>
      <c r="U597" s="30">
        <v>5667.35</v>
      </c>
      <c r="V597" s="30">
        <v>2461.1687499999989</v>
      </c>
      <c r="W597" s="30">
        <v>0.30278194904821976</v>
      </c>
      <c r="X597" t="str">
        <f t="shared" si="85"/>
        <v>On-time</v>
      </c>
      <c r="Y597" t="str">
        <f t="shared" si="86"/>
        <v>Compliant Discount</v>
      </c>
      <c r="Z597" s="9">
        <f>MIN(Q597,'Scenario Modelling'!$B$2)</f>
        <v>4.2999999999999997E-2</v>
      </c>
      <c r="AA597">
        <f t="shared" si="87"/>
        <v>1625.7037499999999</v>
      </c>
      <c r="AB597">
        <f>N597*(1+'Scenario Modelling'!$B$3)</f>
        <v>1246.8170000000002</v>
      </c>
      <c r="AC597">
        <f>ROUNDUP(S597*(1+'Scenario Modelling'!$B$4),0)</f>
        <v>6</v>
      </c>
      <c r="AD597">
        <f t="shared" si="88"/>
        <v>9754.2224999999999</v>
      </c>
      <c r="AE597">
        <f t="shared" si="89"/>
        <v>2273.320499999998</v>
      </c>
    </row>
    <row r="598" spans="1:31" x14ac:dyDescent="0.3">
      <c r="A598" s="36" t="s">
        <v>611</v>
      </c>
      <c r="B598" s="49">
        <v>44933</v>
      </c>
      <c r="C598" s="47" t="str">
        <f t="shared" si="82"/>
        <v>Q1-2023</v>
      </c>
      <c r="D598" s="37">
        <v>44956</v>
      </c>
      <c r="E598" s="16">
        <f t="shared" si="81"/>
        <v>23</v>
      </c>
      <c r="F598" s="38" t="s">
        <v>646</v>
      </c>
      <c r="G598" s="38" t="s">
        <v>661</v>
      </c>
      <c r="H598" s="38" t="s">
        <v>695</v>
      </c>
      <c r="I598" s="38" t="s">
        <v>704</v>
      </c>
      <c r="J598" s="38" t="s">
        <v>708</v>
      </c>
      <c r="K598" s="38" t="s">
        <v>720</v>
      </c>
      <c r="L598" s="38" t="s">
        <v>728</v>
      </c>
      <c r="M598" s="39" t="s">
        <v>1329</v>
      </c>
      <c r="N598" s="40">
        <v>299.02</v>
      </c>
      <c r="O598" s="40">
        <v>724.7</v>
      </c>
      <c r="P598" s="30" t="str">
        <f t="shared" si="83"/>
        <v>Low</v>
      </c>
      <c r="Q598" s="44">
        <v>0.14000000000000001</v>
      </c>
      <c r="R598" s="42" t="str">
        <f t="shared" si="84"/>
        <v>Medium</v>
      </c>
      <c r="S598" s="16">
        <v>5</v>
      </c>
      <c r="T598" s="30">
        <v>3116.21</v>
      </c>
      <c r="U598" s="30">
        <v>1495.1</v>
      </c>
      <c r="V598" s="30">
        <v>1621.1100000000001</v>
      </c>
      <c r="W598" s="30">
        <v>0.52021847051386139</v>
      </c>
      <c r="X598" t="str">
        <f t="shared" si="85"/>
        <v>Delayed</v>
      </c>
      <c r="Y598" t="str">
        <f t="shared" si="86"/>
        <v>Compliant Discount</v>
      </c>
      <c r="Z598" s="9">
        <f>MIN(Q598,'Scenario Modelling'!$B$2)</f>
        <v>0.14000000000000001</v>
      </c>
      <c r="AA598">
        <f t="shared" si="87"/>
        <v>623.24200000000008</v>
      </c>
      <c r="AB598">
        <f>N598*(1+'Scenario Modelling'!$B$3)</f>
        <v>328.92200000000003</v>
      </c>
      <c r="AC598">
        <f>ROUNDUP(S598*(1+'Scenario Modelling'!$B$4),0)</f>
        <v>6</v>
      </c>
      <c r="AD598">
        <f t="shared" si="88"/>
        <v>3739.4520000000002</v>
      </c>
      <c r="AE598">
        <f t="shared" si="89"/>
        <v>1765.9200000000003</v>
      </c>
    </row>
    <row r="599" spans="1:31" x14ac:dyDescent="0.3">
      <c r="A599" s="31" t="s">
        <v>612</v>
      </c>
      <c r="B599" s="48">
        <v>45726</v>
      </c>
      <c r="C599" s="47" t="str">
        <f t="shared" si="82"/>
        <v>Q1-2025</v>
      </c>
      <c r="D599" s="32">
        <v>45751</v>
      </c>
      <c r="E599" s="17">
        <f t="shared" si="81"/>
        <v>25</v>
      </c>
      <c r="F599" s="33" t="s">
        <v>647</v>
      </c>
      <c r="G599" s="33" t="s">
        <v>652</v>
      </c>
      <c r="H599" s="33" t="s">
        <v>666</v>
      </c>
      <c r="I599" s="33" t="s">
        <v>701</v>
      </c>
      <c r="J599" s="33" t="s">
        <v>711</v>
      </c>
      <c r="K599" s="33" t="s">
        <v>722</v>
      </c>
      <c r="L599" s="33" t="s">
        <v>728</v>
      </c>
      <c r="M599" s="34" t="s">
        <v>1330</v>
      </c>
      <c r="N599" s="35">
        <v>783.72</v>
      </c>
      <c r="O599" s="35">
        <v>1355.94</v>
      </c>
      <c r="P599" s="30" t="str">
        <f t="shared" si="83"/>
        <v>Medium</v>
      </c>
      <c r="Q599" s="43">
        <v>0.187</v>
      </c>
      <c r="R599" s="42" t="str">
        <f t="shared" si="84"/>
        <v>Medium</v>
      </c>
      <c r="S599" s="17">
        <v>4</v>
      </c>
      <c r="T599" s="30">
        <v>4409.5168800000001</v>
      </c>
      <c r="U599" s="30">
        <v>3134.88</v>
      </c>
      <c r="V599" s="30">
        <v>1274.63688</v>
      </c>
      <c r="W599" s="30">
        <v>0.28906497348525856</v>
      </c>
      <c r="X599" t="str">
        <f t="shared" si="85"/>
        <v>Delayed</v>
      </c>
      <c r="Y599" t="str">
        <f t="shared" si="86"/>
        <v>Compliant Discount</v>
      </c>
      <c r="Z599" s="9">
        <f>MIN(Q599,'Scenario Modelling'!$B$2)</f>
        <v>0.187</v>
      </c>
      <c r="AA599">
        <f t="shared" si="87"/>
        <v>1102.37922</v>
      </c>
      <c r="AB599">
        <f>N599*(1+'Scenario Modelling'!$B$3)</f>
        <v>862.0920000000001</v>
      </c>
      <c r="AC599">
        <f>ROUNDUP(S599*(1+'Scenario Modelling'!$B$4),0)</f>
        <v>5</v>
      </c>
      <c r="AD599">
        <f t="shared" si="88"/>
        <v>5511.8960999999999</v>
      </c>
      <c r="AE599">
        <f t="shared" si="89"/>
        <v>1201.4360999999997</v>
      </c>
    </row>
    <row r="600" spans="1:31" x14ac:dyDescent="0.3">
      <c r="A600" s="36" t="s">
        <v>613</v>
      </c>
      <c r="B600" s="49">
        <v>45521</v>
      </c>
      <c r="C600" s="47" t="str">
        <f t="shared" si="82"/>
        <v>Q3-2024</v>
      </c>
      <c r="D600" s="37">
        <v>45528</v>
      </c>
      <c r="E600" s="16">
        <f t="shared" si="81"/>
        <v>7</v>
      </c>
      <c r="F600" s="38" t="s">
        <v>648</v>
      </c>
      <c r="G600" s="38" t="s">
        <v>655</v>
      </c>
      <c r="H600" s="38" t="s">
        <v>692</v>
      </c>
      <c r="I600" s="38" t="s">
        <v>704</v>
      </c>
      <c r="J600" s="38" t="s">
        <v>711</v>
      </c>
      <c r="K600" s="38" t="s">
        <v>724</v>
      </c>
      <c r="L600" s="38" t="s">
        <v>732</v>
      </c>
      <c r="M600" s="39" t="s">
        <v>1331</v>
      </c>
      <c r="N600" s="40">
        <v>165.3</v>
      </c>
      <c r="O600" s="40">
        <v>275.07</v>
      </c>
      <c r="P600" s="30" t="str">
        <f t="shared" si="83"/>
        <v>Low</v>
      </c>
      <c r="Q600" s="44">
        <v>0.13300000000000001</v>
      </c>
      <c r="R600" s="42" t="str">
        <f t="shared" si="84"/>
        <v>Medium</v>
      </c>
      <c r="S600" s="16">
        <v>25</v>
      </c>
      <c r="T600" s="30">
        <v>5962.1422499999999</v>
      </c>
      <c r="U600" s="30">
        <v>4132.5</v>
      </c>
      <c r="V600" s="30">
        <v>1829.6422499999999</v>
      </c>
      <c r="W600" s="30">
        <v>0.30687665159280625</v>
      </c>
      <c r="X600" t="str">
        <f t="shared" si="85"/>
        <v>On-time</v>
      </c>
      <c r="Y600" t="str">
        <f t="shared" si="86"/>
        <v>Compliant Discount</v>
      </c>
      <c r="Z600" s="9">
        <f>MIN(Q600,'Scenario Modelling'!$B$2)</f>
        <v>0.13300000000000001</v>
      </c>
      <c r="AA600">
        <f t="shared" si="87"/>
        <v>238.48569000000001</v>
      </c>
      <c r="AB600">
        <f>N600*(1+'Scenario Modelling'!$B$3)</f>
        <v>181.83000000000004</v>
      </c>
      <c r="AC600">
        <f>ROUNDUP(S600*(1+'Scenario Modelling'!$B$4),0)</f>
        <v>27</v>
      </c>
      <c r="AD600">
        <f t="shared" si="88"/>
        <v>6439.1136299999998</v>
      </c>
      <c r="AE600">
        <f t="shared" si="89"/>
        <v>1529.7036299999991</v>
      </c>
    </row>
    <row r="601" spans="1:31" x14ac:dyDescent="0.3">
      <c r="A601" s="31" t="s">
        <v>614</v>
      </c>
      <c r="B601" s="48">
        <v>45360</v>
      </c>
      <c r="C601" s="47" t="str">
        <f t="shared" si="82"/>
        <v>Q1-2024</v>
      </c>
      <c r="D601" s="32">
        <v>45373</v>
      </c>
      <c r="E601" s="17">
        <f t="shared" si="81"/>
        <v>13</v>
      </c>
      <c r="F601" s="33" t="s">
        <v>649</v>
      </c>
      <c r="G601" s="33" t="s">
        <v>658</v>
      </c>
      <c r="H601" s="33" t="s">
        <v>693</v>
      </c>
      <c r="I601" s="33" t="s">
        <v>704</v>
      </c>
      <c r="J601" s="33" t="s">
        <v>708</v>
      </c>
      <c r="K601" s="33" t="s">
        <v>718</v>
      </c>
      <c r="L601" s="33" t="s">
        <v>731</v>
      </c>
      <c r="M601" s="34" t="s">
        <v>1332</v>
      </c>
      <c r="N601" s="35">
        <v>985.45</v>
      </c>
      <c r="O601" s="35">
        <v>1802.44</v>
      </c>
      <c r="P601" s="30" t="str">
        <f t="shared" si="83"/>
        <v>High</v>
      </c>
      <c r="Q601" s="43">
        <v>8.9999999999999993E-3</v>
      </c>
      <c r="R601" s="42" t="str">
        <f t="shared" si="84"/>
        <v>Low</v>
      </c>
      <c r="S601" s="17">
        <v>19</v>
      </c>
      <c r="T601" s="30">
        <v>33938.142760000002</v>
      </c>
      <c r="U601" s="30">
        <v>18723.55</v>
      </c>
      <c r="V601" s="30">
        <v>15214.592760000003</v>
      </c>
      <c r="W601" s="30">
        <v>0.44830363486867486</v>
      </c>
      <c r="X601" t="str">
        <f t="shared" si="85"/>
        <v>Delayed</v>
      </c>
      <c r="Y601" t="str">
        <f t="shared" si="86"/>
        <v>Compliant Discount</v>
      </c>
      <c r="Z601" s="9">
        <f>MIN(Q601,'Scenario Modelling'!$B$2)</f>
        <v>8.9999999999999993E-3</v>
      </c>
      <c r="AA601">
        <f t="shared" si="87"/>
        <v>1786.21804</v>
      </c>
      <c r="AB601">
        <f>N601*(1+'Scenario Modelling'!$B$3)</f>
        <v>1083.9950000000001</v>
      </c>
      <c r="AC601">
        <f>ROUNDUP(S601*(1+'Scenario Modelling'!$B$4),0)</f>
        <v>20</v>
      </c>
      <c r="AD601">
        <f t="shared" si="88"/>
        <v>35724.360800000002</v>
      </c>
      <c r="AE601">
        <f t="shared" si="89"/>
        <v>14044.460799999997</v>
      </c>
    </row>
    <row r="602" spans="1:31" x14ac:dyDescent="0.3">
      <c r="A602" s="36" t="s">
        <v>615</v>
      </c>
      <c r="B602" s="49">
        <v>45523</v>
      </c>
      <c r="C602" s="47" t="str">
        <f t="shared" si="82"/>
        <v>Q3-2024</v>
      </c>
      <c r="D602" s="37">
        <v>45537</v>
      </c>
      <c r="E602" s="16">
        <f t="shared" si="81"/>
        <v>14</v>
      </c>
      <c r="F602" s="38" t="s">
        <v>648</v>
      </c>
      <c r="G602" s="38" t="s">
        <v>653</v>
      </c>
      <c r="H602" s="38" t="s">
        <v>667</v>
      </c>
      <c r="I602" s="38" t="s">
        <v>704</v>
      </c>
      <c r="J602" s="38" t="s">
        <v>710</v>
      </c>
      <c r="K602" s="38" t="s">
        <v>712</v>
      </c>
      <c r="L602" s="38" t="s">
        <v>728</v>
      </c>
      <c r="M602" s="39" t="s">
        <v>1333</v>
      </c>
      <c r="N602" s="40">
        <v>1337.01</v>
      </c>
      <c r="O602" s="40">
        <v>1269.78</v>
      </c>
      <c r="P602" s="30" t="str">
        <f t="shared" si="83"/>
        <v>Medium</v>
      </c>
      <c r="Q602" s="44">
        <v>0.16</v>
      </c>
      <c r="R602" s="42" t="str">
        <f t="shared" si="84"/>
        <v>Medium</v>
      </c>
      <c r="S602" s="16">
        <v>7</v>
      </c>
      <c r="T602" s="30">
        <v>7466.3063999999986</v>
      </c>
      <c r="U602" s="30">
        <v>9359.07</v>
      </c>
      <c r="V602" s="30">
        <v>-1892.7636000000011</v>
      </c>
      <c r="W602" s="30">
        <v>-0.25350735672996244</v>
      </c>
      <c r="X602" t="str">
        <f t="shared" si="85"/>
        <v>Delayed</v>
      </c>
      <c r="Y602" t="str">
        <f t="shared" si="86"/>
        <v>Compliant Discount</v>
      </c>
      <c r="Z602" s="9">
        <f>MIN(Q602,'Scenario Modelling'!$B$2)</f>
        <v>0.16</v>
      </c>
      <c r="AA602">
        <f t="shared" si="87"/>
        <v>1066.6152</v>
      </c>
      <c r="AB602">
        <f>N602*(1+'Scenario Modelling'!$B$3)</f>
        <v>1470.711</v>
      </c>
      <c r="AC602">
        <f>ROUNDUP(S602*(1+'Scenario Modelling'!$B$4),0)</f>
        <v>8</v>
      </c>
      <c r="AD602">
        <f t="shared" si="88"/>
        <v>8532.9215999999997</v>
      </c>
      <c r="AE602">
        <f t="shared" si="89"/>
        <v>-3232.7664000000004</v>
      </c>
    </row>
    <row r="603" spans="1:31" x14ac:dyDescent="0.3">
      <c r="A603" s="31" t="s">
        <v>616</v>
      </c>
      <c r="B603" s="48">
        <v>45880</v>
      </c>
      <c r="C603" s="47" t="str">
        <f t="shared" si="82"/>
        <v>Q3-2025</v>
      </c>
      <c r="D603" s="32">
        <v>45897</v>
      </c>
      <c r="E603" s="17">
        <f t="shared" si="81"/>
        <v>17</v>
      </c>
      <c r="F603" s="33" t="s">
        <v>649</v>
      </c>
      <c r="G603" s="33" t="s">
        <v>657</v>
      </c>
      <c r="H603" s="33" t="s">
        <v>690</v>
      </c>
      <c r="I603" s="33" t="s">
        <v>702</v>
      </c>
      <c r="J603" s="33" t="s">
        <v>708</v>
      </c>
      <c r="K603" s="33" t="s">
        <v>721</v>
      </c>
      <c r="L603" s="33" t="s">
        <v>729</v>
      </c>
      <c r="M603" s="34" t="s">
        <v>1334</v>
      </c>
      <c r="N603" s="35">
        <v>416.16</v>
      </c>
      <c r="O603" s="35">
        <v>571.9</v>
      </c>
      <c r="P603" s="30" t="str">
        <f t="shared" si="83"/>
        <v>Low</v>
      </c>
      <c r="Q603" s="43">
        <v>7.0999999999999994E-2</v>
      </c>
      <c r="R603" s="42" t="str">
        <f t="shared" si="84"/>
        <v>Low</v>
      </c>
      <c r="S603" s="17">
        <v>2</v>
      </c>
      <c r="T603" s="30">
        <v>1062.5902000000001</v>
      </c>
      <c r="U603" s="30">
        <v>832.32</v>
      </c>
      <c r="V603" s="30">
        <v>230.27020000000005</v>
      </c>
      <c r="W603" s="30">
        <v>0.21670649701079497</v>
      </c>
      <c r="X603" t="str">
        <f t="shared" si="85"/>
        <v>Delayed</v>
      </c>
      <c r="Y603" t="str">
        <f t="shared" si="86"/>
        <v>Compliant Discount</v>
      </c>
      <c r="Z603" s="9">
        <f>MIN(Q603,'Scenario Modelling'!$B$2)</f>
        <v>7.0999999999999994E-2</v>
      </c>
      <c r="AA603">
        <f t="shared" si="87"/>
        <v>531.29510000000005</v>
      </c>
      <c r="AB603">
        <f>N603*(1+'Scenario Modelling'!$B$3)</f>
        <v>457.77600000000007</v>
      </c>
      <c r="AC603">
        <f>ROUNDUP(S603*(1+'Scenario Modelling'!$B$4),0)</f>
        <v>3</v>
      </c>
      <c r="AD603">
        <f t="shared" si="88"/>
        <v>1593.8853000000001</v>
      </c>
      <c r="AE603">
        <f t="shared" si="89"/>
        <v>220.55729999999994</v>
      </c>
    </row>
    <row r="604" spans="1:31" x14ac:dyDescent="0.3">
      <c r="A604" s="36" t="s">
        <v>617</v>
      </c>
      <c r="B604" s="49">
        <v>45793</v>
      </c>
      <c r="C604" s="47" t="str">
        <f t="shared" si="82"/>
        <v>Q2-2025</v>
      </c>
      <c r="D604" s="37">
        <v>45795</v>
      </c>
      <c r="E604" s="16">
        <f t="shared" si="81"/>
        <v>2</v>
      </c>
      <c r="F604" s="38" t="s">
        <v>647</v>
      </c>
      <c r="G604" s="38" t="s">
        <v>652</v>
      </c>
      <c r="H604" s="38" t="s">
        <v>689</v>
      </c>
      <c r="I604" s="38" t="s">
        <v>706</v>
      </c>
      <c r="J604" s="38" t="s">
        <v>707</v>
      </c>
      <c r="K604" s="38" t="s">
        <v>713</v>
      </c>
      <c r="L604" s="38" t="s">
        <v>728</v>
      </c>
      <c r="M604" s="39" t="s">
        <v>1335</v>
      </c>
      <c r="N604" s="40">
        <v>1144.3800000000001</v>
      </c>
      <c r="O604" s="40">
        <v>2755.04</v>
      </c>
      <c r="P604" s="30" t="str">
        <f t="shared" si="83"/>
        <v>High</v>
      </c>
      <c r="Q604" s="44">
        <v>0.15</v>
      </c>
      <c r="R604" s="42" t="str">
        <f t="shared" si="84"/>
        <v>Medium</v>
      </c>
      <c r="S604" s="16">
        <v>17</v>
      </c>
      <c r="T604" s="30">
        <v>39810.328000000001</v>
      </c>
      <c r="U604" s="30">
        <v>19454.460000000003</v>
      </c>
      <c r="V604" s="30">
        <v>20355.867999999999</v>
      </c>
      <c r="W604" s="30">
        <v>0.51132128326096682</v>
      </c>
      <c r="X604" t="str">
        <f t="shared" si="85"/>
        <v>On-time</v>
      </c>
      <c r="Y604" t="str">
        <f t="shared" si="86"/>
        <v>Compliant Discount</v>
      </c>
      <c r="Z604" s="9">
        <f>MIN(Q604,'Scenario Modelling'!$B$2)</f>
        <v>0.15</v>
      </c>
      <c r="AA604">
        <f t="shared" si="87"/>
        <v>2341.7840000000001</v>
      </c>
      <c r="AB604">
        <f>N604*(1+'Scenario Modelling'!$B$3)</f>
        <v>1258.8180000000002</v>
      </c>
      <c r="AC604">
        <f>ROUNDUP(S604*(1+'Scenario Modelling'!$B$4),0)</f>
        <v>18</v>
      </c>
      <c r="AD604">
        <f t="shared" si="88"/>
        <v>42152.112000000001</v>
      </c>
      <c r="AE604">
        <f t="shared" si="89"/>
        <v>19493.387999999999</v>
      </c>
    </row>
    <row r="605" spans="1:31" x14ac:dyDescent="0.3">
      <c r="A605" s="31" t="s">
        <v>618</v>
      </c>
      <c r="B605" s="48">
        <v>45026</v>
      </c>
      <c r="C605" s="47" t="str">
        <f t="shared" si="82"/>
        <v>Q2-2023</v>
      </c>
      <c r="D605" s="32">
        <v>45041</v>
      </c>
      <c r="E605" s="17">
        <f t="shared" si="81"/>
        <v>15</v>
      </c>
      <c r="F605" s="33" t="s">
        <v>649</v>
      </c>
      <c r="G605" s="33" t="s">
        <v>658</v>
      </c>
      <c r="H605" s="33" t="s">
        <v>683</v>
      </c>
      <c r="I605" s="33" t="s">
        <v>705</v>
      </c>
      <c r="J605" s="33" t="s">
        <v>707</v>
      </c>
      <c r="K605" s="33" t="s">
        <v>726</v>
      </c>
      <c r="L605" s="33" t="s">
        <v>728</v>
      </c>
      <c r="M605" s="34" t="s">
        <v>1336</v>
      </c>
      <c r="N605" s="35">
        <v>405.66</v>
      </c>
      <c r="O605" s="35">
        <v>962.51</v>
      </c>
      <c r="P605" s="30" t="str">
        <f t="shared" si="83"/>
        <v>Medium</v>
      </c>
      <c r="Q605" s="43">
        <v>0.19</v>
      </c>
      <c r="R605" s="42" t="str">
        <f t="shared" si="84"/>
        <v>Medium</v>
      </c>
      <c r="S605" s="17">
        <v>7</v>
      </c>
      <c r="T605" s="30">
        <v>5457.4317000000001</v>
      </c>
      <c r="U605" s="30">
        <v>2839.6200000000003</v>
      </c>
      <c r="V605" s="30">
        <v>2617.8116999999997</v>
      </c>
      <c r="W605" s="30">
        <v>0.47967832561239376</v>
      </c>
      <c r="X605" t="str">
        <f t="shared" si="85"/>
        <v>Delayed</v>
      </c>
      <c r="Y605" t="str">
        <f t="shared" si="86"/>
        <v>Compliant Discount</v>
      </c>
      <c r="Z605" s="9">
        <f>MIN(Q605,'Scenario Modelling'!$B$2)</f>
        <v>0.19</v>
      </c>
      <c r="AA605">
        <f t="shared" si="87"/>
        <v>779.63310000000001</v>
      </c>
      <c r="AB605">
        <f>N605*(1+'Scenario Modelling'!$B$3)</f>
        <v>446.22600000000006</v>
      </c>
      <c r="AC605">
        <f>ROUNDUP(S605*(1+'Scenario Modelling'!$B$4),0)</f>
        <v>8</v>
      </c>
      <c r="AD605">
        <f t="shared" si="88"/>
        <v>6237.0648000000001</v>
      </c>
      <c r="AE605">
        <f t="shared" si="89"/>
        <v>2667.2567999999997</v>
      </c>
    </row>
    <row r="606" spans="1:31" x14ac:dyDescent="0.3">
      <c r="A606" s="36" t="s">
        <v>619</v>
      </c>
      <c r="B606" s="49">
        <v>45186</v>
      </c>
      <c r="C606" s="47" t="str">
        <f t="shared" si="82"/>
        <v>Q3-2023</v>
      </c>
      <c r="D606" s="37">
        <v>45201</v>
      </c>
      <c r="E606" s="16">
        <f t="shared" si="81"/>
        <v>15</v>
      </c>
      <c r="F606" s="38" t="s">
        <v>648</v>
      </c>
      <c r="G606" s="38" t="s">
        <v>655</v>
      </c>
      <c r="H606" s="38" t="s">
        <v>692</v>
      </c>
      <c r="I606" s="38" t="s">
        <v>705</v>
      </c>
      <c r="J606" s="38" t="s">
        <v>707</v>
      </c>
      <c r="K606" s="38" t="s">
        <v>717</v>
      </c>
      <c r="L606" s="38" t="s">
        <v>731</v>
      </c>
      <c r="M606" s="39" t="s">
        <v>1337</v>
      </c>
      <c r="N606" s="40">
        <v>689.33</v>
      </c>
      <c r="O606" s="40">
        <v>668.27</v>
      </c>
      <c r="P606" s="30" t="str">
        <f t="shared" si="83"/>
        <v>Low</v>
      </c>
      <c r="Q606" s="44">
        <v>0.186</v>
      </c>
      <c r="R606" s="42" t="str">
        <f t="shared" si="84"/>
        <v>Medium</v>
      </c>
      <c r="S606" s="16">
        <v>13</v>
      </c>
      <c r="T606" s="30">
        <v>7071.6331400000008</v>
      </c>
      <c r="U606" s="30">
        <v>8961.2900000000009</v>
      </c>
      <c r="V606" s="30">
        <v>-1889.6568600000001</v>
      </c>
      <c r="W606" s="30">
        <v>-0.26721647214861033</v>
      </c>
      <c r="X606" t="str">
        <f t="shared" si="85"/>
        <v>Delayed</v>
      </c>
      <c r="Y606" t="str">
        <f t="shared" si="86"/>
        <v>Compliant Discount</v>
      </c>
      <c r="Z606" s="9">
        <f>MIN(Q606,'Scenario Modelling'!$B$2)</f>
        <v>0.186</v>
      </c>
      <c r="AA606">
        <f t="shared" si="87"/>
        <v>543.97177999999997</v>
      </c>
      <c r="AB606">
        <f>N606*(1+'Scenario Modelling'!$B$3)</f>
        <v>758.26300000000015</v>
      </c>
      <c r="AC606">
        <f>ROUNDUP(S606*(1+'Scenario Modelling'!$B$4),0)</f>
        <v>14</v>
      </c>
      <c r="AD606">
        <f t="shared" si="88"/>
        <v>7615.6049199999998</v>
      </c>
      <c r="AE606">
        <f t="shared" si="89"/>
        <v>-3000.0770800000028</v>
      </c>
    </row>
    <row r="607" spans="1:31" x14ac:dyDescent="0.3">
      <c r="A607" s="31" t="s">
        <v>620</v>
      </c>
      <c r="B607" s="48">
        <v>45038</v>
      </c>
      <c r="C607" s="47" t="str">
        <f t="shared" si="82"/>
        <v>Q2-2023</v>
      </c>
      <c r="D607" s="32">
        <v>45060</v>
      </c>
      <c r="E607" s="17">
        <f t="shared" si="81"/>
        <v>22</v>
      </c>
      <c r="F607" s="33" t="s">
        <v>647</v>
      </c>
      <c r="G607" s="33" t="s">
        <v>652</v>
      </c>
      <c r="H607" s="33" t="s">
        <v>694</v>
      </c>
      <c r="I607" s="33" t="s">
        <v>706</v>
      </c>
      <c r="J607" s="33" t="s">
        <v>707</v>
      </c>
      <c r="K607" s="33" t="s">
        <v>720</v>
      </c>
      <c r="L607" s="33" t="s">
        <v>733</v>
      </c>
      <c r="M607" s="34" t="s">
        <v>1338</v>
      </c>
      <c r="N607" s="35">
        <v>1209.22</v>
      </c>
      <c r="O607" s="35">
        <v>1404.33</v>
      </c>
      <c r="P607" s="30" t="str">
        <f t="shared" si="83"/>
        <v>Medium</v>
      </c>
      <c r="Q607" s="43">
        <v>0.10299999999999999</v>
      </c>
      <c r="R607" s="42" t="str">
        <f t="shared" si="84"/>
        <v>Medium</v>
      </c>
      <c r="S607" s="17">
        <v>11</v>
      </c>
      <c r="T607" s="30">
        <v>13856.52411</v>
      </c>
      <c r="U607" s="30">
        <v>13301.42</v>
      </c>
      <c r="V607" s="30">
        <v>555.10411000000022</v>
      </c>
      <c r="W607" s="30">
        <v>4.0060848275751328E-2</v>
      </c>
      <c r="X607" t="str">
        <f t="shared" si="85"/>
        <v>Delayed</v>
      </c>
      <c r="Y607" t="str">
        <f t="shared" si="86"/>
        <v>Compliant Discount</v>
      </c>
      <c r="Z607" s="9">
        <f>MIN(Q607,'Scenario Modelling'!$B$2)</f>
        <v>0.10299999999999999</v>
      </c>
      <c r="AA607">
        <f t="shared" si="87"/>
        <v>1259.6840099999999</v>
      </c>
      <c r="AB607">
        <f>N607*(1+'Scenario Modelling'!$B$3)</f>
        <v>1330.1420000000001</v>
      </c>
      <c r="AC607">
        <f>ROUNDUP(S607*(1+'Scenario Modelling'!$B$4),0)</f>
        <v>12</v>
      </c>
      <c r="AD607">
        <f t="shared" si="88"/>
        <v>15116.208119999999</v>
      </c>
      <c r="AE607">
        <f t="shared" si="89"/>
        <v>-845.49588000000131</v>
      </c>
    </row>
    <row r="608" spans="1:31" x14ac:dyDescent="0.3">
      <c r="A608" s="36" t="s">
        <v>621</v>
      </c>
      <c r="B608" s="49">
        <v>45827</v>
      </c>
      <c r="C608" s="47" t="str">
        <f t="shared" si="82"/>
        <v>Q2-2025</v>
      </c>
      <c r="D608" s="37">
        <v>45829</v>
      </c>
      <c r="E608" s="16">
        <f t="shared" si="81"/>
        <v>2</v>
      </c>
      <c r="F608" s="38" t="s">
        <v>646</v>
      </c>
      <c r="G608" s="38" t="s">
        <v>661</v>
      </c>
      <c r="H608" s="38" t="s">
        <v>682</v>
      </c>
      <c r="I608" s="38" t="s">
        <v>705</v>
      </c>
      <c r="J608" s="38" t="s">
        <v>1424</v>
      </c>
      <c r="K608" s="38" t="s">
        <v>722</v>
      </c>
      <c r="L608" s="38" t="s">
        <v>730</v>
      </c>
      <c r="M608" s="39" t="s">
        <v>1339</v>
      </c>
      <c r="N608" s="40">
        <v>1466.27</v>
      </c>
      <c r="O608" s="40">
        <v>3589.89</v>
      </c>
      <c r="P608" s="30" t="str">
        <f t="shared" si="83"/>
        <v>High</v>
      </c>
      <c r="Q608" s="44">
        <v>9.7000000000000003E-2</v>
      </c>
      <c r="R608" s="42" t="str">
        <f t="shared" si="84"/>
        <v>Low</v>
      </c>
      <c r="S608" s="16">
        <v>9</v>
      </c>
      <c r="T608" s="30">
        <v>29175.036029999999</v>
      </c>
      <c r="U608" s="30">
        <v>13196.43</v>
      </c>
      <c r="V608" s="30">
        <v>15978.606029999999</v>
      </c>
      <c r="W608" s="30">
        <v>0.54768076425234147</v>
      </c>
      <c r="X608" t="str">
        <f t="shared" si="85"/>
        <v>On-time</v>
      </c>
      <c r="Y608" t="str">
        <f t="shared" si="86"/>
        <v>Compliant Discount</v>
      </c>
      <c r="Z608" s="9">
        <f>MIN(Q608,'Scenario Modelling'!$B$2)</f>
        <v>9.7000000000000003E-2</v>
      </c>
      <c r="AA608">
        <f t="shared" si="87"/>
        <v>3241.67067</v>
      </c>
      <c r="AB608">
        <f>N608*(1+'Scenario Modelling'!$B$3)</f>
        <v>1612.8970000000002</v>
      </c>
      <c r="AC608">
        <f>ROUNDUP(S608*(1+'Scenario Modelling'!$B$4),0)</f>
        <v>10</v>
      </c>
      <c r="AD608">
        <f t="shared" si="88"/>
        <v>32416.706699999999</v>
      </c>
      <c r="AE608">
        <f t="shared" si="89"/>
        <v>16287.736699999998</v>
      </c>
    </row>
    <row r="609" spans="1:31" x14ac:dyDescent="0.3">
      <c r="A609" s="31" t="s">
        <v>622</v>
      </c>
      <c r="B609" s="48">
        <v>45623</v>
      </c>
      <c r="C609" s="47" t="str">
        <f t="shared" si="82"/>
        <v>Q4-2024</v>
      </c>
      <c r="D609" s="32">
        <v>45650</v>
      </c>
      <c r="E609" s="17">
        <f t="shared" si="81"/>
        <v>27</v>
      </c>
      <c r="F609" s="33" t="s">
        <v>646</v>
      </c>
      <c r="G609" s="33" t="s">
        <v>650</v>
      </c>
      <c r="H609" s="33" t="s">
        <v>675</v>
      </c>
      <c r="I609" s="33" t="s">
        <v>701</v>
      </c>
      <c r="J609" s="33" t="s">
        <v>710</v>
      </c>
      <c r="K609" s="33" t="s">
        <v>717</v>
      </c>
      <c r="L609" s="33" t="s">
        <v>728</v>
      </c>
      <c r="M609" s="34" t="s">
        <v>1340</v>
      </c>
      <c r="N609" s="35">
        <v>143.33000000000001</v>
      </c>
      <c r="O609" s="35">
        <v>233.51</v>
      </c>
      <c r="P609" s="30" t="str">
        <f t="shared" si="83"/>
        <v>Low</v>
      </c>
      <c r="Q609" s="43">
        <v>0.16300000000000001</v>
      </c>
      <c r="R609" s="42" t="str">
        <f t="shared" si="84"/>
        <v>Medium</v>
      </c>
      <c r="S609" s="17">
        <v>14</v>
      </c>
      <c r="T609" s="30">
        <v>2736.27018</v>
      </c>
      <c r="U609" s="30">
        <v>2006.6200000000001</v>
      </c>
      <c r="V609" s="30">
        <v>729.65017999999986</v>
      </c>
      <c r="W609" s="30">
        <v>0.26665867476580835</v>
      </c>
      <c r="X609" t="str">
        <f t="shared" si="85"/>
        <v>Delayed</v>
      </c>
      <c r="Y609" t="str">
        <f t="shared" si="86"/>
        <v>Compliant Discount</v>
      </c>
      <c r="Z609" s="9">
        <f>MIN(Q609,'Scenario Modelling'!$B$2)</f>
        <v>0.16300000000000001</v>
      </c>
      <c r="AA609">
        <f t="shared" si="87"/>
        <v>195.44786999999999</v>
      </c>
      <c r="AB609">
        <f>N609*(1+'Scenario Modelling'!$B$3)</f>
        <v>157.66300000000004</v>
      </c>
      <c r="AC609">
        <f>ROUNDUP(S609*(1+'Scenario Modelling'!$B$4),0)</f>
        <v>15</v>
      </c>
      <c r="AD609">
        <f t="shared" si="88"/>
        <v>2931.7180499999999</v>
      </c>
      <c r="AE609">
        <f t="shared" si="89"/>
        <v>566.77304999999933</v>
      </c>
    </row>
    <row r="610" spans="1:31" x14ac:dyDescent="0.3">
      <c r="A610" s="36" t="s">
        <v>623</v>
      </c>
      <c r="B610" s="49">
        <v>45319</v>
      </c>
      <c r="C610" s="47" t="str">
        <f t="shared" si="82"/>
        <v>Q1-2024</v>
      </c>
      <c r="D610" s="37">
        <v>45326</v>
      </c>
      <c r="E610" s="16">
        <f t="shared" si="81"/>
        <v>7</v>
      </c>
      <c r="F610" s="38" t="s">
        <v>646</v>
      </c>
      <c r="G610" s="38" t="s">
        <v>661</v>
      </c>
      <c r="H610" s="38" t="s">
        <v>695</v>
      </c>
      <c r="I610" s="38" t="s">
        <v>706</v>
      </c>
      <c r="J610" s="38" t="s">
        <v>711</v>
      </c>
      <c r="K610" s="38" t="s">
        <v>719</v>
      </c>
      <c r="L610" s="38" t="s">
        <v>727</v>
      </c>
      <c r="M610" s="39" t="s">
        <v>1341</v>
      </c>
      <c r="N610" s="40">
        <v>109.75</v>
      </c>
      <c r="O610" s="40">
        <v>124.25</v>
      </c>
      <c r="P610" s="30" t="str">
        <f t="shared" si="83"/>
        <v>Low</v>
      </c>
      <c r="Q610" s="44">
        <v>0.12</v>
      </c>
      <c r="R610" s="42" t="str">
        <f t="shared" si="84"/>
        <v>Medium</v>
      </c>
      <c r="S610" s="16">
        <v>19</v>
      </c>
      <c r="T610" s="30">
        <v>2077.46</v>
      </c>
      <c r="U610" s="30">
        <v>2085.25</v>
      </c>
      <c r="V610" s="30">
        <v>-7.7899999999999636</v>
      </c>
      <c r="W610" s="30">
        <v>-3.7497713554051405E-3</v>
      </c>
      <c r="X610" t="str">
        <f t="shared" si="85"/>
        <v>On-time</v>
      </c>
      <c r="Y610" t="str">
        <f t="shared" si="86"/>
        <v>Compliant Discount</v>
      </c>
      <c r="Z610" s="9">
        <f>MIN(Q610,'Scenario Modelling'!$B$2)</f>
        <v>0.12</v>
      </c>
      <c r="AA610">
        <f t="shared" si="87"/>
        <v>109.34</v>
      </c>
      <c r="AB610">
        <f>N610*(1+'Scenario Modelling'!$B$3)</f>
        <v>120.72500000000001</v>
      </c>
      <c r="AC610">
        <f>ROUNDUP(S610*(1+'Scenario Modelling'!$B$4),0)</f>
        <v>20</v>
      </c>
      <c r="AD610">
        <f t="shared" si="88"/>
        <v>2186.8000000000002</v>
      </c>
      <c r="AE610">
        <f t="shared" si="89"/>
        <v>-227.7000000000001</v>
      </c>
    </row>
    <row r="611" spans="1:31" x14ac:dyDescent="0.3">
      <c r="A611" s="31" t="s">
        <v>624</v>
      </c>
      <c r="B611" s="48">
        <v>45032</v>
      </c>
      <c r="C611" s="47" t="str">
        <f t="shared" si="82"/>
        <v>Q2-2023</v>
      </c>
      <c r="D611" s="32">
        <v>45039</v>
      </c>
      <c r="E611" s="17">
        <f t="shared" si="81"/>
        <v>7</v>
      </c>
      <c r="F611" s="33" t="s">
        <v>648</v>
      </c>
      <c r="G611" s="33" t="s">
        <v>660</v>
      </c>
      <c r="H611" s="33" t="s">
        <v>697</v>
      </c>
      <c r="I611" s="33" t="s">
        <v>701</v>
      </c>
      <c r="J611" s="33" t="s">
        <v>710</v>
      </c>
      <c r="K611" s="33" t="s">
        <v>719</v>
      </c>
      <c r="L611" s="33" t="s">
        <v>728</v>
      </c>
      <c r="M611" s="34" t="s">
        <v>1342</v>
      </c>
      <c r="N611" s="35">
        <v>1099.1500000000001</v>
      </c>
      <c r="O611" s="35">
        <v>1431.37</v>
      </c>
      <c r="P611" s="30" t="str">
        <f t="shared" si="83"/>
        <v>Medium</v>
      </c>
      <c r="Q611" s="43">
        <v>0.104</v>
      </c>
      <c r="R611" s="42" t="str">
        <f t="shared" si="84"/>
        <v>Medium</v>
      </c>
      <c r="S611" s="17">
        <v>8</v>
      </c>
      <c r="T611" s="30">
        <v>10260.060159999999</v>
      </c>
      <c r="U611" s="30">
        <v>8793.2000000000007</v>
      </c>
      <c r="V611" s="30">
        <v>1466.8601599999984</v>
      </c>
      <c r="W611" s="30">
        <v>0.14296798821109433</v>
      </c>
      <c r="X611" t="str">
        <f t="shared" si="85"/>
        <v>On-time</v>
      </c>
      <c r="Y611" t="str">
        <f t="shared" si="86"/>
        <v>Compliant Discount</v>
      </c>
      <c r="Z611" s="9">
        <f>MIN(Q611,'Scenario Modelling'!$B$2)</f>
        <v>0.104</v>
      </c>
      <c r="AA611">
        <f t="shared" si="87"/>
        <v>1282.5075199999999</v>
      </c>
      <c r="AB611">
        <f>N611*(1+'Scenario Modelling'!$B$3)</f>
        <v>1209.0650000000003</v>
      </c>
      <c r="AC611">
        <f>ROUNDUP(S611*(1+'Scenario Modelling'!$B$4),0)</f>
        <v>9</v>
      </c>
      <c r="AD611">
        <f t="shared" si="88"/>
        <v>11542.567679999998</v>
      </c>
      <c r="AE611">
        <f t="shared" si="89"/>
        <v>660.98267999999644</v>
      </c>
    </row>
    <row r="612" spans="1:31" x14ac:dyDescent="0.3">
      <c r="A612" s="36" t="s">
        <v>625</v>
      </c>
      <c r="B612" s="49">
        <v>45323</v>
      </c>
      <c r="C612" s="47" t="str">
        <f t="shared" si="82"/>
        <v>Q1-2024</v>
      </c>
      <c r="D612" s="37">
        <v>45323</v>
      </c>
      <c r="E612" s="16">
        <f t="shared" si="81"/>
        <v>0</v>
      </c>
      <c r="F612" s="38" t="s">
        <v>648</v>
      </c>
      <c r="G612" s="38" t="s">
        <v>660</v>
      </c>
      <c r="H612" s="38" t="s">
        <v>697</v>
      </c>
      <c r="I612" s="38" t="s">
        <v>704</v>
      </c>
      <c r="J612" s="38" t="s">
        <v>710</v>
      </c>
      <c r="K612" s="38" t="s">
        <v>722</v>
      </c>
      <c r="L612" s="38" t="s">
        <v>728</v>
      </c>
      <c r="M612" s="39" t="s">
        <v>1343</v>
      </c>
      <c r="N612" s="40">
        <v>714.43</v>
      </c>
      <c r="O612" s="40">
        <v>1595.52</v>
      </c>
      <c r="P612" s="30" t="str">
        <f t="shared" si="83"/>
        <v>Medium</v>
      </c>
      <c r="Q612" s="44">
        <v>0.19400000000000001</v>
      </c>
      <c r="R612" s="42" t="str">
        <f t="shared" si="84"/>
        <v>Medium</v>
      </c>
      <c r="S612" s="16">
        <v>14</v>
      </c>
      <c r="T612" s="30">
        <v>18003.847679999999</v>
      </c>
      <c r="U612" s="30">
        <v>10002.019999999999</v>
      </c>
      <c r="V612" s="30">
        <v>8001.8276800000003</v>
      </c>
      <c r="W612" s="30">
        <v>0.44445097638151093</v>
      </c>
      <c r="X612" t="str">
        <f t="shared" si="85"/>
        <v>On-time</v>
      </c>
      <c r="Y612" t="str">
        <f t="shared" si="86"/>
        <v>Compliant Discount</v>
      </c>
      <c r="Z612" s="9">
        <f>MIN(Q612,'Scenario Modelling'!$B$2)</f>
        <v>0.19400000000000001</v>
      </c>
      <c r="AA612">
        <f t="shared" si="87"/>
        <v>1285.98912</v>
      </c>
      <c r="AB612">
        <f>N612*(1+'Scenario Modelling'!$B$3)</f>
        <v>785.87300000000005</v>
      </c>
      <c r="AC612">
        <f>ROUNDUP(S612*(1+'Scenario Modelling'!$B$4),0)</f>
        <v>15</v>
      </c>
      <c r="AD612">
        <f t="shared" si="88"/>
        <v>19289.836800000001</v>
      </c>
      <c r="AE612">
        <f t="shared" si="89"/>
        <v>7501.7417999999989</v>
      </c>
    </row>
    <row r="613" spans="1:31" x14ac:dyDescent="0.3">
      <c r="A613" s="31" t="s">
        <v>626</v>
      </c>
      <c r="B613" s="48">
        <v>45584</v>
      </c>
      <c r="C613" s="47" t="str">
        <f t="shared" si="82"/>
        <v>Q4-2024</v>
      </c>
      <c r="D613" s="32">
        <v>45602</v>
      </c>
      <c r="E613" s="17">
        <f t="shared" si="81"/>
        <v>18</v>
      </c>
      <c r="F613" s="33" t="s">
        <v>648</v>
      </c>
      <c r="G613" s="33" t="s">
        <v>660</v>
      </c>
      <c r="H613" s="33" t="s">
        <v>677</v>
      </c>
      <c r="I613" s="33" t="s">
        <v>702</v>
      </c>
      <c r="J613" s="33" t="s">
        <v>1424</v>
      </c>
      <c r="K613" s="33" t="s">
        <v>712</v>
      </c>
      <c r="L613" s="33" t="s">
        <v>732</v>
      </c>
      <c r="M613" s="34" t="s">
        <v>1344</v>
      </c>
      <c r="N613" s="35">
        <v>942.02</v>
      </c>
      <c r="O613" s="35">
        <v>1028.46</v>
      </c>
      <c r="P613" s="30" t="str">
        <f t="shared" si="83"/>
        <v>Medium</v>
      </c>
      <c r="Q613" s="43">
        <v>0</v>
      </c>
      <c r="R613" s="42" t="str">
        <f t="shared" si="84"/>
        <v>Low</v>
      </c>
      <c r="S613" s="17">
        <v>9</v>
      </c>
      <c r="T613" s="30">
        <v>9256.14</v>
      </c>
      <c r="U613" s="30">
        <v>8478.18</v>
      </c>
      <c r="V613" s="30">
        <v>777.95999999999913</v>
      </c>
      <c r="W613" s="30">
        <v>8.4047994088248354E-2</v>
      </c>
      <c r="X613" t="str">
        <f t="shared" si="85"/>
        <v>Delayed</v>
      </c>
      <c r="Y613" t="str">
        <f t="shared" si="86"/>
        <v>Compliant Discount</v>
      </c>
      <c r="Z613" s="9">
        <f>MIN(Q613,'Scenario Modelling'!$B$2)</f>
        <v>0</v>
      </c>
      <c r="AA613">
        <f t="shared" si="87"/>
        <v>1028.46</v>
      </c>
      <c r="AB613">
        <f>N613*(1+'Scenario Modelling'!$B$3)</f>
        <v>1036.222</v>
      </c>
      <c r="AC613">
        <f>ROUNDUP(S613*(1+'Scenario Modelling'!$B$4),0)</f>
        <v>10</v>
      </c>
      <c r="AD613">
        <f t="shared" si="88"/>
        <v>10284.6</v>
      </c>
      <c r="AE613">
        <f t="shared" si="89"/>
        <v>-77.619999999999436</v>
      </c>
    </row>
    <row r="614" spans="1:31" x14ac:dyDescent="0.3">
      <c r="A614" s="36" t="s">
        <v>627</v>
      </c>
      <c r="B614" s="49">
        <v>45468</v>
      </c>
      <c r="C614" s="47" t="str">
        <f t="shared" si="82"/>
        <v>Q2-2024</v>
      </c>
      <c r="D614" s="37">
        <v>45473</v>
      </c>
      <c r="E614" s="16">
        <f t="shared" si="81"/>
        <v>5</v>
      </c>
      <c r="F614" s="38" t="s">
        <v>646</v>
      </c>
      <c r="G614" s="38" t="s">
        <v>650</v>
      </c>
      <c r="H614" s="38" t="s">
        <v>662</v>
      </c>
      <c r="I614" s="38" t="s">
        <v>702</v>
      </c>
      <c r="J614" s="38" t="s">
        <v>711</v>
      </c>
      <c r="K614" s="38" t="s">
        <v>724</v>
      </c>
      <c r="L614" s="38" t="s">
        <v>729</v>
      </c>
      <c r="M614" s="39" t="s">
        <v>1345</v>
      </c>
      <c r="N614" s="40">
        <v>1323.55</v>
      </c>
      <c r="O614" s="40">
        <v>3230.35</v>
      </c>
      <c r="P614" s="30" t="str">
        <f t="shared" si="83"/>
        <v>High</v>
      </c>
      <c r="Q614" s="44">
        <v>2.1999999999999999E-2</v>
      </c>
      <c r="R614" s="42" t="str">
        <f t="shared" si="84"/>
        <v>Low</v>
      </c>
      <c r="S614" s="16">
        <v>26</v>
      </c>
      <c r="T614" s="30">
        <v>82141.339799999987</v>
      </c>
      <c r="U614" s="30">
        <v>34412.299999999996</v>
      </c>
      <c r="V614" s="30">
        <v>47729.039799999991</v>
      </c>
      <c r="W614" s="30">
        <v>0.58105991351263542</v>
      </c>
      <c r="X614" t="str">
        <f t="shared" si="85"/>
        <v>On-time</v>
      </c>
      <c r="Y614" t="str">
        <f t="shared" si="86"/>
        <v>Compliant Discount</v>
      </c>
      <c r="Z614" s="9">
        <f>MIN(Q614,'Scenario Modelling'!$B$2)</f>
        <v>2.1999999999999999E-2</v>
      </c>
      <c r="AA614">
        <f t="shared" si="87"/>
        <v>3159.2822999999999</v>
      </c>
      <c r="AB614">
        <f>N614*(1+'Scenario Modelling'!$B$3)</f>
        <v>1455.905</v>
      </c>
      <c r="AC614">
        <f>ROUNDUP(S614*(1+'Scenario Modelling'!$B$4),0)</f>
        <v>28</v>
      </c>
      <c r="AD614">
        <f t="shared" si="88"/>
        <v>88459.904399999999</v>
      </c>
      <c r="AE614">
        <f t="shared" si="89"/>
        <v>47694.564399999996</v>
      </c>
    </row>
    <row r="615" spans="1:31" x14ac:dyDescent="0.3">
      <c r="A615" s="31" t="s">
        <v>628</v>
      </c>
      <c r="B615" s="48">
        <v>45137</v>
      </c>
      <c r="C615" s="47" t="str">
        <f t="shared" si="82"/>
        <v>Q3-2023</v>
      </c>
      <c r="D615" s="32">
        <v>45157</v>
      </c>
      <c r="E615" s="17">
        <f t="shared" si="81"/>
        <v>20</v>
      </c>
      <c r="F615" s="33" t="s">
        <v>649</v>
      </c>
      <c r="G615" s="33" t="s">
        <v>657</v>
      </c>
      <c r="H615" s="33" t="s">
        <v>690</v>
      </c>
      <c r="I615" s="33" t="s">
        <v>706</v>
      </c>
      <c r="J615" s="33" t="s">
        <v>709</v>
      </c>
      <c r="K615" s="33" t="s">
        <v>715</v>
      </c>
      <c r="L615" s="33" t="s">
        <v>729</v>
      </c>
      <c r="M615" s="34" t="s">
        <v>1346</v>
      </c>
      <c r="N615" s="35">
        <v>1418.51</v>
      </c>
      <c r="O615" s="35">
        <v>2789.61</v>
      </c>
      <c r="P615" s="30" t="str">
        <f t="shared" si="83"/>
        <v>High</v>
      </c>
      <c r="Q615" s="43">
        <v>0.17100000000000001</v>
      </c>
      <c r="R615" s="42" t="str">
        <f t="shared" si="84"/>
        <v>Medium</v>
      </c>
      <c r="S615" s="17">
        <v>8</v>
      </c>
      <c r="T615" s="30">
        <v>18500.693520000001</v>
      </c>
      <c r="U615" s="30">
        <v>11348.08</v>
      </c>
      <c r="V615" s="30">
        <v>7152.6135200000008</v>
      </c>
      <c r="W615" s="30">
        <v>0.38661326464695689</v>
      </c>
      <c r="X615" t="str">
        <f t="shared" si="85"/>
        <v>Delayed</v>
      </c>
      <c r="Y615" t="str">
        <f t="shared" si="86"/>
        <v>Compliant Discount</v>
      </c>
      <c r="Z615" s="9">
        <f>MIN(Q615,'Scenario Modelling'!$B$2)</f>
        <v>0.17100000000000001</v>
      </c>
      <c r="AA615">
        <f t="shared" si="87"/>
        <v>2312.5866900000001</v>
      </c>
      <c r="AB615">
        <f>N615*(1+'Scenario Modelling'!$B$3)</f>
        <v>1560.3610000000001</v>
      </c>
      <c r="AC615">
        <f>ROUNDUP(S615*(1+'Scenario Modelling'!$B$4),0)</f>
        <v>9</v>
      </c>
      <c r="AD615">
        <f t="shared" si="88"/>
        <v>20813.280210000001</v>
      </c>
      <c r="AE615">
        <f t="shared" si="89"/>
        <v>6770.0312100000001</v>
      </c>
    </row>
    <row r="616" spans="1:31" x14ac:dyDescent="0.3">
      <c r="A616" s="36" t="s">
        <v>629</v>
      </c>
      <c r="B616" s="49">
        <v>45727</v>
      </c>
      <c r="C616" s="47" t="str">
        <f t="shared" si="82"/>
        <v>Q1-2025</v>
      </c>
      <c r="D616" s="37">
        <v>45743</v>
      </c>
      <c r="E616" s="16">
        <f t="shared" si="81"/>
        <v>16</v>
      </c>
      <c r="F616" s="38" t="s">
        <v>647</v>
      </c>
      <c r="G616" s="38" t="s">
        <v>652</v>
      </c>
      <c r="H616" s="38" t="s">
        <v>689</v>
      </c>
      <c r="I616" s="38" t="s">
        <v>706</v>
      </c>
      <c r="J616" s="38" t="s">
        <v>710</v>
      </c>
      <c r="K616" s="38" t="s">
        <v>717</v>
      </c>
      <c r="L616" s="38" t="s">
        <v>728</v>
      </c>
      <c r="M616" s="39" t="s">
        <v>1347</v>
      </c>
      <c r="N616" s="40">
        <v>1317.58</v>
      </c>
      <c r="O616" s="40">
        <v>1897.74</v>
      </c>
      <c r="P616" s="30" t="str">
        <f t="shared" si="83"/>
        <v>High</v>
      </c>
      <c r="Q616" s="44">
        <v>8.1000000000000003E-2</v>
      </c>
      <c r="R616" s="42" t="str">
        <f t="shared" si="84"/>
        <v>Low</v>
      </c>
      <c r="S616" s="16">
        <v>6</v>
      </c>
      <c r="T616" s="30">
        <v>10464.138360000001</v>
      </c>
      <c r="U616" s="30">
        <v>7905.48</v>
      </c>
      <c r="V616" s="30">
        <v>2558.6583600000013</v>
      </c>
      <c r="W616" s="30">
        <v>0.24451687009230266</v>
      </c>
      <c r="X616" t="str">
        <f t="shared" si="85"/>
        <v>Delayed</v>
      </c>
      <c r="Y616" t="str">
        <f t="shared" si="86"/>
        <v>Compliant Discount</v>
      </c>
      <c r="Z616" s="9">
        <f>MIN(Q616,'Scenario Modelling'!$B$2)</f>
        <v>8.1000000000000003E-2</v>
      </c>
      <c r="AA616">
        <f t="shared" si="87"/>
        <v>1744.02306</v>
      </c>
      <c r="AB616">
        <f>N616*(1+'Scenario Modelling'!$B$3)</f>
        <v>1449.338</v>
      </c>
      <c r="AC616">
        <f>ROUNDUP(S616*(1+'Scenario Modelling'!$B$4),0)</f>
        <v>7</v>
      </c>
      <c r="AD616">
        <f t="shared" si="88"/>
        <v>12208.16142</v>
      </c>
      <c r="AE616">
        <f t="shared" si="89"/>
        <v>2062.7954200000004</v>
      </c>
    </row>
    <row r="617" spans="1:31" x14ac:dyDescent="0.3">
      <c r="A617" s="31" t="s">
        <v>630</v>
      </c>
      <c r="B617" s="48">
        <v>45208</v>
      </c>
      <c r="C617" s="47" t="str">
        <f t="shared" si="82"/>
        <v>Q4-2023</v>
      </c>
      <c r="D617" s="32">
        <v>45210</v>
      </c>
      <c r="E617" s="17">
        <f t="shared" si="81"/>
        <v>2</v>
      </c>
      <c r="F617" s="33" t="s">
        <v>646</v>
      </c>
      <c r="G617" s="33" t="s">
        <v>651</v>
      </c>
      <c r="H617" s="33" t="s">
        <v>663</v>
      </c>
      <c r="I617" s="33" t="s">
        <v>702</v>
      </c>
      <c r="J617" s="33" t="s">
        <v>709</v>
      </c>
      <c r="K617" s="33" t="s">
        <v>723</v>
      </c>
      <c r="L617" s="33" t="s">
        <v>729</v>
      </c>
      <c r="M617" s="34" t="s">
        <v>1348</v>
      </c>
      <c r="N617" s="35">
        <v>391.16</v>
      </c>
      <c r="O617" s="35">
        <v>902.47</v>
      </c>
      <c r="P617" s="30" t="str">
        <f t="shared" si="83"/>
        <v>Medium</v>
      </c>
      <c r="Q617" s="43">
        <v>4.0000000000000001E-3</v>
      </c>
      <c r="R617" s="42" t="str">
        <f t="shared" si="84"/>
        <v>Low</v>
      </c>
      <c r="S617" s="17">
        <v>12</v>
      </c>
      <c r="T617" s="30">
        <v>10786.32144</v>
      </c>
      <c r="U617" s="30">
        <v>4693.92</v>
      </c>
      <c r="V617" s="30">
        <v>6092.4014399999996</v>
      </c>
      <c r="W617" s="30">
        <v>0.56482661618139207</v>
      </c>
      <c r="X617" t="str">
        <f t="shared" si="85"/>
        <v>On-time</v>
      </c>
      <c r="Y617" t="str">
        <f t="shared" si="86"/>
        <v>Compliant Discount</v>
      </c>
      <c r="Z617" s="9">
        <f>MIN(Q617,'Scenario Modelling'!$B$2)</f>
        <v>4.0000000000000001E-3</v>
      </c>
      <c r="AA617">
        <f t="shared" si="87"/>
        <v>898.86012000000005</v>
      </c>
      <c r="AB617">
        <f>N617*(1+'Scenario Modelling'!$B$3)</f>
        <v>430.27600000000007</v>
      </c>
      <c r="AC617">
        <f>ROUNDUP(S617*(1+'Scenario Modelling'!$B$4),0)</f>
        <v>13</v>
      </c>
      <c r="AD617">
        <f t="shared" si="88"/>
        <v>11685.181560000001</v>
      </c>
      <c r="AE617">
        <f t="shared" si="89"/>
        <v>6091.5935599999993</v>
      </c>
    </row>
    <row r="618" spans="1:31" x14ac:dyDescent="0.3">
      <c r="A618" s="36" t="s">
        <v>631</v>
      </c>
      <c r="B618" s="49">
        <v>45643</v>
      </c>
      <c r="C618" s="47" t="str">
        <f t="shared" si="82"/>
        <v>Q4-2024</v>
      </c>
      <c r="D618" s="37">
        <v>45673</v>
      </c>
      <c r="E618" s="16">
        <f t="shared" si="81"/>
        <v>30</v>
      </c>
      <c r="F618" s="38" t="s">
        <v>649</v>
      </c>
      <c r="G618" s="38" t="s">
        <v>658</v>
      </c>
      <c r="H618" s="38" t="s">
        <v>693</v>
      </c>
      <c r="I618" s="38" t="s">
        <v>701</v>
      </c>
      <c r="J618" s="38" t="s">
        <v>707</v>
      </c>
      <c r="K618" s="38" t="s">
        <v>726</v>
      </c>
      <c r="L618" s="38" t="s">
        <v>732</v>
      </c>
      <c r="M618" s="39" t="s">
        <v>1349</v>
      </c>
      <c r="N618" s="40">
        <v>722.87</v>
      </c>
      <c r="O618" s="40">
        <v>33.659999999999997</v>
      </c>
      <c r="P618" s="30" t="str">
        <f t="shared" si="83"/>
        <v>Low</v>
      </c>
      <c r="Q618" s="44">
        <v>0.10199999999999999</v>
      </c>
      <c r="R618" s="42" t="str">
        <f t="shared" si="84"/>
        <v>Medium</v>
      </c>
      <c r="S618" s="16">
        <v>28</v>
      </c>
      <c r="T618" s="30">
        <v>846.34703999999988</v>
      </c>
      <c r="U618" s="30">
        <v>20240.36</v>
      </c>
      <c r="V618" s="30">
        <v>-19394.01296</v>
      </c>
      <c r="W618" s="30">
        <v>-22.914965189693348</v>
      </c>
      <c r="X618" t="str">
        <f t="shared" si="85"/>
        <v>Delayed</v>
      </c>
      <c r="Y618" t="str">
        <f t="shared" si="86"/>
        <v>Compliant Discount</v>
      </c>
      <c r="Z618" s="9">
        <f>MIN(Q618,'Scenario Modelling'!$B$2)</f>
        <v>0.10199999999999999</v>
      </c>
      <c r="AA618">
        <f t="shared" si="87"/>
        <v>30.226679999999998</v>
      </c>
      <c r="AB618">
        <f>N618*(1+'Scenario Modelling'!$B$3)</f>
        <v>795.15700000000004</v>
      </c>
      <c r="AC618">
        <f>ROUNDUP(S618*(1+'Scenario Modelling'!$B$4),0)</f>
        <v>30</v>
      </c>
      <c r="AD618">
        <f t="shared" si="88"/>
        <v>906.80039999999997</v>
      </c>
      <c r="AE618">
        <f t="shared" si="89"/>
        <v>-22947.909600000003</v>
      </c>
    </row>
    <row r="619" spans="1:31" x14ac:dyDescent="0.3">
      <c r="A619" s="31" t="s">
        <v>632</v>
      </c>
      <c r="B619" s="48">
        <v>45849</v>
      </c>
      <c r="C619" s="47" t="str">
        <f t="shared" si="82"/>
        <v>Q3-2025</v>
      </c>
      <c r="D619" s="32">
        <v>45854</v>
      </c>
      <c r="E619" s="17">
        <f t="shared" si="81"/>
        <v>5</v>
      </c>
      <c r="F619" s="33" t="s">
        <v>649</v>
      </c>
      <c r="G619" s="33" t="s">
        <v>658</v>
      </c>
      <c r="H619" s="33" t="s">
        <v>683</v>
      </c>
      <c r="I619" s="33" t="s">
        <v>706</v>
      </c>
      <c r="J619" s="33" t="s">
        <v>708</v>
      </c>
      <c r="K619" s="33" t="s">
        <v>723</v>
      </c>
      <c r="L619" s="33" t="s">
        <v>728</v>
      </c>
      <c r="M619" s="34" t="s">
        <v>1350</v>
      </c>
      <c r="N619" s="35">
        <v>930.03</v>
      </c>
      <c r="O619" s="35">
        <v>1086.68</v>
      </c>
      <c r="P619" s="30" t="str">
        <f t="shared" si="83"/>
        <v>Medium</v>
      </c>
      <c r="Q619" s="43">
        <v>0.109</v>
      </c>
      <c r="R619" s="42" t="str">
        <f t="shared" si="84"/>
        <v>Medium</v>
      </c>
      <c r="S619" s="17">
        <v>26</v>
      </c>
      <c r="T619" s="30">
        <v>25174.028880000002</v>
      </c>
      <c r="U619" s="30">
        <v>24180.78</v>
      </c>
      <c r="V619" s="30">
        <v>993.24888000000283</v>
      </c>
      <c r="W619" s="30">
        <v>3.9455300728168656E-2</v>
      </c>
      <c r="X619" t="str">
        <f t="shared" si="85"/>
        <v>On-time</v>
      </c>
      <c r="Y619" t="str">
        <f t="shared" si="86"/>
        <v>Compliant Discount</v>
      </c>
      <c r="Z619" s="9">
        <f>MIN(Q619,'Scenario Modelling'!$B$2)</f>
        <v>0.109</v>
      </c>
      <c r="AA619">
        <f t="shared" si="87"/>
        <v>968.23188000000005</v>
      </c>
      <c r="AB619">
        <f>N619*(1+'Scenario Modelling'!$B$3)</f>
        <v>1023.033</v>
      </c>
      <c r="AC619">
        <f>ROUNDUP(S619*(1+'Scenario Modelling'!$B$4),0)</f>
        <v>28</v>
      </c>
      <c r="AD619">
        <f t="shared" si="88"/>
        <v>27110.49264</v>
      </c>
      <c r="AE619">
        <f t="shared" si="89"/>
        <v>-1534.4313599999991</v>
      </c>
    </row>
    <row r="620" spans="1:31" x14ac:dyDescent="0.3">
      <c r="A620" s="36" t="s">
        <v>633</v>
      </c>
      <c r="B620" s="49">
        <v>45578</v>
      </c>
      <c r="C620" s="47" t="str">
        <f t="shared" si="82"/>
        <v>Q4-2024</v>
      </c>
      <c r="D620" s="37">
        <v>45589</v>
      </c>
      <c r="E620" s="16">
        <f t="shared" si="81"/>
        <v>11</v>
      </c>
      <c r="F620" s="38" t="s">
        <v>649</v>
      </c>
      <c r="G620" s="38" t="s">
        <v>657</v>
      </c>
      <c r="H620" s="38" t="s">
        <v>690</v>
      </c>
      <c r="I620" s="38" t="s">
        <v>702</v>
      </c>
      <c r="J620" s="38" t="s">
        <v>710</v>
      </c>
      <c r="K620" s="38" t="s">
        <v>721</v>
      </c>
      <c r="L620" s="38" t="s">
        <v>727</v>
      </c>
      <c r="M620" s="39" t="s">
        <v>1351</v>
      </c>
      <c r="N620" s="40">
        <v>816.7</v>
      </c>
      <c r="O620" s="40">
        <v>1010.75</v>
      </c>
      <c r="P620" s="30" t="str">
        <f t="shared" si="83"/>
        <v>Medium</v>
      </c>
      <c r="Q620" s="44">
        <v>4.7E-2</v>
      </c>
      <c r="R620" s="42" t="str">
        <f t="shared" si="84"/>
        <v>Low</v>
      </c>
      <c r="S620" s="16">
        <v>43</v>
      </c>
      <c r="T620" s="30">
        <v>41419.524249999995</v>
      </c>
      <c r="U620" s="30">
        <v>35118.1</v>
      </c>
      <c r="V620" s="30">
        <v>6301.4242499999964</v>
      </c>
      <c r="W620" s="30">
        <v>0.15213656757537472</v>
      </c>
      <c r="X620" t="str">
        <f t="shared" si="85"/>
        <v>Delayed</v>
      </c>
      <c r="Y620" t="str">
        <f t="shared" si="86"/>
        <v>Compliant Discount</v>
      </c>
      <c r="Z620" s="9">
        <f>MIN(Q620,'Scenario Modelling'!$B$2)</f>
        <v>4.7E-2</v>
      </c>
      <c r="AA620">
        <f t="shared" si="87"/>
        <v>963.24474999999995</v>
      </c>
      <c r="AB620">
        <f>N620*(1+'Scenario Modelling'!$B$3)</f>
        <v>898.37000000000012</v>
      </c>
      <c r="AC620">
        <f>ROUNDUP(S620*(1+'Scenario Modelling'!$B$4),0)</f>
        <v>46</v>
      </c>
      <c r="AD620">
        <f t="shared" si="88"/>
        <v>44309.258499999996</v>
      </c>
      <c r="AE620">
        <f t="shared" si="89"/>
        <v>2984.2384999999922</v>
      </c>
    </row>
    <row r="621" spans="1:31" x14ac:dyDescent="0.3">
      <c r="A621" s="31" t="s">
        <v>634</v>
      </c>
      <c r="B621" s="48">
        <v>45177</v>
      </c>
      <c r="C621" s="47" t="str">
        <f t="shared" si="82"/>
        <v>Q3-2023</v>
      </c>
      <c r="D621" s="32">
        <v>45183</v>
      </c>
      <c r="E621" s="17">
        <f t="shared" si="81"/>
        <v>6</v>
      </c>
      <c r="F621" s="33" t="s">
        <v>646</v>
      </c>
      <c r="G621" s="33" t="s">
        <v>650</v>
      </c>
      <c r="H621" s="33" t="s">
        <v>678</v>
      </c>
      <c r="I621" s="33" t="s">
        <v>702</v>
      </c>
      <c r="J621" s="33" t="s">
        <v>711</v>
      </c>
      <c r="K621" s="33" t="s">
        <v>714</v>
      </c>
      <c r="L621" s="33" t="s">
        <v>733</v>
      </c>
      <c r="M621" s="34" t="s">
        <v>1352</v>
      </c>
      <c r="N621" s="35">
        <v>251.03</v>
      </c>
      <c r="O621" s="35">
        <v>411.48</v>
      </c>
      <c r="P621" s="30" t="str">
        <f t="shared" si="83"/>
        <v>Low</v>
      </c>
      <c r="Q621" s="43">
        <v>0.16500000000000001</v>
      </c>
      <c r="R621" s="42" t="str">
        <f t="shared" si="84"/>
        <v>Medium</v>
      </c>
      <c r="S621" s="17">
        <v>3</v>
      </c>
      <c r="T621" s="30">
        <v>1030.7574</v>
      </c>
      <c r="U621" s="30">
        <v>753.09</v>
      </c>
      <c r="V621" s="30">
        <v>277.66739999999993</v>
      </c>
      <c r="W621" s="30">
        <v>0.26938191275658069</v>
      </c>
      <c r="X621" t="str">
        <f t="shared" si="85"/>
        <v>On-time</v>
      </c>
      <c r="Y621" t="str">
        <f t="shared" si="86"/>
        <v>Compliant Discount</v>
      </c>
      <c r="Z621" s="9">
        <f>MIN(Q621,'Scenario Modelling'!$B$2)</f>
        <v>0.16500000000000001</v>
      </c>
      <c r="AA621">
        <f t="shared" si="87"/>
        <v>343.58580000000001</v>
      </c>
      <c r="AB621">
        <f>N621*(1+'Scenario Modelling'!$B$3)</f>
        <v>276.13300000000004</v>
      </c>
      <c r="AC621">
        <f>ROUNDUP(S621*(1+'Scenario Modelling'!$B$4),0)</f>
        <v>4</v>
      </c>
      <c r="AD621">
        <f t="shared" si="88"/>
        <v>1374.3432</v>
      </c>
      <c r="AE621">
        <f t="shared" si="89"/>
        <v>269.81119999999987</v>
      </c>
    </row>
    <row r="622" spans="1:31" x14ac:dyDescent="0.3">
      <c r="A622" s="36" t="s">
        <v>635</v>
      </c>
      <c r="B622" s="49">
        <v>45764</v>
      </c>
      <c r="C622" s="47" t="str">
        <f t="shared" si="82"/>
        <v>Q2-2025</v>
      </c>
      <c r="D622" s="37">
        <v>45780</v>
      </c>
      <c r="E622" s="16">
        <f t="shared" si="81"/>
        <v>16</v>
      </c>
      <c r="F622" s="38" t="s">
        <v>648</v>
      </c>
      <c r="G622" s="38" t="s">
        <v>655</v>
      </c>
      <c r="H622" s="38" t="s">
        <v>692</v>
      </c>
      <c r="I622" s="38" t="s">
        <v>704</v>
      </c>
      <c r="J622" s="38" t="s">
        <v>709</v>
      </c>
      <c r="K622" s="38" t="s">
        <v>713</v>
      </c>
      <c r="L622" s="38" t="s">
        <v>729</v>
      </c>
      <c r="M622" s="39" t="s">
        <v>1353</v>
      </c>
      <c r="N622" s="40">
        <v>168.68</v>
      </c>
      <c r="O622" s="40">
        <v>413.34</v>
      </c>
      <c r="P622" s="30" t="str">
        <f t="shared" si="83"/>
        <v>Low</v>
      </c>
      <c r="Q622" s="44">
        <v>0.186</v>
      </c>
      <c r="R622" s="42" t="str">
        <f t="shared" si="84"/>
        <v>Medium</v>
      </c>
      <c r="S622" s="16">
        <v>7</v>
      </c>
      <c r="T622" s="30">
        <v>2355.2113199999999</v>
      </c>
      <c r="U622" s="30">
        <v>1180.76</v>
      </c>
      <c r="V622" s="30">
        <v>1174.4513199999999</v>
      </c>
      <c r="W622" s="30">
        <v>0.49866069767361682</v>
      </c>
      <c r="X622" t="str">
        <f t="shared" si="85"/>
        <v>Delayed</v>
      </c>
      <c r="Y622" t="str">
        <f t="shared" si="86"/>
        <v>Compliant Discount</v>
      </c>
      <c r="Z622" s="9">
        <f>MIN(Q622,'Scenario Modelling'!$B$2)</f>
        <v>0.186</v>
      </c>
      <c r="AA622">
        <f t="shared" si="87"/>
        <v>336.45875999999998</v>
      </c>
      <c r="AB622">
        <f>N622*(1+'Scenario Modelling'!$B$3)</f>
        <v>185.54800000000003</v>
      </c>
      <c r="AC622">
        <f>ROUNDUP(S622*(1+'Scenario Modelling'!$B$4),0)</f>
        <v>8</v>
      </c>
      <c r="AD622">
        <f t="shared" si="88"/>
        <v>2691.6700799999999</v>
      </c>
      <c r="AE622">
        <f t="shared" si="89"/>
        <v>1207.2860799999996</v>
      </c>
    </row>
    <row r="623" spans="1:31" x14ac:dyDescent="0.3">
      <c r="A623" s="31" t="s">
        <v>636</v>
      </c>
      <c r="B623" s="48">
        <v>45501</v>
      </c>
      <c r="C623" s="47" t="str">
        <f t="shared" si="82"/>
        <v>Q3-2024</v>
      </c>
      <c r="D623" s="32">
        <v>45527</v>
      </c>
      <c r="E623" s="17">
        <f t="shared" si="81"/>
        <v>26</v>
      </c>
      <c r="F623" s="33" t="s">
        <v>647</v>
      </c>
      <c r="G623" s="33" t="s">
        <v>654</v>
      </c>
      <c r="H623" s="33" t="s">
        <v>696</v>
      </c>
      <c r="I623" s="33" t="s">
        <v>701</v>
      </c>
      <c r="J623" s="33" t="s">
        <v>707</v>
      </c>
      <c r="K623" s="33" t="s">
        <v>713</v>
      </c>
      <c r="L623" s="33" t="s">
        <v>729</v>
      </c>
      <c r="M623" s="34" t="s">
        <v>1354</v>
      </c>
      <c r="N623" s="35">
        <v>1339.24</v>
      </c>
      <c r="O623" s="35">
        <v>1558.89</v>
      </c>
      <c r="P623" s="30" t="str">
        <f t="shared" si="83"/>
        <v>Medium</v>
      </c>
      <c r="Q623" s="43">
        <v>0.192</v>
      </c>
      <c r="R623" s="42" t="str">
        <f t="shared" si="84"/>
        <v>Medium</v>
      </c>
      <c r="S623" s="17">
        <v>24</v>
      </c>
      <c r="T623" s="30">
        <v>30229.994880000002</v>
      </c>
      <c r="U623" s="30">
        <v>32141.760000000002</v>
      </c>
      <c r="V623" s="30">
        <v>-1911.76512</v>
      </c>
      <c r="W623" s="30">
        <v>-6.3240669659021781E-2</v>
      </c>
      <c r="X623" t="str">
        <f t="shared" si="85"/>
        <v>Delayed</v>
      </c>
      <c r="Y623" t="str">
        <f t="shared" si="86"/>
        <v>Compliant Discount</v>
      </c>
      <c r="Z623" s="9">
        <f>MIN(Q623,'Scenario Modelling'!$B$2)</f>
        <v>0.192</v>
      </c>
      <c r="AA623">
        <f t="shared" si="87"/>
        <v>1259.5831200000002</v>
      </c>
      <c r="AB623">
        <f>N623*(1+'Scenario Modelling'!$B$3)</f>
        <v>1473.1640000000002</v>
      </c>
      <c r="AC623">
        <f>ROUNDUP(S623*(1+'Scenario Modelling'!$B$4),0)</f>
        <v>26</v>
      </c>
      <c r="AD623">
        <f t="shared" si="88"/>
        <v>32749.161120000004</v>
      </c>
      <c r="AE623">
        <f t="shared" si="89"/>
        <v>-5553.1028799999995</v>
      </c>
    </row>
    <row r="624" spans="1:31" x14ac:dyDescent="0.3">
      <c r="A624" s="36" t="s">
        <v>637</v>
      </c>
      <c r="B624" s="49">
        <v>45857</v>
      </c>
      <c r="C624" s="47" t="str">
        <f t="shared" si="82"/>
        <v>Q3-2025</v>
      </c>
      <c r="D624" s="37">
        <v>45869</v>
      </c>
      <c r="E624" s="16">
        <f t="shared" si="81"/>
        <v>12</v>
      </c>
      <c r="F624" s="38" t="s">
        <v>646</v>
      </c>
      <c r="G624" s="38" t="s">
        <v>650</v>
      </c>
      <c r="H624" s="38" t="s">
        <v>664</v>
      </c>
      <c r="I624" s="38" t="s">
        <v>705</v>
      </c>
      <c r="J624" s="38" t="s">
        <v>709</v>
      </c>
      <c r="K624" s="38" t="s">
        <v>719</v>
      </c>
      <c r="L624" s="38" t="s">
        <v>733</v>
      </c>
      <c r="M624" s="39" t="s">
        <v>1355</v>
      </c>
      <c r="N624" s="40">
        <v>619.64</v>
      </c>
      <c r="O624" s="40">
        <v>861.16</v>
      </c>
      <c r="P624" s="30" t="str">
        <f t="shared" si="83"/>
        <v>Low</v>
      </c>
      <c r="Q624" s="44">
        <v>0.113</v>
      </c>
      <c r="R624" s="42" t="str">
        <f t="shared" si="84"/>
        <v>Medium</v>
      </c>
      <c r="S624" s="16">
        <v>14</v>
      </c>
      <c r="T624" s="30">
        <v>10693.88488</v>
      </c>
      <c r="U624" s="30">
        <v>8674.9599999999991</v>
      </c>
      <c r="V624" s="30">
        <v>2018.9248800000005</v>
      </c>
      <c r="W624" s="30">
        <v>0.18879246435276761</v>
      </c>
      <c r="X624" t="str">
        <f t="shared" si="85"/>
        <v>Delayed</v>
      </c>
      <c r="Y624" t="str">
        <f t="shared" si="86"/>
        <v>Compliant Discount</v>
      </c>
      <c r="Z624" s="9">
        <f>MIN(Q624,'Scenario Modelling'!$B$2)</f>
        <v>0.113</v>
      </c>
      <c r="AA624">
        <f t="shared" si="87"/>
        <v>763.84892000000002</v>
      </c>
      <c r="AB624">
        <f>N624*(1+'Scenario Modelling'!$B$3)</f>
        <v>681.60400000000004</v>
      </c>
      <c r="AC624">
        <f>ROUNDUP(S624*(1+'Scenario Modelling'!$B$4),0)</f>
        <v>15</v>
      </c>
      <c r="AD624">
        <f t="shared" si="88"/>
        <v>11457.7338</v>
      </c>
      <c r="AE624">
        <f t="shared" si="89"/>
        <v>1233.6737999999996</v>
      </c>
    </row>
    <row r="625" spans="1:31" x14ac:dyDescent="0.3">
      <c r="A625" s="31" t="s">
        <v>638</v>
      </c>
      <c r="B625" s="48">
        <v>45141</v>
      </c>
      <c r="C625" s="47" t="str">
        <f t="shared" si="82"/>
        <v>Q3-2023</v>
      </c>
      <c r="D625" s="32">
        <v>45148</v>
      </c>
      <c r="E625" s="17">
        <f t="shared" si="81"/>
        <v>7</v>
      </c>
      <c r="F625" s="33" t="s">
        <v>647</v>
      </c>
      <c r="G625" s="33" t="s">
        <v>659</v>
      </c>
      <c r="H625" s="33" t="s">
        <v>685</v>
      </c>
      <c r="I625" s="33" t="s">
        <v>703</v>
      </c>
      <c r="J625" s="33" t="s">
        <v>711</v>
      </c>
      <c r="K625" s="33" t="s">
        <v>713</v>
      </c>
      <c r="L625" s="33" t="s">
        <v>729</v>
      </c>
      <c r="M625" s="34" t="s">
        <v>1356</v>
      </c>
      <c r="N625" s="35">
        <v>1021.97</v>
      </c>
      <c r="O625" s="35">
        <v>2296.25</v>
      </c>
      <c r="P625" s="30" t="str">
        <f t="shared" si="83"/>
        <v>High</v>
      </c>
      <c r="Q625" s="43">
        <v>0.161</v>
      </c>
      <c r="R625" s="42" t="str">
        <f t="shared" si="84"/>
        <v>Medium</v>
      </c>
      <c r="S625" s="17">
        <v>26</v>
      </c>
      <c r="T625" s="30">
        <v>50090.397499999999</v>
      </c>
      <c r="U625" s="30">
        <v>26571.22</v>
      </c>
      <c r="V625" s="30">
        <v>23519.177499999998</v>
      </c>
      <c r="W625" s="30">
        <v>0.46953465482081669</v>
      </c>
      <c r="X625" t="str">
        <f t="shared" si="85"/>
        <v>On-time</v>
      </c>
      <c r="Y625" t="str">
        <f t="shared" si="86"/>
        <v>Compliant Discount</v>
      </c>
      <c r="Z625" s="9">
        <f>MIN(Q625,'Scenario Modelling'!$B$2)</f>
        <v>0.161</v>
      </c>
      <c r="AA625">
        <f t="shared" si="87"/>
        <v>1926.55375</v>
      </c>
      <c r="AB625">
        <f>N625*(1+'Scenario Modelling'!$B$3)</f>
        <v>1124.1670000000001</v>
      </c>
      <c r="AC625">
        <f>ROUNDUP(S625*(1+'Scenario Modelling'!$B$4),0)</f>
        <v>28</v>
      </c>
      <c r="AD625">
        <f t="shared" si="88"/>
        <v>53943.505000000005</v>
      </c>
      <c r="AE625">
        <f t="shared" si="89"/>
        <v>22466.828999999998</v>
      </c>
    </row>
    <row r="626" spans="1:31" x14ac:dyDescent="0.3">
      <c r="A626" s="36" t="s">
        <v>639</v>
      </c>
      <c r="B626" s="49">
        <v>45249</v>
      </c>
      <c r="C626" s="47" t="str">
        <f t="shared" si="82"/>
        <v>Q4-2023</v>
      </c>
      <c r="D626" s="37">
        <v>45272</v>
      </c>
      <c r="E626" s="16">
        <f t="shared" si="81"/>
        <v>23</v>
      </c>
      <c r="F626" s="38" t="s">
        <v>647</v>
      </c>
      <c r="G626" s="38" t="s">
        <v>654</v>
      </c>
      <c r="H626" s="38" t="s">
        <v>680</v>
      </c>
      <c r="I626" s="38" t="s">
        <v>705</v>
      </c>
      <c r="J626" s="38" t="s">
        <v>711</v>
      </c>
      <c r="K626" s="38" t="s">
        <v>712</v>
      </c>
      <c r="L626" s="38" t="s">
        <v>729</v>
      </c>
      <c r="M626" s="39" t="s">
        <v>1357</v>
      </c>
      <c r="N626" s="40">
        <v>1349.04</v>
      </c>
      <c r="O626" s="40">
        <v>2636.6</v>
      </c>
      <c r="P626" s="30" t="str">
        <f t="shared" si="83"/>
        <v>High</v>
      </c>
      <c r="Q626" s="44">
        <v>0.114</v>
      </c>
      <c r="R626" s="42" t="str">
        <f t="shared" si="84"/>
        <v>Medium</v>
      </c>
      <c r="S626" s="16">
        <v>14</v>
      </c>
      <c r="T626" s="30">
        <v>32704.386400000003</v>
      </c>
      <c r="U626" s="30">
        <v>18886.559999999998</v>
      </c>
      <c r="V626" s="30">
        <v>13817.826400000005</v>
      </c>
      <c r="W626" s="30">
        <v>0.42250682312143928</v>
      </c>
      <c r="X626" t="str">
        <f t="shared" si="85"/>
        <v>Delayed</v>
      </c>
      <c r="Y626" t="str">
        <f t="shared" si="86"/>
        <v>Compliant Discount</v>
      </c>
      <c r="Z626" s="9">
        <f>MIN(Q626,'Scenario Modelling'!$B$2)</f>
        <v>0.114</v>
      </c>
      <c r="AA626">
        <f t="shared" si="87"/>
        <v>2336.0275999999999</v>
      </c>
      <c r="AB626">
        <f>N626*(1+'Scenario Modelling'!$B$3)</f>
        <v>1483.9440000000002</v>
      </c>
      <c r="AC626">
        <f>ROUNDUP(S626*(1+'Scenario Modelling'!$B$4),0)</f>
        <v>15</v>
      </c>
      <c r="AD626">
        <f t="shared" si="88"/>
        <v>35040.413999999997</v>
      </c>
      <c r="AE626">
        <f t="shared" si="89"/>
        <v>12781.253999999995</v>
      </c>
    </row>
    <row r="627" spans="1:31" x14ac:dyDescent="0.3">
      <c r="A627" s="31" t="s">
        <v>640</v>
      </c>
      <c r="B627" s="48">
        <v>45282</v>
      </c>
      <c r="C627" s="47" t="str">
        <f t="shared" si="82"/>
        <v>Q4-2023</v>
      </c>
      <c r="D627" s="32">
        <v>45307</v>
      </c>
      <c r="E627" s="17">
        <f t="shared" si="81"/>
        <v>25</v>
      </c>
      <c r="F627" s="33" t="s">
        <v>647</v>
      </c>
      <c r="G627" s="33" t="s">
        <v>654</v>
      </c>
      <c r="H627" s="33" t="s">
        <v>696</v>
      </c>
      <c r="I627" s="33" t="s">
        <v>705</v>
      </c>
      <c r="J627" s="33" t="s">
        <v>707</v>
      </c>
      <c r="K627" s="33" t="s">
        <v>720</v>
      </c>
      <c r="L627" s="33" t="s">
        <v>727</v>
      </c>
      <c r="M627" s="34" t="s">
        <v>1358</v>
      </c>
      <c r="N627" s="35">
        <v>1346.81</v>
      </c>
      <c r="O627" s="35">
        <v>978.09</v>
      </c>
      <c r="P627" s="30" t="str">
        <f t="shared" si="83"/>
        <v>Medium</v>
      </c>
      <c r="Q627" s="43">
        <v>0.159</v>
      </c>
      <c r="R627" s="42" t="str">
        <f t="shared" si="84"/>
        <v>Medium</v>
      </c>
      <c r="S627" s="17">
        <v>17</v>
      </c>
      <c r="T627" s="30">
        <v>13983.752729999998</v>
      </c>
      <c r="U627" s="30">
        <v>22895.77</v>
      </c>
      <c r="V627" s="30">
        <v>-8912.0172700000021</v>
      </c>
      <c r="W627" s="30">
        <v>-0.6373122753293996</v>
      </c>
      <c r="X627" t="str">
        <f t="shared" si="85"/>
        <v>Delayed</v>
      </c>
      <c r="Y627" t="str">
        <f t="shared" si="86"/>
        <v>Compliant Discount</v>
      </c>
      <c r="Z627" s="9">
        <f>MIN(Q627,'Scenario Modelling'!$B$2)</f>
        <v>0.159</v>
      </c>
      <c r="AA627">
        <f t="shared" si="87"/>
        <v>822.57368999999994</v>
      </c>
      <c r="AB627">
        <f>N627*(1+'Scenario Modelling'!$B$3)</f>
        <v>1481.491</v>
      </c>
      <c r="AC627">
        <f>ROUNDUP(S627*(1+'Scenario Modelling'!$B$4),0)</f>
        <v>18</v>
      </c>
      <c r="AD627">
        <f t="shared" si="88"/>
        <v>14806.326419999999</v>
      </c>
      <c r="AE627">
        <f t="shared" si="89"/>
        <v>-11860.51158</v>
      </c>
    </row>
    <row r="628" spans="1:31" x14ac:dyDescent="0.3">
      <c r="A628" s="36" t="s">
        <v>641</v>
      </c>
      <c r="B628" s="49">
        <v>45141</v>
      </c>
      <c r="C628" s="47" t="str">
        <f t="shared" si="82"/>
        <v>Q3-2023</v>
      </c>
      <c r="D628" s="37">
        <v>45168</v>
      </c>
      <c r="E628" s="16">
        <f t="shared" si="81"/>
        <v>27</v>
      </c>
      <c r="F628" s="38" t="s">
        <v>647</v>
      </c>
      <c r="G628" s="38" t="s">
        <v>659</v>
      </c>
      <c r="H628" s="38" t="s">
        <v>685</v>
      </c>
      <c r="I628" s="38" t="s">
        <v>704</v>
      </c>
      <c r="J628" s="38" t="s">
        <v>710</v>
      </c>
      <c r="K628" s="38" t="s">
        <v>725</v>
      </c>
      <c r="L628" s="38" t="s">
        <v>732</v>
      </c>
      <c r="M628" s="39" t="s">
        <v>1359</v>
      </c>
      <c r="N628" s="40">
        <v>226.04</v>
      </c>
      <c r="O628" s="40">
        <v>545.72</v>
      </c>
      <c r="P628" s="30" t="str">
        <f t="shared" si="83"/>
        <v>Low</v>
      </c>
      <c r="Q628" s="44">
        <v>0.151</v>
      </c>
      <c r="R628" s="42" t="str">
        <f t="shared" si="84"/>
        <v>Medium</v>
      </c>
      <c r="S628" s="16">
        <v>11</v>
      </c>
      <c r="T628" s="30">
        <v>5096.4790800000001</v>
      </c>
      <c r="U628" s="30">
        <v>2486.44</v>
      </c>
      <c r="V628" s="30">
        <v>2610.03908</v>
      </c>
      <c r="W628" s="30">
        <v>0.51212592831834014</v>
      </c>
      <c r="X628" t="str">
        <f t="shared" si="85"/>
        <v>Delayed</v>
      </c>
      <c r="Y628" t="str">
        <f t="shared" si="86"/>
        <v>Compliant Discount</v>
      </c>
      <c r="Z628" s="9">
        <f>MIN(Q628,'Scenario Modelling'!$B$2)</f>
        <v>0.151</v>
      </c>
      <c r="AA628">
        <f t="shared" si="87"/>
        <v>463.31628000000001</v>
      </c>
      <c r="AB628">
        <f>N628*(1+'Scenario Modelling'!$B$3)</f>
        <v>248.64400000000001</v>
      </c>
      <c r="AC628">
        <f>ROUNDUP(S628*(1+'Scenario Modelling'!$B$4),0)</f>
        <v>12</v>
      </c>
      <c r="AD628">
        <f t="shared" si="88"/>
        <v>5559.7953600000001</v>
      </c>
      <c r="AE628">
        <f t="shared" si="89"/>
        <v>2576.06736</v>
      </c>
    </row>
    <row r="629" spans="1:31" x14ac:dyDescent="0.3">
      <c r="A629" s="31" t="s">
        <v>642</v>
      </c>
      <c r="B629" s="48">
        <v>45100</v>
      </c>
      <c r="C629" s="47" t="str">
        <f t="shared" si="82"/>
        <v>Q2-2023</v>
      </c>
      <c r="D629" s="32">
        <v>45125</v>
      </c>
      <c r="E629" s="17">
        <f t="shared" si="81"/>
        <v>25</v>
      </c>
      <c r="F629" s="33" t="s">
        <v>648</v>
      </c>
      <c r="G629" s="33" t="s">
        <v>653</v>
      </c>
      <c r="H629" s="33" t="s">
        <v>688</v>
      </c>
      <c r="I629" s="33" t="s">
        <v>706</v>
      </c>
      <c r="J629" s="33" t="s">
        <v>708</v>
      </c>
      <c r="K629" s="33" t="s">
        <v>725</v>
      </c>
      <c r="L629" s="33" t="s">
        <v>730</v>
      </c>
      <c r="M629" s="34" t="s">
        <v>1360</v>
      </c>
      <c r="N629" s="35">
        <v>807.02</v>
      </c>
      <c r="O629" s="35">
        <v>1435.54</v>
      </c>
      <c r="P629" s="30" t="str">
        <f t="shared" si="83"/>
        <v>Medium</v>
      </c>
      <c r="Q629" s="43">
        <v>0</v>
      </c>
      <c r="R629" s="42" t="str">
        <f t="shared" si="84"/>
        <v>Low</v>
      </c>
      <c r="S629" s="17">
        <v>23</v>
      </c>
      <c r="T629" s="30">
        <v>33017.42</v>
      </c>
      <c r="U629" s="30">
        <v>18561.46</v>
      </c>
      <c r="V629" s="30">
        <v>14455.96</v>
      </c>
      <c r="W629" s="30">
        <v>0.43782827368098415</v>
      </c>
      <c r="X629" t="str">
        <f t="shared" si="85"/>
        <v>Delayed</v>
      </c>
      <c r="Y629" t="str">
        <f t="shared" si="86"/>
        <v>Compliant Discount</v>
      </c>
      <c r="Z629" s="9">
        <f>MIN(Q629,'Scenario Modelling'!$B$2)</f>
        <v>0</v>
      </c>
      <c r="AA629">
        <f t="shared" si="87"/>
        <v>1435.54</v>
      </c>
      <c r="AB629">
        <f>N629*(1+'Scenario Modelling'!$B$3)</f>
        <v>887.72200000000009</v>
      </c>
      <c r="AC629">
        <f>ROUNDUP(S629*(1+'Scenario Modelling'!$B$4),0)</f>
        <v>25</v>
      </c>
      <c r="AD629">
        <f t="shared" si="88"/>
        <v>35888.5</v>
      </c>
      <c r="AE629">
        <f t="shared" si="89"/>
        <v>13695.449999999997</v>
      </c>
    </row>
    <row r="630" spans="1:31" x14ac:dyDescent="0.3">
      <c r="A630" s="36" t="s">
        <v>643</v>
      </c>
      <c r="B630" s="49">
        <v>45267</v>
      </c>
      <c r="C630" s="47" t="str">
        <f t="shared" si="82"/>
        <v>Q4-2023</v>
      </c>
      <c r="D630" s="37">
        <v>45293</v>
      </c>
      <c r="E630" s="16">
        <f t="shared" si="81"/>
        <v>26</v>
      </c>
      <c r="F630" s="38" t="s">
        <v>649</v>
      </c>
      <c r="G630" s="38" t="s">
        <v>656</v>
      </c>
      <c r="H630" s="38" t="s">
        <v>698</v>
      </c>
      <c r="I630" s="38" t="s">
        <v>706</v>
      </c>
      <c r="J630" s="38" t="s">
        <v>710</v>
      </c>
      <c r="K630" s="38" t="s">
        <v>718</v>
      </c>
      <c r="L630" s="38" t="s">
        <v>727</v>
      </c>
      <c r="M630" s="39" t="s">
        <v>1361</v>
      </c>
      <c r="N630" s="40">
        <v>1071.99</v>
      </c>
      <c r="O630" s="40">
        <v>2397.3000000000002</v>
      </c>
      <c r="P630" s="30" t="str">
        <f t="shared" si="83"/>
        <v>High</v>
      </c>
      <c r="Q630" s="44">
        <v>6.2E-2</v>
      </c>
      <c r="R630" s="42" t="str">
        <f t="shared" si="84"/>
        <v>Low</v>
      </c>
      <c r="S630" s="16">
        <v>18</v>
      </c>
      <c r="T630" s="30">
        <v>40476.013200000001</v>
      </c>
      <c r="U630" s="30">
        <v>19295.82</v>
      </c>
      <c r="V630" s="30">
        <v>21180.193200000002</v>
      </c>
      <c r="W630" s="30">
        <v>0.52327765324476183</v>
      </c>
      <c r="X630" t="str">
        <f t="shared" si="85"/>
        <v>Delayed</v>
      </c>
      <c r="Y630" t="str">
        <f t="shared" si="86"/>
        <v>Compliant Discount</v>
      </c>
      <c r="Z630" s="9">
        <f>MIN(Q630,'Scenario Modelling'!$B$2)</f>
        <v>6.2E-2</v>
      </c>
      <c r="AA630">
        <f t="shared" si="87"/>
        <v>2248.6673999999998</v>
      </c>
      <c r="AB630">
        <f>N630*(1+'Scenario Modelling'!$B$3)</f>
        <v>1179.1890000000001</v>
      </c>
      <c r="AC630">
        <f>ROUNDUP(S630*(1+'Scenario Modelling'!$B$4),0)</f>
        <v>19</v>
      </c>
      <c r="AD630">
        <f t="shared" si="88"/>
        <v>42724.6806</v>
      </c>
      <c r="AE630">
        <f t="shared" si="89"/>
        <v>20320.089599999996</v>
      </c>
    </row>
    <row r="631" spans="1:31" x14ac:dyDescent="0.3">
      <c r="A631" s="31" t="s">
        <v>644</v>
      </c>
      <c r="B631" s="48">
        <v>45249</v>
      </c>
      <c r="C631" s="47" t="str">
        <f t="shared" si="82"/>
        <v>Q4-2023</v>
      </c>
      <c r="D631" s="32">
        <v>45279</v>
      </c>
      <c r="E631" s="17">
        <f t="shared" si="81"/>
        <v>30</v>
      </c>
      <c r="F631" s="33" t="s">
        <v>647</v>
      </c>
      <c r="G631" s="33" t="s">
        <v>652</v>
      </c>
      <c r="H631" s="33" t="s">
        <v>694</v>
      </c>
      <c r="I631" s="33" t="s">
        <v>704</v>
      </c>
      <c r="J631" s="33" t="s">
        <v>707</v>
      </c>
      <c r="K631" s="33" t="s">
        <v>1424</v>
      </c>
      <c r="L631" s="33" t="s">
        <v>730</v>
      </c>
      <c r="M631" s="34" t="s">
        <v>1362</v>
      </c>
      <c r="N631" s="35">
        <v>807.11</v>
      </c>
      <c r="O631" s="35">
        <v>1853.86</v>
      </c>
      <c r="P631" s="30" t="str">
        <f t="shared" si="83"/>
        <v>High</v>
      </c>
      <c r="Q631" s="43">
        <v>0.13900000000000001</v>
      </c>
      <c r="R631" s="42" t="str">
        <f t="shared" si="84"/>
        <v>Medium</v>
      </c>
      <c r="S631" s="17">
        <v>8</v>
      </c>
      <c r="T631" s="30">
        <v>12769.38768</v>
      </c>
      <c r="U631" s="30">
        <v>6456.88</v>
      </c>
      <c r="V631" s="30">
        <v>6312.5076799999997</v>
      </c>
      <c r="W631" s="30">
        <v>0.49434693645388639</v>
      </c>
      <c r="X631" t="str">
        <f t="shared" si="85"/>
        <v>Delayed</v>
      </c>
      <c r="Y631" t="str">
        <f t="shared" si="86"/>
        <v>Compliant Discount</v>
      </c>
      <c r="Z631" s="9">
        <f>MIN(Q631,'Scenario Modelling'!$B$2)</f>
        <v>0.13900000000000001</v>
      </c>
      <c r="AA631">
        <f t="shared" si="87"/>
        <v>1596.17346</v>
      </c>
      <c r="AB631">
        <f>N631*(1+'Scenario Modelling'!$B$3)</f>
        <v>887.82100000000014</v>
      </c>
      <c r="AC631">
        <f>ROUNDUP(S631*(1+'Scenario Modelling'!$B$4),0)</f>
        <v>9</v>
      </c>
      <c r="AD631">
        <f t="shared" si="88"/>
        <v>14365.56114</v>
      </c>
      <c r="AE631">
        <f t="shared" si="89"/>
        <v>6375.1721399999988</v>
      </c>
    </row>
    <row r="632" spans="1:31" x14ac:dyDescent="0.3">
      <c r="A632" s="36" t="s">
        <v>645</v>
      </c>
      <c r="B632" s="49">
        <v>45716</v>
      </c>
      <c r="C632" s="47" t="str">
        <f t="shared" si="82"/>
        <v>Q1-2025</v>
      </c>
      <c r="D632" s="37">
        <v>45726</v>
      </c>
      <c r="E632" s="16">
        <f t="shared" si="81"/>
        <v>10</v>
      </c>
      <c r="F632" s="38" t="s">
        <v>647</v>
      </c>
      <c r="G632" s="38" t="s">
        <v>652</v>
      </c>
      <c r="H632" s="38" t="s">
        <v>666</v>
      </c>
      <c r="I632" s="38" t="s">
        <v>702</v>
      </c>
      <c r="J632" s="38" t="s">
        <v>710</v>
      </c>
      <c r="K632" s="38" t="s">
        <v>725</v>
      </c>
      <c r="L632" s="38" t="s">
        <v>731</v>
      </c>
      <c r="M632" s="39" t="s">
        <v>1363</v>
      </c>
      <c r="N632" s="40">
        <v>51.86</v>
      </c>
      <c r="O632" s="40">
        <v>45.98</v>
      </c>
      <c r="P632" s="30" t="str">
        <f t="shared" si="83"/>
        <v>Low</v>
      </c>
      <c r="Q632" s="44">
        <v>0.17299999999999999</v>
      </c>
      <c r="R632" s="42" t="str">
        <f t="shared" si="84"/>
        <v>Medium</v>
      </c>
      <c r="S632" s="16">
        <v>7</v>
      </c>
      <c r="T632" s="30">
        <v>266.17821999999995</v>
      </c>
      <c r="U632" s="30">
        <v>363.02</v>
      </c>
      <c r="V632" s="30">
        <v>-96.841780000000028</v>
      </c>
      <c r="W632" s="30">
        <v>-0.3638230806412337</v>
      </c>
      <c r="X632" t="str">
        <f t="shared" si="85"/>
        <v>Delayed</v>
      </c>
      <c r="Y632" t="str">
        <f t="shared" si="86"/>
        <v>Compliant Discount</v>
      </c>
      <c r="Z632" s="9">
        <f>MIN(Q632,'Scenario Modelling'!$B$2)</f>
        <v>0.17299999999999999</v>
      </c>
      <c r="AA632">
        <f t="shared" si="87"/>
        <v>38.025459999999995</v>
      </c>
      <c r="AB632">
        <f>N632*(1+'Scenario Modelling'!$B$3)</f>
        <v>57.046000000000006</v>
      </c>
      <c r="AC632">
        <f>ROUNDUP(S632*(1+'Scenario Modelling'!$B$4),0)</f>
        <v>8</v>
      </c>
      <c r="AD632">
        <f t="shared" si="88"/>
        <v>304.20367999999996</v>
      </c>
      <c r="AE632">
        <f t="shared" si="89"/>
        <v>-152.16432000000009</v>
      </c>
    </row>
  </sheetData>
  <conditionalFormatting sqref="A1:A1048576">
    <cfRule type="duplicateValues" dxfId="10" priority="2"/>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9"/>
  <sheetViews>
    <sheetView topLeftCell="A91" workbookViewId="0">
      <selection activeCell="G98" sqref="G98"/>
    </sheetView>
  </sheetViews>
  <sheetFormatPr defaultRowHeight="14.4" x14ac:dyDescent="0.3"/>
  <cols>
    <col min="1" max="1" width="16.77734375" bestFit="1" customWidth="1"/>
    <col min="2" max="2" width="20" bestFit="1" customWidth="1"/>
  </cols>
  <sheetData>
    <row r="1" spans="1:5" x14ac:dyDescent="0.3">
      <c r="A1" s="52" t="s">
        <v>1458</v>
      </c>
    </row>
    <row r="2" spans="1:5" x14ac:dyDescent="0.3">
      <c r="A2" s="11" t="s">
        <v>1429</v>
      </c>
      <c r="B2" t="s">
        <v>1431</v>
      </c>
    </row>
    <row r="3" spans="1:5" x14ac:dyDescent="0.3">
      <c r="A3" s="12" t="s">
        <v>655</v>
      </c>
      <c r="B3" s="13">
        <v>1037870.6328199999</v>
      </c>
    </row>
    <row r="4" spans="1:5" x14ac:dyDescent="0.3">
      <c r="A4" s="14" t="s">
        <v>1437</v>
      </c>
      <c r="B4" s="13"/>
    </row>
    <row r="5" spans="1:5" x14ac:dyDescent="0.3">
      <c r="A5" s="50" t="s">
        <v>1451</v>
      </c>
      <c r="B5" s="13">
        <v>51218.844879999997</v>
      </c>
    </row>
    <row r="6" spans="1:5" x14ac:dyDescent="0.3">
      <c r="A6" s="50" t="s">
        <v>1455</v>
      </c>
      <c r="B6" s="13">
        <v>86434.575240000006</v>
      </c>
      <c r="D6" s="51" t="s">
        <v>1452</v>
      </c>
      <c r="E6" s="13">
        <v>1801.4076000000002</v>
      </c>
    </row>
    <row r="7" spans="1:5" x14ac:dyDescent="0.3">
      <c r="A7" s="50" t="s">
        <v>1456</v>
      </c>
      <c r="B7" s="13">
        <v>137832.37129000001</v>
      </c>
    </row>
    <row r="8" spans="1:5" x14ac:dyDescent="0.3">
      <c r="A8" s="50" t="s">
        <v>1457</v>
      </c>
      <c r="B8" s="13">
        <v>101846.59276999999</v>
      </c>
    </row>
    <row r="9" spans="1:5" x14ac:dyDescent="0.3">
      <c r="A9" s="14" t="s">
        <v>1438</v>
      </c>
      <c r="B9" s="13">
        <v>306190.48611</v>
      </c>
    </row>
    <row r="10" spans="1:5" x14ac:dyDescent="0.3">
      <c r="A10" s="14" t="s">
        <v>1439</v>
      </c>
      <c r="B10" s="13">
        <v>354347.76252999995</v>
      </c>
    </row>
    <row r="11" spans="1:5" x14ac:dyDescent="0.3">
      <c r="A11" s="12" t="s">
        <v>653</v>
      </c>
      <c r="B11" s="13">
        <v>882622.97854000004</v>
      </c>
    </row>
    <row r="12" spans="1:5" x14ac:dyDescent="0.3">
      <c r="A12" s="14" t="s">
        <v>1437</v>
      </c>
      <c r="B12" s="13"/>
    </row>
    <row r="13" spans="1:5" x14ac:dyDescent="0.3">
      <c r="A13" s="50" t="s">
        <v>1451</v>
      </c>
      <c r="B13" s="13">
        <v>47745.467919999996</v>
      </c>
    </row>
    <row r="14" spans="1:5" x14ac:dyDescent="0.3">
      <c r="A14" s="50" t="s">
        <v>1455</v>
      </c>
      <c r="B14" s="13">
        <v>61844.964559999993</v>
      </c>
      <c r="D14" s="51" t="s">
        <v>1452</v>
      </c>
      <c r="E14" s="13">
        <v>4141.7599999999993</v>
      </c>
    </row>
    <row r="15" spans="1:5" x14ac:dyDescent="0.3">
      <c r="A15" s="50" t="s">
        <v>1456</v>
      </c>
      <c r="B15" s="13">
        <v>97693.450079999995</v>
      </c>
    </row>
    <row r="16" spans="1:5" x14ac:dyDescent="0.3">
      <c r="A16" s="50" t="s">
        <v>1457</v>
      </c>
      <c r="B16" s="13">
        <v>42223.383040000001</v>
      </c>
    </row>
    <row r="17" spans="1:5" x14ac:dyDescent="0.3">
      <c r="A17" s="14" t="s">
        <v>1438</v>
      </c>
      <c r="B17" s="13">
        <v>356412.15492999996</v>
      </c>
    </row>
    <row r="18" spans="1:5" x14ac:dyDescent="0.3">
      <c r="A18" s="14" t="s">
        <v>1439</v>
      </c>
      <c r="B18" s="13">
        <v>276703.55801000004</v>
      </c>
    </row>
    <row r="19" spans="1:5" x14ac:dyDescent="0.3">
      <c r="A19" s="12" t="s">
        <v>659</v>
      </c>
      <c r="B19" s="13">
        <v>899054.11212000006</v>
      </c>
    </row>
    <row r="20" spans="1:5" x14ac:dyDescent="0.3">
      <c r="A20" s="14" t="s">
        <v>1437</v>
      </c>
      <c r="B20" s="13"/>
    </row>
    <row r="21" spans="1:5" x14ac:dyDescent="0.3">
      <c r="A21" s="50" t="s">
        <v>1451</v>
      </c>
      <c r="B21" s="13">
        <v>35713.443180000002</v>
      </c>
    </row>
    <row r="22" spans="1:5" x14ac:dyDescent="0.3">
      <c r="A22" s="50" t="s">
        <v>1455</v>
      </c>
      <c r="B22" s="13">
        <v>78246.004239999995</v>
      </c>
      <c r="D22" s="51" t="s">
        <v>1452</v>
      </c>
      <c r="E22" s="13">
        <v>11406.96</v>
      </c>
    </row>
    <row r="23" spans="1:5" x14ac:dyDescent="0.3">
      <c r="A23" s="50" t="s">
        <v>1456</v>
      </c>
      <c r="B23" s="13">
        <v>78204.903210000004</v>
      </c>
    </row>
    <row r="24" spans="1:5" x14ac:dyDescent="0.3">
      <c r="A24" s="50" t="s">
        <v>1457</v>
      </c>
      <c r="B24" s="13">
        <v>90298.631959999999</v>
      </c>
    </row>
    <row r="25" spans="1:5" x14ac:dyDescent="0.3">
      <c r="A25" s="14" t="s">
        <v>1438</v>
      </c>
      <c r="B25" s="13">
        <v>431317.10412000003</v>
      </c>
    </row>
    <row r="26" spans="1:5" x14ac:dyDescent="0.3">
      <c r="A26" s="14" t="s">
        <v>1439</v>
      </c>
      <c r="B26" s="13">
        <v>185274.02541</v>
      </c>
    </row>
    <row r="27" spans="1:5" x14ac:dyDescent="0.3">
      <c r="A27" s="12" t="s">
        <v>657</v>
      </c>
      <c r="B27" s="13">
        <v>758280.91688999999</v>
      </c>
    </row>
    <row r="28" spans="1:5" x14ac:dyDescent="0.3">
      <c r="A28" s="14" t="s">
        <v>1437</v>
      </c>
      <c r="B28" s="13"/>
    </row>
    <row r="29" spans="1:5" x14ac:dyDescent="0.3">
      <c r="A29" s="50" t="s">
        <v>1451</v>
      </c>
      <c r="B29" s="13">
        <v>49394.010399999999</v>
      </c>
    </row>
    <row r="30" spans="1:5" x14ac:dyDescent="0.3">
      <c r="A30" s="50" t="s">
        <v>1455</v>
      </c>
      <c r="B30" s="13">
        <v>51199.481859999993</v>
      </c>
    </row>
    <row r="31" spans="1:5" x14ac:dyDescent="0.3">
      <c r="A31" s="50" t="s">
        <v>1456</v>
      </c>
      <c r="B31" s="13">
        <v>112195.49638</v>
      </c>
      <c r="D31" s="51" t="s">
        <v>1452</v>
      </c>
      <c r="E31" s="13">
        <v>9847.2358600000007</v>
      </c>
    </row>
    <row r="32" spans="1:5" x14ac:dyDescent="0.3">
      <c r="A32" s="50" t="s">
        <v>1457</v>
      </c>
      <c r="B32" s="13">
        <v>56555.235350000003</v>
      </c>
    </row>
    <row r="33" spans="1:5" x14ac:dyDescent="0.3">
      <c r="A33" s="14" t="s">
        <v>1438</v>
      </c>
      <c r="B33" s="13">
        <v>332686.45244000002</v>
      </c>
    </row>
    <row r="34" spans="1:5" x14ac:dyDescent="0.3">
      <c r="A34" s="14" t="s">
        <v>1439</v>
      </c>
      <c r="B34" s="13">
        <v>156250.24046000003</v>
      </c>
    </row>
    <row r="35" spans="1:5" x14ac:dyDescent="0.3">
      <c r="A35" s="12" t="s">
        <v>656</v>
      </c>
      <c r="B35" s="13">
        <v>929424.8882200002</v>
      </c>
    </row>
    <row r="36" spans="1:5" x14ac:dyDescent="0.3">
      <c r="A36" s="14" t="s">
        <v>1437</v>
      </c>
      <c r="B36" s="13"/>
    </row>
    <row r="37" spans="1:5" x14ac:dyDescent="0.3">
      <c r="A37" s="50" t="s">
        <v>1451</v>
      </c>
      <c r="B37" s="13">
        <v>163155.56107</v>
      </c>
    </row>
    <row r="38" spans="1:5" x14ac:dyDescent="0.3">
      <c r="A38" s="50" t="s">
        <v>1455</v>
      </c>
      <c r="B38" s="13">
        <v>127787.33831000001</v>
      </c>
    </row>
    <row r="39" spans="1:5" x14ac:dyDescent="0.3">
      <c r="A39" s="50" t="s">
        <v>1456</v>
      </c>
      <c r="B39" s="13">
        <v>14329.266900000001</v>
      </c>
      <c r="D39" s="51" t="s">
        <v>1452</v>
      </c>
      <c r="E39" s="13">
        <v>13921.506140000001</v>
      </c>
    </row>
    <row r="40" spans="1:5" x14ac:dyDescent="0.3">
      <c r="A40" s="50" t="s">
        <v>1457</v>
      </c>
      <c r="B40" s="13">
        <v>64606.506009999997</v>
      </c>
    </row>
    <row r="41" spans="1:5" x14ac:dyDescent="0.3">
      <c r="A41" s="14" t="s">
        <v>1438</v>
      </c>
      <c r="B41" s="13">
        <v>383309.25282000011</v>
      </c>
    </row>
    <row r="42" spans="1:5" x14ac:dyDescent="0.3">
      <c r="A42" s="14" t="s">
        <v>1439</v>
      </c>
      <c r="B42" s="13">
        <v>176236.96311000001</v>
      </c>
    </row>
    <row r="43" spans="1:5" x14ac:dyDescent="0.3">
      <c r="A43" s="12" t="s">
        <v>654</v>
      </c>
      <c r="B43" s="13">
        <v>1065574.1297499998</v>
      </c>
    </row>
    <row r="44" spans="1:5" x14ac:dyDescent="0.3">
      <c r="A44" s="14" t="s">
        <v>1437</v>
      </c>
      <c r="B44" s="13"/>
    </row>
    <row r="45" spans="1:5" x14ac:dyDescent="0.3">
      <c r="A45" s="50" t="s">
        <v>1451</v>
      </c>
      <c r="B45" s="13">
        <v>28676.515809999997</v>
      </c>
    </row>
    <row r="46" spans="1:5" x14ac:dyDescent="0.3">
      <c r="A46" s="50" t="s">
        <v>1455</v>
      </c>
      <c r="B46" s="13">
        <v>286761.84321999998</v>
      </c>
    </row>
    <row r="47" spans="1:5" x14ac:dyDescent="0.3">
      <c r="A47" s="50" t="s">
        <v>1456</v>
      </c>
      <c r="B47" s="13">
        <v>62392.200340000003</v>
      </c>
      <c r="D47" s="51" t="s">
        <v>1453</v>
      </c>
      <c r="E47" s="13">
        <v>22044.871499999997</v>
      </c>
    </row>
    <row r="48" spans="1:5" x14ac:dyDescent="0.3">
      <c r="A48" s="50" t="s">
        <v>1457</v>
      </c>
      <c r="B48" s="13">
        <v>110178.25126</v>
      </c>
    </row>
    <row r="49" spans="1:5" x14ac:dyDescent="0.3">
      <c r="A49" s="14" t="s">
        <v>1438</v>
      </c>
      <c r="B49" s="13">
        <v>365432.33678999997</v>
      </c>
    </row>
    <row r="50" spans="1:5" x14ac:dyDescent="0.3">
      <c r="A50" s="14" t="s">
        <v>1439</v>
      </c>
      <c r="B50" s="13">
        <v>212132.98233000003</v>
      </c>
    </row>
    <row r="51" spans="1:5" x14ac:dyDescent="0.3">
      <c r="A51" s="12" t="s">
        <v>652</v>
      </c>
      <c r="B51" s="13">
        <v>855073.3604799998</v>
      </c>
    </row>
    <row r="52" spans="1:5" x14ac:dyDescent="0.3">
      <c r="A52" s="14" t="s">
        <v>1437</v>
      </c>
      <c r="B52" s="13"/>
    </row>
    <row r="53" spans="1:5" x14ac:dyDescent="0.3">
      <c r="A53" s="50" t="s">
        <v>1451</v>
      </c>
      <c r="B53" s="13">
        <v>31024.83872</v>
      </c>
    </row>
    <row r="54" spans="1:5" x14ac:dyDescent="0.3">
      <c r="A54" s="50" t="s">
        <v>1455</v>
      </c>
      <c r="B54" s="13">
        <v>34862.34261</v>
      </c>
      <c r="D54" s="51" t="s">
        <v>1454</v>
      </c>
      <c r="E54" s="13">
        <v>31024.83872</v>
      </c>
    </row>
    <row r="55" spans="1:5" x14ac:dyDescent="0.3">
      <c r="A55" s="50" t="s">
        <v>1456</v>
      </c>
      <c r="B55" s="13">
        <v>63272.855360000001</v>
      </c>
    </row>
    <row r="56" spans="1:5" x14ac:dyDescent="0.3">
      <c r="A56" s="50" t="s">
        <v>1457</v>
      </c>
      <c r="B56" s="13">
        <v>67302.884900000005</v>
      </c>
    </row>
    <row r="57" spans="1:5" x14ac:dyDescent="0.3">
      <c r="A57" s="14" t="s">
        <v>1438</v>
      </c>
      <c r="B57" s="13">
        <v>370401.94354999997</v>
      </c>
    </row>
    <row r="58" spans="1:5" x14ac:dyDescent="0.3">
      <c r="A58" s="14" t="s">
        <v>1439</v>
      </c>
      <c r="B58" s="13">
        <v>288208.49533999996</v>
      </c>
    </row>
    <row r="59" spans="1:5" x14ac:dyDescent="0.3">
      <c r="A59" s="12" t="s">
        <v>650</v>
      </c>
      <c r="B59" s="13">
        <v>947364.86621000001</v>
      </c>
    </row>
    <row r="60" spans="1:5" x14ac:dyDescent="0.3">
      <c r="A60" s="14" t="s">
        <v>1437</v>
      </c>
      <c r="B60" s="13"/>
    </row>
    <row r="61" spans="1:5" x14ac:dyDescent="0.3">
      <c r="A61" s="50" t="s">
        <v>1451</v>
      </c>
      <c r="B61" s="13">
        <v>121681.00628999999</v>
      </c>
    </row>
    <row r="62" spans="1:5" x14ac:dyDescent="0.3">
      <c r="A62" s="50" t="s">
        <v>1455</v>
      </c>
      <c r="B62" s="13">
        <v>25750.282080000001</v>
      </c>
    </row>
    <row r="63" spans="1:5" x14ac:dyDescent="0.3">
      <c r="A63" s="50" t="s">
        <v>1456</v>
      </c>
      <c r="B63" s="13">
        <v>48746.015400000004</v>
      </c>
      <c r="D63" s="51" t="s">
        <v>1452</v>
      </c>
      <c r="E63" s="13">
        <v>47962.717579999997</v>
      </c>
    </row>
    <row r="64" spans="1:5" x14ac:dyDescent="0.3">
      <c r="A64" s="50" t="s">
        <v>1457</v>
      </c>
      <c r="B64" s="13">
        <v>54326.48328</v>
      </c>
    </row>
    <row r="65" spans="1:5" x14ac:dyDescent="0.3">
      <c r="A65" s="14" t="s">
        <v>1438</v>
      </c>
      <c r="B65" s="13">
        <v>550327.79727999994</v>
      </c>
    </row>
    <row r="66" spans="1:5" x14ac:dyDescent="0.3">
      <c r="A66" s="14" t="s">
        <v>1439</v>
      </c>
      <c r="B66" s="13">
        <v>146533.28188000002</v>
      </c>
    </row>
    <row r="67" spans="1:5" x14ac:dyDescent="0.3">
      <c r="A67" s="12" t="s">
        <v>651</v>
      </c>
      <c r="B67" s="13">
        <v>881838.67690999992</v>
      </c>
    </row>
    <row r="68" spans="1:5" x14ac:dyDescent="0.3">
      <c r="A68" s="14" t="s">
        <v>1437</v>
      </c>
      <c r="B68" s="13"/>
    </row>
    <row r="69" spans="1:5" x14ac:dyDescent="0.3">
      <c r="A69" s="50" t="s">
        <v>1451</v>
      </c>
      <c r="B69" s="13">
        <v>5422.2875999999997</v>
      </c>
    </row>
    <row r="70" spans="1:5" x14ac:dyDescent="0.3">
      <c r="A70" s="50" t="s">
        <v>1455</v>
      </c>
      <c r="B70" s="13">
        <v>82955.127880000015</v>
      </c>
      <c r="D70" s="51" t="s">
        <v>1452</v>
      </c>
      <c r="E70" s="13">
        <v>685.06776000000002</v>
      </c>
    </row>
    <row r="71" spans="1:5" x14ac:dyDescent="0.3">
      <c r="A71" s="50" t="s">
        <v>1456</v>
      </c>
      <c r="B71" s="13">
        <v>136921.91361999998</v>
      </c>
    </row>
    <row r="72" spans="1:5" x14ac:dyDescent="0.3">
      <c r="A72" s="50" t="s">
        <v>1457</v>
      </c>
      <c r="B72" s="13">
        <v>37945.215519999998</v>
      </c>
    </row>
    <row r="73" spans="1:5" x14ac:dyDescent="0.3">
      <c r="A73" s="14" t="s">
        <v>1438</v>
      </c>
      <c r="B73" s="13">
        <v>276445.19975999999</v>
      </c>
    </row>
    <row r="74" spans="1:5" x14ac:dyDescent="0.3">
      <c r="A74" s="14" t="s">
        <v>1439</v>
      </c>
      <c r="B74" s="13">
        <v>342148.93253000005</v>
      </c>
    </row>
    <row r="75" spans="1:5" x14ac:dyDescent="0.3">
      <c r="A75" s="12" t="s">
        <v>661</v>
      </c>
      <c r="B75" s="13">
        <v>779927.34477999993</v>
      </c>
    </row>
    <row r="76" spans="1:5" x14ac:dyDescent="0.3">
      <c r="A76" s="14" t="s">
        <v>1437</v>
      </c>
      <c r="B76" s="13"/>
    </row>
    <row r="77" spans="1:5" x14ac:dyDescent="0.3">
      <c r="A77" s="50" t="s">
        <v>1451</v>
      </c>
      <c r="B77" s="13">
        <v>119331.8425</v>
      </c>
    </row>
    <row r="78" spans="1:5" x14ac:dyDescent="0.3">
      <c r="A78" s="50" t="s">
        <v>1455</v>
      </c>
      <c r="B78" s="13">
        <v>15476.94406</v>
      </c>
    </row>
    <row r="79" spans="1:5" x14ac:dyDescent="0.3">
      <c r="A79" s="50" t="s">
        <v>1456</v>
      </c>
      <c r="B79" s="13">
        <v>137086.76258000001</v>
      </c>
      <c r="D79" s="51" t="s">
        <v>1452</v>
      </c>
      <c r="E79" s="13">
        <v>3116.21</v>
      </c>
    </row>
    <row r="80" spans="1:5" x14ac:dyDescent="0.3">
      <c r="A80" s="50" t="s">
        <v>1457</v>
      </c>
      <c r="B80" s="13">
        <v>92795.595499999996</v>
      </c>
    </row>
    <row r="81" spans="1:5" x14ac:dyDescent="0.3">
      <c r="A81" s="14" t="s">
        <v>1438</v>
      </c>
      <c r="B81" s="13">
        <v>191518.50866999998</v>
      </c>
    </row>
    <row r="82" spans="1:5" x14ac:dyDescent="0.3">
      <c r="A82" s="14" t="s">
        <v>1439</v>
      </c>
      <c r="B82" s="13">
        <v>223717.69146999999</v>
      </c>
    </row>
    <row r="83" spans="1:5" x14ac:dyDescent="0.3">
      <c r="A83" s="12" t="s">
        <v>658</v>
      </c>
      <c r="B83" s="13">
        <v>1113282.1309</v>
      </c>
    </row>
    <row r="84" spans="1:5" x14ac:dyDescent="0.3">
      <c r="A84" s="14" t="s">
        <v>1437</v>
      </c>
      <c r="B84" s="13"/>
    </row>
    <row r="85" spans="1:5" x14ac:dyDescent="0.3">
      <c r="A85" s="50" t="s">
        <v>1451</v>
      </c>
      <c r="B85" s="13">
        <v>48111.080719999998</v>
      </c>
    </row>
    <row r="86" spans="1:5" x14ac:dyDescent="0.3">
      <c r="A86" s="50" t="s">
        <v>1455</v>
      </c>
      <c r="B86" s="13">
        <v>116257.55197999999</v>
      </c>
      <c r="D86" s="51" t="s">
        <v>1452</v>
      </c>
      <c r="E86" s="13">
        <v>27965.366600000001</v>
      </c>
    </row>
    <row r="87" spans="1:5" x14ac:dyDescent="0.3">
      <c r="A87" s="50" t="s">
        <v>1456</v>
      </c>
      <c r="B87" s="13">
        <v>80418.4666</v>
      </c>
    </row>
    <row r="88" spans="1:5" x14ac:dyDescent="0.3">
      <c r="A88" s="50" t="s">
        <v>1457</v>
      </c>
      <c r="B88" s="13">
        <v>31613.310460000004</v>
      </c>
    </row>
    <row r="89" spans="1:5" x14ac:dyDescent="0.3">
      <c r="A89" s="14" t="s">
        <v>1438</v>
      </c>
      <c r="B89" s="13">
        <v>507901.41704000003</v>
      </c>
    </row>
    <row r="90" spans="1:5" x14ac:dyDescent="0.3">
      <c r="A90" s="14" t="s">
        <v>1439</v>
      </c>
      <c r="B90" s="13">
        <v>328980.30410000001</v>
      </c>
    </row>
    <row r="91" spans="1:5" x14ac:dyDescent="0.3">
      <c r="A91" s="12" t="s">
        <v>660</v>
      </c>
      <c r="B91" s="13">
        <v>768694.58757999993</v>
      </c>
    </row>
    <row r="92" spans="1:5" x14ac:dyDescent="0.3">
      <c r="A92" s="14" t="s">
        <v>1437</v>
      </c>
      <c r="B92" s="13"/>
    </row>
    <row r="93" spans="1:5" x14ac:dyDescent="0.3">
      <c r="A93" s="50" t="s">
        <v>1451</v>
      </c>
      <c r="B93" s="13">
        <v>99773.865180000008</v>
      </c>
    </row>
    <row r="94" spans="1:5" x14ac:dyDescent="0.3">
      <c r="A94" s="50" t="s">
        <v>1455</v>
      </c>
      <c r="B94" s="13">
        <v>110694.36008999999</v>
      </c>
    </row>
    <row r="95" spans="1:5" x14ac:dyDescent="0.3">
      <c r="A95" s="50" t="s">
        <v>1456</v>
      </c>
      <c r="B95" s="13">
        <v>72078.038860000001</v>
      </c>
      <c r="D95" s="51" t="s">
        <v>1452</v>
      </c>
      <c r="E95" s="13">
        <v>31035.217859999997</v>
      </c>
    </row>
    <row r="96" spans="1:5" x14ac:dyDescent="0.3">
      <c r="A96" s="50" t="s">
        <v>1457</v>
      </c>
      <c r="B96" s="13">
        <v>5533.6230000000005</v>
      </c>
    </row>
    <row r="97" spans="1:2" x14ac:dyDescent="0.3">
      <c r="A97" s="14" t="s">
        <v>1438</v>
      </c>
      <c r="B97" s="13">
        <v>396688.46359</v>
      </c>
    </row>
    <row r="98" spans="1:2" x14ac:dyDescent="0.3">
      <c r="A98" s="14" t="s">
        <v>1439</v>
      </c>
      <c r="B98" s="13">
        <v>83926.23685999999</v>
      </c>
    </row>
    <row r="99" spans="1:2" x14ac:dyDescent="0.3">
      <c r="A99" s="12" t="s">
        <v>1430</v>
      </c>
      <c r="B99" s="13">
        <v>10919008.625200003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
  <sheetViews>
    <sheetView workbookViewId="0">
      <selection activeCell="D12" sqref="D12"/>
    </sheetView>
  </sheetViews>
  <sheetFormatPr defaultRowHeight="14.4" x14ac:dyDescent="0.3"/>
  <cols>
    <col min="1" max="1" width="13.77734375" customWidth="1"/>
    <col min="2" max="3" width="20" customWidth="1"/>
    <col min="4" max="4" width="21" bestFit="1" customWidth="1"/>
  </cols>
  <sheetData>
    <row r="1" spans="1:4" x14ac:dyDescent="0.3">
      <c r="A1" s="52" t="s">
        <v>1463</v>
      </c>
    </row>
    <row r="2" spans="1:4" x14ac:dyDescent="0.3">
      <c r="A2" t="s">
        <v>1391</v>
      </c>
    </row>
    <row r="4" spans="1:4" x14ac:dyDescent="0.3">
      <c r="A4" s="11" t="s">
        <v>1429</v>
      </c>
      <c r="B4" t="s">
        <v>1431</v>
      </c>
    </row>
    <row r="5" spans="1:4" x14ac:dyDescent="0.3">
      <c r="A5" s="12" t="s">
        <v>729</v>
      </c>
      <c r="B5" s="13">
        <v>1774683.0831999995</v>
      </c>
    </row>
    <row r="6" spans="1:4" x14ac:dyDescent="0.3">
      <c r="A6" s="12" t="s">
        <v>731</v>
      </c>
      <c r="B6" s="13">
        <v>1711094.3775999991</v>
      </c>
      <c r="D6" t="s">
        <v>1464</v>
      </c>
    </row>
    <row r="7" spans="1:4" x14ac:dyDescent="0.3">
      <c r="A7" s="12" t="s">
        <v>728</v>
      </c>
      <c r="B7" s="13">
        <v>1616910.1886600002</v>
      </c>
      <c r="D7" t="s">
        <v>1465</v>
      </c>
    </row>
    <row r="8" spans="1:4" x14ac:dyDescent="0.3">
      <c r="A8" s="12" t="s">
        <v>732</v>
      </c>
      <c r="B8" s="13">
        <v>1551590.8794699998</v>
      </c>
      <c r="D8" t="s">
        <v>1466</v>
      </c>
    </row>
    <row r="9" spans="1:4" x14ac:dyDescent="0.3">
      <c r="A9" s="12" t="s">
        <v>727</v>
      </c>
      <c r="B9" s="13">
        <v>1550200.5343300004</v>
      </c>
    </row>
    <row r="10" spans="1:4" x14ac:dyDescent="0.3">
      <c r="A10" s="12" t="s">
        <v>730</v>
      </c>
      <c r="B10" s="13">
        <v>1399242.224020001</v>
      </c>
    </row>
    <row r="11" spans="1:4" x14ac:dyDescent="0.3">
      <c r="A11" s="12" t="s">
        <v>733</v>
      </c>
      <c r="B11" s="13">
        <v>1315287.3379200001</v>
      </c>
    </row>
    <row r="12" spans="1:4" x14ac:dyDescent="0.3">
      <c r="A12" s="12" t="s">
        <v>1430</v>
      </c>
      <c r="B12" s="13">
        <v>10919008.6252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22"/>
  <sheetViews>
    <sheetView topLeftCell="A4" workbookViewId="0">
      <selection activeCell="E13" sqref="E13"/>
    </sheetView>
  </sheetViews>
  <sheetFormatPr defaultRowHeight="14.4" x14ac:dyDescent="0.3"/>
  <cols>
    <col min="1" max="1" width="12.5546875" customWidth="1"/>
    <col min="2" max="2" width="20" customWidth="1"/>
    <col min="3" max="3" width="15.44140625" bestFit="1" customWidth="1"/>
    <col min="4" max="4" width="17.33203125" customWidth="1"/>
    <col min="6" max="6" width="16.6640625" customWidth="1"/>
    <col min="10" max="11" width="8.88671875" customWidth="1"/>
  </cols>
  <sheetData>
    <row r="2" spans="1:6" x14ac:dyDescent="0.3">
      <c r="A2" s="52" t="s">
        <v>1462</v>
      </c>
    </row>
    <row r="3" spans="1:6" x14ac:dyDescent="0.3">
      <c r="A3" t="s">
        <v>1393</v>
      </c>
    </row>
    <row r="5" spans="1:6" x14ac:dyDescent="0.3">
      <c r="A5" s="11" t="s">
        <v>1429</v>
      </c>
      <c r="B5" t="s">
        <v>1431</v>
      </c>
      <c r="C5" t="s">
        <v>1432</v>
      </c>
      <c r="D5" t="s">
        <v>1461</v>
      </c>
    </row>
    <row r="6" spans="1:6" x14ac:dyDescent="0.3">
      <c r="A6" s="12" t="s">
        <v>720</v>
      </c>
      <c r="B6" s="15">
        <v>877449.32372999971</v>
      </c>
      <c r="C6" s="13">
        <v>46</v>
      </c>
      <c r="D6" s="15">
        <v>282234.27373000002</v>
      </c>
    </row>
    <row r="7" spans="1:6" x14ac:dyDescent="0.3">
      <c r="A7" s="12" t="s">
        <v>717</v>
      </c>
      <c r="B7" s="15">
        <v>866976.37309999997</v>
      </c>
      <c r="C7" s="13">
        <v>47</v>
      </c>
      <c r="D7" s="15">
        <v>320763.18309999997</v>
      </c>
      <c r="F7" t="s">
        <v>1433</v>
      </c>
    </row>
    <row r="8" spans="1:6" x14ac:dyDescent="0.3">
      <c r="A8" s="12" t="s">
        <v>712</v>
      </c>
      <c r="B8" s="15">
        <v>689776.36459000001</v>
      </c>
      <c r="C8" s="13">
        <v>37</v>
      </c>
      <c r="D8" s="15">
        <v>230359.52458999999</v>
      </c>
      <c r="F8" t="s">
        <v>1434</v>
      </c>
    </row>
    <row r="9" spans="1:6" x14ac:dyDescent="0.3">
      <c r="A9" s="12" t="s">
        <v>726</v>
      </c>
      <c r="B9" s="15">
        <v>576820.19091</v>
      </c>
      <c r="C9" s="13">
        <v>38</v>
      </c>
      <c r="D9" s="15">
        <v>151076.93091000005</v>
      </c>
    </row>
    <row r="10" spans="1:6" x14ac:dyDescent="0.3">
      <c r="A10" s="12" t="s">
        <v>718</v>
      </c>
      <c r="B10" s="15">
        <v>543846.44053000002</v>
      </c>
      <c r="C10" s="13">
        <v>34</v>
      </c>
      <c r="D10" s="15">
        <v>204981.34053000004</v>
      </c>
    </row>
    <row r="11" spans="1:6" x14ac:dyDescent="0.3">
      <c r="A11" s="12" t="s">
        <v>721</v>
      </c>
      <c r="B11" s="15">
        <v>812637.17231999978</v>
      </c>
      <c r="C11" s="13">
        <v>51</v>
      </c>
      <c r="D11" s="15">
        <v>251733.01232000004</v>
      </c>
    </row>
    <row r="12" spans="1:6" x14ac:dyDescent="0.3">
      <c r="A12" s="12" t="s">
        <v>715</v>
      </c>
      <c r="B12" s="15">
        <v>510653.71305000014</v>
      </c>
      <c r="C12" s="13">
        <v>30</v>
      </c>
      <c r="D12" s="15">
        <v>172441.87305000005</v>
      </c>
    </row>
    <row r="13" spans="1:6" x14ac:dyDescent="0.3">
      <c r="A13" s="12" t="s">
        <v>722</v>
      </c>
      <c r="B13" s="15">
        <v>698700.30031000008</v>
      </c>
      <c r="C13" s="13">
        <v>45</v>
      </c>
      <c r="D13" s="15">
        <v>138152.81030999997</v>
      </c>
    </row>
    <row r="14" spans="1:6" x14ac:dyDescent="0.3">
      <c r="A14" s="12" t="s">
        <v>714</v>
      </c>
      <c r="B14" s="15">
        <v>541165.67181999993</v>
      </c>
      <c r="C14" s="13">
        <v>38</v>
      </c>
      <c r="D14" s="15">
        <v>140021.69181999998</v>
      </c>
    </row>
    <row r="15" spans="1:6" x14ac:dyDescent="0.3">
      <c r="A15" s="12" t="s">
        <v>713</v>
      </c>
      <c r="B15" s="15">
        <v>802384.6622799997</v>
      </c>
      <c r="C15" s="13">
        <v>50</v>
      </c>
      <c r="D15" s="15">
        <v>273113.11228</v>
      </c>
    </row>
    <row r="16" spans="1:6" x14ac:dyDescent="0.3">
      <c r="A16" s="12" t="s">
        <v>723</v>
      </c>
      <c r="B16" s="15">
        <v>883348.1293599999</v>
      </c>
      <c r="C16" s="13">
        <v>44</v>
      </c>
      <c r="D16" s="15">
        <v>278762.26935999998</v>
      </c>
    </row>
    <row r="17" spans="1:4" x14ac:dyDescent="0.3">
      <c r="A17" s="12" t="s">
        <v>716</v>
      </c>
      <c r="B17" s="15">
        <v>853476.70104999992</v>
      </c>
      <c r="C17" s="13">
        <v>46</v>
      </c>
      <c r="D17" s="15">
        <v>270154.73105000006</v>
      </c>
    </row>
    <row r="18" spans="1:4" x14ac:dyDescent="0.3">
      <c r="A18" s="12" t="s">
        <v>724</v>
      </c>
      <c r="B18" s="15">
        <v>976696.69714999956</v>
      </c>
      <c r="C18" s="13">
        <v>48</v>
      </c>
      <c r="D18" s="15">
        <v>313054.76714999985</v>
      </c>
    </row>
    <row r="19" spans="1:4" x14ac:dyDescent="0.3">
      <c r="A19" s="12" t="s">
        <v>725</v>
      </c>
      <c r="B19" s="15">
        <v>388325.13659000001</v>
      </c>
      <c r="C19" s="13">
        <v>32</v>
      </c>
      <c r="D19" s="15">
        <v>110646.45659</v>
      </c>
    </row>
    <row r="20" spans="1:4" x14ac:dyDescent="0.3">
      <c r="A20" s="12" t="s">
        <v>719</v>
      </c>
      <c r="B20" s="15">
        <v>647724.89694000001</v>
      </c>
      <c r="C20" s="13">
        <v>37</v>
      </c>
      <c r="D20" s="15">
        <v>185219.43694000004</v>
      </c>
    </row>
    <row r="21" spans="1:4" x14ac:dyDescent="0.3">
      <c r="A21" s="12" t="s">
        <v>1424</v>
      </c>
      <c r="B21" s="15">
        <v>249026.85146999999</v>
      </c>
      <c r="C21" s="13">
        <v>8</v>
      </c>
      <c r="D21" s="15">
        <v>100098.00146999997</v>
      </c>
    </row>
    <row r="22" spans="1:4" x14ac:dyDescent="0.3">
      <c r="A22" s="12" t="s">
        <v>1430</v>
      </c>
      <c r="B22" s="15">
        <v>10919008.625199985</v>
      </c>
      <c r="C22" s="13">
        <v>631</v>
      </c>
      <c r="D22" s="15">
        <v>3422813.4151999983</v>
      </c>
    </row>
  </sheetData>
  <conditionalFormatting pivot="1" sqref="D6:D21">
    <cfRule type="top10" dxfId="9" priority="2" rank="3"/>
  </conditionalFormatting>
  <conditionalFormatting pivot="1" sqref="D6:D21">
    <cfRule type="top10" dxfId="8" priority="1" bottom="1" rank="3"/>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
  <sheetViews>
    <sheetView topLeftCell="A4" workbookViewId="0">
      <selection activeCell="D18" sqref="D18"/>
    </sheetView>
  </sheetViews>
  <sheetFormatPr defaultRowHeight="14.4" x14ac:dyDescent="0.3"/>
  <cols>
    <col min="1" max="1" width="20" customWidth="1"/>
    <col min="2" max="2" width="15.5546875" customWidth="1"/>
    <col min="3" max="3" width="9.88671875" customWidth="1"/>
    <col min="4" max="4" width="11.5546875" customWidth="1"/>
    <col min="5" max="6" width="7" customWidth="1"/>
    <col min="7" max="8" width="10.77734375" customWidth="1"/>
  </cols>
  <sheetData>
    <row r="1" spans="1:7" x14ac:dyDescent="0.3">
      <c r="A1" s="52" t="s">
        <v>1467</v>
      </c>
    </row>
    <row r="2" spans="1:7" x14ac:dyDescent="0.3">
      <c r="A2" t="s">
        <v>1395</v>
      </c>
    </row>
    <row r="3" spans="1:7" x14ac:dyDescent="0.3">
      <c r="A3" s="54" t="s">
        <v>1520</v>
      </c>
    </row>
    <row r="5" spans="1:7" x14ac:dyDescent="0.3">
      <c r="A5" s="11" t="s">
        <v>1431</v>
      </c>
      <c r="B5" s="11" t="s">
        <v>1435</v>
      </c>
    </row>
    <row r="6" spans="1:7" x14ac:dyDescent="0.3">
      <c r="A6" s="11" t="s">
        <v>1429</v>
      </c>
      <c r="B6" t="s">
        <v>711</v>
      </c>
      <c r="C6" t="s">
        <v>710</v>
      </c>
      <c r="D6" t="s">
        <v>709</v>
      </c>
      <c r="E6" t="s">
        <v>708</v>
      </c>
      <c r="F6" t="s">
        <v>707</v>
      </c>
      <c r="G6" t="s">
        <v>1430</v>
      </c>
    </row>
    <row r="7" spans="1:7" x14ac:dyDescent="0.3">
      <c r="A7" s="12" t="s">
        <v>646</v>
      </c>
      <c r="B7" s="6">
        <v>4.2730018610982919E-2</v>
      </c>
      <c r="C7" s="6">
        <v>5.8661929539015285E-2</v>
      </c>
      <c r="D7" s="6">
        <v>4.8760131239816068E-2</v>
      </c>
      <c r="E7" s="6">
        <v>4.0064904150459608E-2</v>
      </c>
      <c r="F7" s="6">
        <v>4.7951612227644824E-2</v>
      </c>
      <c r="G7" s="6">
        <v>0.23816859576791871</v>
      </c>
    </row>
    <row r="8" spans="1:7" x14ac:dyDescent="0.3">
      <c r="A8" s="12" t="s">
        <v>648</v>
      </c>
      <c r="B8" s="6">
        <v>6.9505924456832208E-2</v>
      </c>
      <c r="C8" s="6">
        <v>5.2586813264953715E-2</v>
      </c>
      <c r="D8" s="6">
        <v>3.3868485969665303E-2</v>
      </c>
      <c r="E8" s="6">
        <v>6.3780421683968053E-2</v>
      </c>
      <c r="F8" s="6">
        <v>2.7996359553714299E-2</v>
      </c>
      <c r="G8" s="6">
        <v>0.24773800492913359</v>
      </c>
    </row>
    <row r="9" spans="1:7" x14ac:dyDescent="0.3">
      <c r="A9" s="12" t="s">
        <v>647</v>
      </c>
      <c r="B9" s="6">
        <v>5.9417330697298605E-2</v>
      </c>
      <c r="C9" s="6">
        <v>4.7091641091551062E-2</v>
      </c>
      <c r="D9" s="6">
        <v>5.0483097361351544E-2</v>
      </c>
      <c r="E9" s="6">
        <v>3.8239654913904082E-2</v>
      </c>
      <c r="F9" s="6">
        <v>6.1601652842489585E-2</v>
      </c>
      <c r="G9" s="6">
        <v>0.25683337690659491</v>
      </c>
    </row>
    <row r="10" spans="1:7" x14ac:dyDescent="0.3">
      <c r="A10" s="12" t="s">
        <v>649</v>
      </c>
      <c r="B10" s="6">
        <v>7.789287887970231E-2</v>
      </c>
      <c r="C10" s="6">
        <v>2.9464622808315417E-2</v>
      </c>
      <c r="D10" s="6">
        <v>5.2661979466340596E-2</v>
      </c>
      <c r="E10" s="6">
        <v>5.4116108312277596E-2</v>
      </c>
      <c r="F10" s="6">
        <v>4.3124432929716912E-2</v>
      </c>
      <c r="G10" s="6">
        <v>0.25726002239635282</v>
      </c>
    </row>
    <row r="11" spans="1:7" x14ac:dyDescent="0.3">
      <c r="A11" s="12" t="s">
        <v>1430</v>
      </c>
      <c r="B11" s="6">
        <v>0.24954615264481605</v>
      </c>
      <c r="C11" s="6">
        <v>0.18780500670383546</v>
      </c>
      <c r="D11" s="6">
        <v>0.1857736940371735</v>
      </c>
      <c r="E11" s="6">
        <v>0.19620108906060935</v>
      </c>
      <c r="F11" s="6">
        <v>0.18067405755356564</v>
      </c>
      <c r="G11" s="6">
        <v>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3"/>
  <sheetViews>
    <sheetView tabSelected="1" workbookViewId="0">
      <selection activeCell="H23" sqref="H23"/>
    </sheetView>
  </sheetViews>
  <sheetFormatPr defaultRowHeight="14.4" x14ac:dyDescent="0.3"/>
  <cols>
    <col min="1" max="1" width="19.77734375" customWidth="1"/>
    <col min="2" max="2" width="15.5546875" customWidth="1"/>
    <col min="3" max="3" width="7.88671875" customWidth="1"/>
    <col min="4" max="4" width="10.77734375" bestFit="1" customWidth="1"/>
  </cols>
  <sheetData>
    <row r="1" spans="1:6" x14ac:dyDescent="0.3">
      <c r="A1" s="52" t="s">
        <v>1472</v>
      </c>
    </row>
    <row r="2" spans="1:6" x14ac:dyDescent="0.3">
      <c r="A2" t="s">
        <v>1397</v>
      </c>
    </row>
    <row r="3" spans="1:6" x14ac:dyDescent="0.3">
      <c r="A3" s="54" t="s">
        <v>1521</v>
      </c>
    </row>
    <row r="5" spans="1:6" x14ac:dyDescent="0.3">
      <c r="A5" s="11" t="s">
        <v>1469</v>
      </c>
      <c r="B5" s="11" t="s">
        <v>1435</v>
      </c>
    </row>
    <row r="6" spans="1:6" x14ac:dyDescent="0.3">
      <c r="A6" s="11" t="s">
        <v>1429</v>
      </c>
      <c r="B6" t="s">
        <v>1470</v>
      </c>
      <c r="C6" t="s">
        <v>1471</v>
      </c>
      <c r="D6" t="s">
        <v>1430</v>
      </c>
    </row>
    <row r="7" spans="1:6" x14ac:dyDescent="0.3">
      <c r="A7" s="12" t="s">
        <v>655</v>
      </c>
      <c r="B7" s="6">
        <v>6.9730586370839939E-2</v>
      </c>
      <c r="C7" s="6">
        <v>2.8526148969889066E-2</v>
      </c>
      <c r="D7" s="6">
        <v>9.8256735340728998E-2</v>
      </c>
    </row>
    <row r="8" spans="1:6" x14ac:dyDescent="0.3">
      <c r="A8" s="14" t="s">
        <v>733</v>
      </c>
      <c r="B8" s="6">
        <v>9.5087163232963554E-3</v>
      </c>
      <c r="C8" s="6">
        <v>6.3391442155309036E-3</v>
      </c>
      <c r="D8" s="6">
        <v>1.5847860538827259E-2</v>
      </c>
      <c r="F8" t="s">
        <v>1473</v>
      </c>
    </row>
    <row r="9" spans="1:6" x14ac:dyDescent="0.3">
      <c r="A9" s="14" t="s">
        <v>727</v>
      </c>
      <c r="B9" s="6">
        <v>9.5087163232963554E-3</v>
      </c>
      <c r="C9" s="6">
        <v>1.5847860538827259E-3</v>
      </c>
      <c r="D9" s="6">
        <v>1.1093502377179081E-2</v>
      </c>
    </row>
    <row r="10" spans="1:6" x14ac:dyDescent="0.3">
      <c r="A10" s="14" t="s">
        <v>731</v>
      </c>
      <c r="B10" s="6">
        <v>6.3391442155309036E-3</v>
      </c>
      <c r="C10" s="6">
        <v>1.5847860538827259E-3</v>
      </c>
      <c r="D10" s="6">
        <v>7.9239302694136295E-3</v>
      </c>
    </row>
    <row r="11" spans="1:6" x14ac:dyDescent="0.3">
      <c r="A11" s="14" t="s">
        <v>732</v>
      </c>
      <c r="B11" s="6">
        <v>1.4263074484944533E-2</v>
      </c>
      <c r="C11" s="6">
        <v>4.7543581616481777E-3</v>
      </c>
      <c r="D11" s="6">
        <v>1.9017432646592711E-2</v>
      </c>
    </row>
    <row r="12" spans="1:6" x14ac:dyDescent="0.3">
      <c r="A12" s="14" t="s">
        <v>729</v>
      </c>
      <c r="B12" s="6">
        <v>1.5847860538827259E-2</v>
      </c>
      <c r="C12" s="6">
        <v>3.1695721077654518E-3</v>
      </c>
      <c r="D12" s="6">
        <v>1.9017432646592711E-2</v>
      </c>
    </row>
    <row r="13" spans="1:6" x14ac:dyDescent="0.3">
      <c r="A13" s="14" t="s">
        <v>730</v>
      </c>
      <c r="B13" s="6">
        <v>6.3391442155309036E-3</v>
      </c>
      <c r="C13" s="6">
        <v>7.9239302694136295E-3</v>
      </c>
      <c r="D13" s="6">
        <v>1.4263074484944533E-2</v>
      </c>
    </row>
    <row r="14" spans="1:6" x14ac:dyDescent="0.3">
      <c r="A14" s="14" t="s">
        <v>728</v>
      </c>
      <c r="B14" s="6">
        <v>7.9239302694136295E-3</v>
      </c>
      <c r="C14" s="6">
        <v>3.1695721077654518E-3</v>
      </c>
      <c r="D14" s="6">
        <v>1.1093502377179081E-2</v>
      </c>
    </row>
    <row r="15" spans="1:6" x14ac:dyDescent="0.3">
      <c r="A15" s="12" t="s">
        <v>653</v>
      </c>
      <c r="B15" s="6">
        <v>5.5467511885895403E-2</v>
      </c>
      <c r="C15" s="6">
        <v>1.4263074484944533E-2</v>
      </c>
      <c r="D15" s="6">
        <v>6.9730586370839939E-2</v>
      </c>
    </row>
    <row r="16" spans="1:6" x14ac:dyDescent="0.3">
      <c r="A16" s="14" t="s">
        <v>733</v>
      </c>
      <c r="B16" s="6">
        <v>6.3391442155309036E-3</v>
      </c>
      <c r="C16" s="6">
        <v>3.1695721077654518E-3</v>
      </c>
      <c r="D16" s="6">
        <v>9.5087163232963554E-3</v>
      </c>
    </row>
    <row r="17" spans="1:4" x14ac:dyDescent="0.3">
      <c r="A17" s="14" t="s">
        <v>727</v>
      </c>
      <c r="B17" s="6">
        <v>4.7543581616481777E-3</v>
      </c>
      <c r="C17" s="6">
        <v>4.7543581616481777E-3</v>
      </c>
      <c r="D17" s="6">
        <v>9.5087163232963554E-3</v>
      </c>
    </row>
    <row r="18" spans="1:4" x14ac:dyDescent="0.3">
      <c r="A18" s="14" t="s">
        <v>731</v>
      </c>
      <c r="B18" s="6">
        <v>6.3391442155309036E-3</v>
      </c>
      <c r="C18" s="6">
        <v>3.1695721077654518E-3</v>
      </c>
      <c r="D18" s="6">
        <v>9.5087163232963554E-3</v>
      </c>
    </row>
    <row r="19" spans="1:4" x14ac:dyDescent="0.3">
      <c r="A19" s="14" t="s">
        <v>732</v>
      </c>
      <c r="B19" s="6">
        <v>1.1093502377179081E-2</v>
      </c>
      <c r="C19" s="6">
        <v>0</v>
      </c>
      <c r="D19" s="6">
        <v>1.1093502377179081E-2</v>
      </c>
    </row>
    <row r="20" spans="1:4" x14ac:dyDescent="0.3">
      <c r="A20" s="14" t="s">
        <v>729</v>
      </c>
      <c r="B20" s="6">
        <v>4.7543581616481777E-3</v>
      </c>
      <c r="C20" s="6">
        <v>0</v>
      </c>
      <c r="D20" s="6">
        <v>4.7543581616481777E-3</v>
      </c>
    </row>
    <row r="21" spans="1:4" x14ac:dyDescent="0.3">
      <c r="A21" s="14" t="s">
        <v>730</v>
      </c>
      <c r="B21" s="6">
        <v>4.7543581616481777E-3</v>
      </c>
      <c r="C21" s="6">
        <v>0</v>
      </c>
      <c r="D21" s="6">
        <v>4.7543581616481777E-3</v>
      </c>
    </row>
    <row r="22" spans="1:4" x14ac:dyDescent="0.3">
      <c r="A22" s="14" t="s">
        <v>728</v>
      </c>
      <c r="B22" s="6">
        <v>1.7432646592709985E-2</v>
      </c>
      <c r="C22" s="6">
        <v>3.1695721077654518E-3</v>
      </c>
      <c r="D22" s="6">
        <v>2.0602218700475437E-2</v>
      </c>
    </row>
    <row r="23" spans="1:4" x14ac:dyDescent="0.3">
      <c r="A23" s="12" t="s">
        <v>659</v>
      </c>
      <c r="B23" s="6">
        <v>6.4976228209191758E-2</v>
      </c>
      <c r="C23" s="6">
        <v>1.5847860538827259E-2</v>
      </c>
      <c r="D23" s="6">
        <v>8.0824088748019024E-2</v>
      </c>
    </row>
    <row r="24" spans="1:4" x14ac:dyDescent="0.3">
      <c r="A24" s="14" t="s">
        <v>733</v>
      </c>
      <c r="B24" s="6">
        <v>1.5847860538827259E-3</v>
      </c>
      <c r="C24" s="6">
        <v>4.7543581616481777E-3</v>
      </c>
      <c r="D24" s="6">
        <v>6.3391442155309036E-3</v>
      </c>
    </row>
    <row r="25" spans="1:4" x14ac:dyDescent="0.3">
      <c r="A25" s="14" t="s">
        <v>727</v>
      </c>
      <c r="B25" s="6">
        <v>1.5847860538827259E-2</v>
      </c>
      <c r="C25" s="6">
        <v>0</v>
      </c>
      <c r="D25" s="6">
        <v>1.5847860538827259E-2</v>
      </c>
    </row>
    <row r="26" spans="1:4" x14ac:dyDescent="0.3">
      <c r="A26" s="14" t="s">
        <v>731</v>
      </c>
      <c r="B26" s="6">
        <v>6.3391442155309036E-3</v>
      </c>
      <c r="C26" s="6">
        <v>1.5847860538827259E-3</v>
      </c>
      <c r="D26" s="6">
        <v>7.9239302694136295E-3</v>
      </c>
    </row>
    <row r="27" spans="1:4" x14ac:dyDescent="0.3">
      <c r="A27" s="14" t="s">
        <v>732</v>
      </c>
      <c r="B27" s="6">
        <v>7.9239302694136295E-3</v>
      </c>
      <c r="C27" s="6">
        <v>1.5847860538827259E-3</v>
      </c>
      <c r="D27" s="6">
        <v>9.5087163232963554E-3</v>
      </c>
    </row>
    <row r="28" spans="1:4" x14ac:dyDescent="0.3">
      <c r="A28" s="14" t="s">
        <v>729</v>
      </c>
      <c r="B28" s="6">
        <v>6.3391442155309036E-3</v>
      </c>
      <c r="C28" s="6">
        <v>6.3391442155309036E-3</v>
      </c>
      <c r="D28" s="6">
        <v>1.2678288431061807E-2</v>
      </c>
    </row>
    <row r="29" spans="1:4" x14ac:dyDescent="0.3">
      <c r="A29" s="14" t="s">
        <v>730</v>
      </c>
      <c r="B29" s="6">
        <v>9.5087163232963554E-3</v>
      </c>
      <c r="C29" s="6">
        <v>1.5847860538827259E-3</v>
      </c>
      <c r="D29" s="6">
        <v>1.1093502377179081E-2</v>
      </c>
    </row>
    <row r="30" spans="1:4" x14ac:dyDescent="0.3">
      <c r="A30" s="14" t="s">
        <v>728</v>
      </c>
      <c r="B30" s="6">
        <v>1.7432646592709985E-2</v>
      </c>
      <c r="C30" s="6">
        <v>0</v>
      </c>
      <c r="D30" s="6">
        <v>1.7432646592709985E-2</v>
      </c>
    </row>
    <row r="31" spans="1:4" x14ac:dyDescent="0.3">
      <c r="A31" s="12" t="s">
        <v>657</v>
      </c>
      <c r="B31" s="6">
        <v>6.4976228209191758E-2</v>
      </c>
      <c r="C31" s="6">
        <v>2.0602218700475437E-2</v>
      </c>
      <c r="D31" s="6">
        <v>8.5578446909667191E-2</v>
      </c>
    </row>
    <row r="32" spans="1:4" x14ac:dyDescent="0.3">
      <c r="A32" s="14" t="s">
        <v>733</v>
      </c>
      <c r="B32" s="6">
        <v>9.5087163232963554E-3</v>
      </c>
      <c r="C32" s="6">
        <v>1.5847860538827259E-3</v>
      </c>
      <c r="D32" s="6">
        <v>1.1093502377179081E-2</v>
      </c>
    </row>
    <row r="33" spans="1:4" x14ac:dyDescent="0.3">
      <c r="A33" s="14" t="s">
        <v>727</v>
      </c>
      <c r="B33" s="6">
        <v>1.1093502377179081E-2</v>
      </c>
      <c r="C33" s="6">
        <v>4.7543581616481777E-3</v>
      </c>
      <c r="D33" s="6">
        <v>1.5847860538827259E-2</v>
      </c>
    </row>
    <row r="34" spans="1:4" x14ac:dyDescent="0.3">
      <c r="A34" s="14" t="s">
        <v>731</v>
      </c>
      <c r="B34" s="6">
        <v>6.3391442155309036E-3</v>
      </c>
      <c r="C34" s="6">
        <v>3.1695721077654518E-3</v>
      </c>
      <c r="D34" s="6">
        <v>9.5087163232963554E-3</v>
      </c>
    </row>
    <row r="35" spans="1:4" x14ac:dyDescent="0.3">
      <c r="A35" s="14" t="s">
        <v>732</v>
      </c>
      <c r="B35" s="6">
        <v>1.1093502377179081E-2</v>
      </c>
      <c r="C35" s="6">
        <v>4.7543581616481777E-3</v>
      </c>
      <c r="D35" s="6">
        <v>1.5847860538827259E-2</v>
      </c>
    </row>
    <row r="36" spans="1:4" x14ac:dyDescent="0.3">
      <c r="A36" s="14" t="s">
        <v>729</v>
      </c>
      <c r="B36" s="6">
        <v>6.3391442155309036E-3</v>
      </c>
      <c r="C36" s="6">
        <v>3.1695721077654518E-3</v>
      </c>
      <c r="D36" s="6">
        <v>9.5087163232963554E-3</v>
      </c>
    </row>
    <row r="37" spans="1:4" x14ac:dyDescent="0.3">
      <c r="A37" s="14" t="s">
        <v>730</v>
      </c>
      <c r="B37" s="6">
        <v>4.7543581616481777E-3</v>
      </c>
      <c r="C37" s="6">
        <v>0</v>
      </c>
      <c r="D37" s="6">
        <v>4.7543581616481777E-3</v>
      </c>
    </row>
    <row r="38" spans="1:4" x14ac:dyDescent="0.3">
      <c r="A38" s="14" t="s">
        <v>728</v>
      </c>
      <c r="B38" s="6">
        <v>1.5847860538827259E-2</v>
      </c>
      <c r="C38" s="6">
        <v>3.1695721077654518E-3</v>
      </c>
      <c r="D38" s="6">
        <v>1.9017432646592711E-2</v>
      </c>
    </row>
    <row r="39" spans="1:4" x14ac:dyDescent="0.3">
      <c r="A39" s="12" t="s">
        <v>656</v>
      </c>
      <c r="B39" s="6">
        <v>6.1806656101426306E-2</v>
      </c>
      <c r="C39" s="6">
        <v>1.9017432646592711E-2</v>
      </c>
      <c r="D39" s="6">
        <v>8.0824088748019024E-2</v>
      </c>
    </row>
    <row r="40" spans="1:4" x14ac:dyDescent="0.3">
      <c r="A40" s="14" t="s">
        <v>733</v>
      </c>
      <c r="B40" s="6">
        <v>7.9239302694136295E-3</v>
      </c>
      <c r="C40" s="6">
        <v>6.3391442155309036E-3</v>
      </c>
      <c r="D40" s="6">
        <v>1.4263074484944533E-2</v>
      </c>
    </row>
    <row r="41" spans="1:4" x14ac:dyDescent="0.3">
      <c r="A41" s="14" t="s">
        <v>727</v>
      </c>
      <c r="B41" s="6">
        <v>6.3391442155309036E-3</v>
      </c>
      <c r="C41" s="6">
        <v>3.1695721077654518E-3</v>
      </c>
      <c r="D41" s="6">
        <v>9.5087163232963554E-3</v>
      </c>
    </row>
    <row r="42" spans="1:4" x14ac:dyDescent="0.3">
      <c r="A42" s="14" t="s">
        <v>731</v>
      </c>
      <c r="B42" s="6">
        <v>7.9239302694136295E-3</v>
      </c>
      <c r="C42" s="6">
        <v>3.1695721077654518E-3</v>
      </c>
      <c r="D42" s="6">
        <v>1.1093502377179081E-2</v>
      </c>
    </row>
    <row r="43" spans="1:4" x14ac:dyDescent="0.3">
      <c r="A43" s="14" t="s">
        <v>732</v>
      </c>
      <c r="B43" s="6">
        <v>1.4263074484944533E-2</v>
      </c>
      <c r="C43" s="6">
        <v>1.5847860538827259E-3</v>
      </c>
      <c r="D43" s="6">
        <v>1.5847860538827259E-2</v>
      </c>
    </row>
    <row r="44" spans="1:4" x14ac:dyDescent="0.3">
      <c r="A44" s="14" t="s">
        <v>729</v>
      </c>
      <c r="B44" s="6">
        <v>4.7543581616481777E-3</v>
      </c>
      <c r="C44" s="6">
        <v>1.5847860538827259E-3</v>
      </c>
      <c r="D44" s="6">
        <v>6.3391442155309036E-3</v>
      </c>
    </row>
    <row r="45" spans="1:4" x14ac:dyDescent="0.3">
      <c r="A45" s="14" t="s">
        <v>730</v>
      </c>
      <c r="B45" s="6">
        <v>9.5087163232963554E-3</v>
      </c>
      <c r="C45" s="6">
        <v>1.5847860538827259E-3</v>
      </c>
      <c r="D45" s="6">
        <v>1.1093502377179081E-2</v>
      </c>
    </row>
    <row r="46" spans="1:4" x14ac:dyDescent="0.3">
      <c r="A46" s="14" t="s">
        <v>728</v>
      </c>
      <c r="B46" s="6">
        <v>1.1093502377179081E-2</v>
      </c>
      <c r="C46" s="6">
        <v>1.5847860538827259E-3</v>
      </c>
      <c r="D46" s="6">
        <v>1.2678288431061807E-2</v>
      </c>
    </row>
    <row r="47" spans="1:4" x14ac:dyDescent="0.3">
      <c r="A47" s="12" t="s">
        <v>654</v>
      </c>
      <c r="B47" s="6">
        <v>7.6069730586370843E-2</v>
      </c>
      <c r="C47" s="6">
        <v>1.9017432646592711E-2</v>
      </c>
      <c r="D47" s="6">
        <v>9.5087163232963554E-2</v>
      </c>
    </row>
    <row r="48" spans="1:4" x14ac:dyDescent="0.3">
      <c r="A48" s="14" t="s">
        <v>733</v>
      </c>
      <c r="B48" s="6">
        <v>7.9239302694136295E-3</v>
      </c>
      <c r="C48" s="6">
        <v>3.1695721077654518E-3</v>
      </c>
      <c r="D48" s="6">
        <v>1.1093502377179081E-2</v>
      </c>
    </row>
    <row r="49" spans="1:4" x14ac:dyDescent="0.3">
      <c r="A49" s="14" t="s">
        <v>727</v>
      </c>
      <c r="B49" s="6">
        <v>1.2678288431061807E-2</v>
      </c>
      <c r="C49" s="6">
        <v>3.1695721077654518E-3</v>
      </c>
      <c r="D49" s="6">
        <v>1.5847860538827259E-2</v>
      </c>
    </row>
    <row r="50" spans="1:4" x14ac:dyDescent="0.3">
      <c r="A50" s="14" t="s">
        <v>731</v>
      </c>
      <c r="B50" s="6">
        <v>1.2678288431061807E-2</v>
      </c>
      <c r="C50" s="6">
        <v>1.5847860538827259E-3</v>
      </c>
      <c r="D50" s="6">
        <v>1.4263074484944533E-2</v>
      </c>
    </row>
    <row r="51" spans="1:4" x14ac:dyDescent="0.3">
      <c r="A51" s="14" t="s">
        <v>732</v>
      </c>
      <c r="B51" s="6">
        <v>1.5847860538827259E-2</v>
      </c>
      <c r="C51" s="6">
        <v>3.1695721077654518E-3</v>
      </c>
      <c r="D51" s="6">
        <v>1.9017432646592711E-2</v>
      </c>
    </row>
    <row r="52" spans="1:4" x14ac:dyDescent="0.3">
      <c r="A52" s="14" t="s">
        <v>729</v>
      </c>
      <c r="B52" s="6">
        <v>9.5087163232963554E-3</v>
      </c>
      <c r="C52" s="6">
        <v>1.5847860538827259E-3</v>
      </c>
      <c r="D52" s="6">
        <v>1.1093502377179081E-2</v>
      </c>
    </row>
    <row r="53" spans="1:4" x14ac:dyDescent="0.3">
      <c r="A53" s="14" t="s">
        <v>730</v>
      </c>
      <c r="B53" s="6">
        <v>1.1093502377179081E-2</v>
      </c>
      <c r="C53" s="6">
        <v>3.1695721077654518E-3</v>
      </c>
      <c r="D53" s="6">
        <v>1.4263074484944533E-2</v>
      </c>
    </row>
    <row r="54" spans="1:4" x14ac:dyDescent="0.3">
      <c r="A54" s="14" t="s">
        <v>728</v>
      </c>
      <c r="B54" s="6">
        <v>6.3391442155309036E-3</v>
      </c>
      <c r="C54" s="6">
        <v>3.1695721077654518E-3</v>
      </c>
      <c r="D54" s="6">
        <v>9.5087163232963554E-3</v>
      </c>
    </row>
    <row r="55" spans="1:4" x14ac:dyDescent="0.3">
      <c r="A55" s="12" t="s">
        <v>652</v>
      </c>
      <c r="B55" s="6">
        <v>7.1315372424722662E-2</v>
      </c>
      <c r="C55" s="6">
        <v>2.2187004754358162E-2</v>
      </c>
      <c r="D55" s="6">
        <v>9.3502377179080817E-2</v>
      </c>
    </row>
    <row r="56" spans="1:4" x14ac:dyDescent="0.3">
      <c r="A56" s="14" t="s">
        <v>733</v>
      </c>
      <c r="B56" s="6">
        <v>6.3391442155309036E-3</v>
      </c>
      <c r="C56" s="6">
        <v>1.5847860538827259E-3</v>
      </c>
      <c r="D56" s="6">
        <v>7.9239302694136295E-3</v>
      </c>
    </row>
    <row r="57" spans="1:4" x14ac:dyDescent="0.3">
      <c r="A57" s="14" t="s">
        <v>727</v>
      </c>
      <c r="B57" s="6">
        <v>7.9239302694136295E-3</v>
      </c>
      <c r="C57" s="6">
        <v>4.7543581616481777E-3</v>
      </c>
      <c r="D57" s="6">
        <v>1.2678288431061807E-2</v>
      </c>
    </row>
    <row r="58" spans="1:4" x14ac:dyDescent="0.3">
      <c r="A58" s="14" t="s">
        <v>731</v>
      </c>
      <c r="B58" s="6">
        <v>6.3391442155309036E-3</v>
      </c>
      <c r="C58" s="6">
        <v>4.7543581616481777E-3</v>
      </c>
      <c r="D58" s="6">
        <v>1.1093502377179081E-2</v>
      </c>
    </row>
    <row r="59" spans="1:4" x14ac:dyDescent="0.3">
      <c r="A59" s="14" t="s">
        <v>732</v>
      </c>
      <c r="B59" s="6">
        <v>7.9239302694136295E-3</v>
      </c>
      <c r="C59" s="6">
        <v>3.1695721077654518E-3</v>
      </c>
      <c r="D59" s="6">
        <v>1.1093502377179081E-2</v>
      </c>
    </row>
    <row r="60" spans="1:4" x14ac:dyDescent="0.3">
      <c r="A60" s="14" t="s">
        <v>729</v>
      </c>
      <c r="B60" s="6">
        <v>1.7432646592709985E-2</v>
      </c>
      <c r="C60" s="6">
        <v>1.5847860538827259E-3</v>
      </c>
      <c r="D60" s="6">
        <v>1.9017432646592711E-2</v>
      </c>
    </row>
    <row r="61" spans="1:4" x14ac:dyDescent="0.3">
      <c r="A61" s="14" t="s">
        <v>730</v>
      </c>
      <c r="B61" s="6">
        <v>1.5847860538827259E-2</v>
      </c>
      <c r="C61" s="6">
        <v>1.5847860538827259E-3</v>
      </c>
      <c r="D61" s="6">
        <v>1.7432646592709985E-2</v>
      </c>
    </row>
    <row r="62" spans="1:4" x14ac:dyDescent="0.3">
      <c r="A62" s="14" t="s">
        <v>728</v>
      </c>
      <c r="B62" s="6">
        <v>9.5087163232963554E-3</v>
      </c>
      <c r="C62" s="6">
        <v>4.7543581616481777E-3</v>
      </c>
      <c r="D62" s="6">
        <v>1.4263074484944533E-2</v>
      </c>
    </row>
    <row r="63" spans="1:4" x14ac:dyDescent="0.3">
      <c r="A63" s="12" t="s">
        <v>650</v>
      </c>
      <c r="B63" s="6">
        <v>6.1806656101426306E-2</v>
      </c>
      <c r="C63" s="6">
        <v>2.694136291600634E-2</v>
      </c>
      <c r="D63" s="6">
        <v>8.874801901743265E-2</v>
      </c>
    </row>
    <row r="64" spans="1:4" x14ac:dyDescent="0.3">
      <c r="A64" s="14" t="s">
        <v>733</v>
      </c>
      <c r="B64" s="6">
        <v>9.5087163232963554E-3</v>
      </c>
      <c r="C64" s="6">
        <v>6.3391442155309036E-3</v>
      </c>
      <c r="D64" s="6">
        <v>1.5847860538827259E-2</v>
      </c>
    </row>
    <row r="65" spans="1:4" x14ac:dyDescent="0.3">
      <c r="A65" s="14" t="s">
        <v>727</v>
      </c>
      <c r="B65" s="6">
        <v>6.3391442155309036E-3</v>
      </c>
      <c r="C65" s="6">
        <v>1.5847860538827259E-3</v>
      </c>
      <c r="D65" s="6">
        <v>7.9239302694136295E-3</v>
      </c>
    </row>
    <row r="66" spans="1:4" x14ac:dyDescent="0.3">
      <c r="A66" s="14" t="s">
        <v>731</v>
      </c>
      <c r="B66" s="6">
        <v>4.7543581616481777E-3</v>
      </c>
      <c r="C66" s="6">
        <v>1.1093502377179081E-2</v>
      </c>
      <c r="D66" s="6">
        <v>1.5847860538827259E-2</v>
      </c>
    </row>
    <row r="67" spans="1:4" x14ac:dyDescent="0.3">
      <c r="A67" s="14" t="s">
        <v>732</v>
      </c>
      <c r="B67" s="6">
        <v>3.1695721077654518E-3</v>
      </c>
      <c r="C67" s="6">
        <v>0</v>
      </c>
      <c r="D67" s="6">
        <v>3.1695721077654518E-3</v>
      </c>
    </row>
    <row r="68" spans="1:4" x14ac:dyDescent="0.3">
      <c r="A68" s="14" t="s">
        <v>729</v>
      </c>
      <c r="B68" s="6">
        <v>6.3391442155309036E-3</v>
      </c>
      <c r="C68" s="6">
        <v>3.1695721077654518E-3</v>
      </c>
      <c r="D68" s="6">
        <v>9.5087163232963554E-3</v>
      </c>
    </row>
    <row r="69" spans="1:4" x14ac:dyDescent="0.3">
      <c r="A69" s="14" t="s">
        <v>730</v>
      </c>
      <c r="B69" s="6">
        <v>2.0602218700475437E-2</v>
      </c>
      <c r="C69" s="6">
        <v>3.1695721077654518E-3</v>
      </c>
      <c r="D69" s="6">
        <v>2.3771790808240888E-2</v>
      </c>
    </row>
    <row r="70" spans="1:4" x14ac:dyDescent="0.3">
      <c r="A70" s="14" t="s">
        <v>728</v>
      </c>
      <c r="B70" s="6">
        <v>1.1093502377179081E-2</v>
      </c>
      <c r="C70" s="6">
        <v>1.5847860538827259E-3</v>
      </c>
      <c r="D70" s="6">
        <v>1.2678288431061807E-2</v>
      </c>
    </row>
    <row r="71" spans="1:4" x14ac:dyDescent="0.3">
      <c r="A71" s="12" t="s">
        <v>651</v>
      </c>
      <c r="B71" s="6">
        <v>3.9619651347068144E-2</v>
      </c>
      <c r="C71" s="6">
        <v>3.0110935023771792E-2</v>
      </c>
      <c r="D71" s="6">
        <v>6.9730586370839939E-2</v>
      </c>
    </row>
    <row r="72" spans="1:4" x14ac:dyDescent="0.3">
      <c r="A72" s="14" t="s">
        <v>733</v>
      </c>
      <c r="B72" s="6">
        <v>1.1093502377179081E-2</v>
      </c>
      <c r="C72" s="6">
        <v>9.5087163232963554E-3</v>
      </c>
      <c r="D72" s="6">
        <v>2.0602218700475437E-2</v>
      </c>
    </row>
    <row r="73" spans="1:4" x14ac:dyDescent="0.3">
      <c r="A73" s="14" t="s">
        <v>727</v>
      </c>
      <c r="B73" s="6">
        <v>6.3391442155309036E-3</v>
      </c>
      <c r="C73" s="6">
        <v>3.1695721077654518E-3</v>
      </c>
      <c r="D73" s="6">
        <v>9.5087163232963554E-3</v>
      </c>
    </row>
    <row r="74" spans="1:4" x14ac:dyDescent="0.3">
      <c r="A74" s="14" t="s">
        <v>731</v>
      </c>
      <c r="B74" s="6">
        <v>4.7543581616481777E-3</v>
      </c>
      <c r="C74" s="6">
        <v>4.7543581616481777E-3</v>
      </c>
      <c r="D74" s="6">
        <v>9.5087163232963554E-3</v>
      </c>
    </row>
    <row r="75" spans="1:4" x14ac:dyDescent="0.3">
      <c r="A75" s="14" t="s">
        <v>732</v>
      </c>
      <c r="B75" s="6">
        <v>3.1695721077654518E-3</v>
      </c>
      <c r="C75" s="6">
        <v>4.7543581616481777E-3</v>
      </c>
      <c r="D75" s="6">
        <v>7.9239302694136295E-3</v>
      </c>
    </row>
    <row r="76" spans="1:4" x14ac:dyDescent="0.3">
      <c r="A76" s="14" t="s">
        <v>729</v>
      </c>
      <c r="B76" s="6">
        <v>1.5847860538827259E-3</v>
      </c>
      <c r="C76" s="6">
        <v>1.5847860538827259E-3</v>
      </c>
      <c r="D76" s="6">
        <v>3.1695721077654518E-3</v>
      </c>
    </row>
    <row r="77" spans="1:4" x14ac:dyDescent="0.3">
      <c r="A77" s="14" t="s">
        <v>730</v>
      </c>
      <c r="B77" s="6">
        <v>7.9239302694136295E-3</v>
      </c>
      <c r="C77" s="6">
        <v>1.5847860538827259E-3</v>
      </c>
      <c r="D77" s="6">
        <v>9.5087163232963554E-3</v>
      </c>
    </row>
    <row r="78" spans="1:4" x14ac:dyDescent="0.3">
      <c r="A78" s="14" t="s">
        <v>728</v>
      </c>
      <c r="B78" s="6">
        <v>4.7543581616481777E-3</v>
      </c>
      <c r="C78" s="6">
        <v>4.7543581616481777E-3</v>
      </c>
      <c r="D78" s="6">
        <v>9.5087163232963554E-3</v>
      </c>
    </row>
    <row r="79" spans="1:4" x14ac:dyDescent="0.3">
      <c r="A79" s="12" t="s">
        <v>661</v>
      </c>
      <c r="B79" s="6">
        <v>4.7543581616481777E-2</v>
      </c>
      <c r="C79" s="6">
        <v>2.3771790808240888E-2</v>
      </c>
      <c r="D79" s="6">
        <v>7.1315372424722662E-2</v>
      </c>
    </row>
    <row r="80" spans="1:4" x14ac:dyDescent="0.3">
      <c r="A80" s="14" t="s">
        <v>733</v>
      </c>
      <c r="B80" s="6">
        <v>3.1695721077654518E-3</v>
      </c>
      <c r="C80" s="6">
        <v>3.1695721077654518E-3</v>
      </c>
      <c r="D80" s="6">
        <v>6.3391442155309036E-3</v>
      </c>
    </row>
    <row r="81" spans="1:4" x14ac:dyDescent="0.3">
      <c r="A81" s="14" t="s">
        <v>727</v>
      </c>
      <c r="B81" s="6">
        <v>9.5087163232963554E-3</v>
      </c>
      <c r="C81" s="6">
        <v>7.9239302694136295E-3</v>
      </c>
      <c r="D81" s="6">
        <v>1.7432646592709985E-2</v>
      </c>
    </row>
    <row r="82" spans="1:4" x14ac:dyDescent="0.3">
      <c r="A82" s="14" t="s">
        <v>731</v>
      </c>
      <c r="B82" s="6">
        <v>7.9239302694136295E-3</v>
      </c>
      <c r="C82" s="6">
        <v>3.1695721077654518E-3</v>
      </c>
      <c r="D82" s="6">
        <v>1.1093502377179081E-2</v>
      </c>
    </row>
    <row r="83" spans="1:4" x14ac:dyDescent="0.3">
      <c r="A83" s="14" t="s">
        <v>732</v>
      </c>
      <c r="B83" s="6">
        <v>9.5087163232963554E-3</v>
      </c>
      <c r="C83" s="6">
        <v>1.5847860538827259E-3</v>
      </c>
      <c r="D83" s="6">
        <v>1.1093502377179081E-2</v>
      </c>
    </row>
    <row r="84" spans="1:4" x14ac:dyDescent="0.3">
      <c r="A84" s="14" t="s">
        <v>729</v>
      </c>
      <c r="B84" s="6">
        <v>7.9239302694136295E-3</v>
      </c>
      <c r="C84" s="6">
        <v>3.1695721077654518E-3</v>
      </c>
      <c r="D84" s="6">
        <v>1.1093502377179081E-2</v>
      </c>
    </row>
    <row r="85" spans="1:4" x14ac:dyDescent="0.3">
      <c r="A85" s="14" t="s">
        <v>730</v>
      </c>
      <c r="B85" s="6">
        <v>3.1695721077654518E-3</v>
      </c>
      <c r="C85" s="6">
        <v>3.1695721077654518E-3</v>
      </c>
      <c r="D85" s="6">
        <v>6.3391442155309036E-3</v>
      </c>
    </row>
    <row r="86" spans="1:4" x14ac:dyDescent="0.3">
      <c r="A86" s="14" t="s">
        <v>728</v>
      </c>
      <c r="B86" s="6">
        <v>6.3391442155309036E-3</v>
      </c>
      <c r="C86" s="6">
        <v>1.5847860538827259E-3</v>
      </c>
      <c r="D86" s="6">
        <v>7.9239302694136295E-3</v>
      </c>
    </row>
    <row r="87" spans="1:4" x14ac:dyDescent="0.3">
      <c r="A87" s="12" t="s">
        <v>658</v>
      </c>
      <c r="B87" s="6">
        <v>6.1806656101426306E-2</v>
      </c>
      <c r="C87" s="6">
        <v>2.3771790808240888E-2</v>
      </c>
      <c r="D87" s="6">
        <v>8.5578446909667191E-2</v>
      </c>
    </row>
    <row r="88" spans="1:4" x14ac:dyDescent="0.3">
      <c r="A88" s="14" t="s">
        <v>733</v>
      </c>
      <c r="B88" s="6">
        <v>1.1093502377179081E-2</v>
      </c>
      <c r="C88" s="6">
        <v>1.5847860538827259E-3</v>
      </c>
      <c r="D88" s="6">
        <v>1.2678288431061807E-2</v>
      </c>
    </row>
    <row r="89" spans="1:4" x14ac:dyDescent="0.3">
      <c r="A89" s="14" t="s">
        <v>727</v>
      </c>
      <c r="B89" s="6">
        <v>7.9239302694136295E-3</v>
      </c>
      <c r="C89" s="6">
        <v>3.1695721077654518E-3</v>
      </c>
      <c r="D89" s="6">
        <v>1.1093502377179081E-2</v>
      </c>
    </row>
    <row r="90" spans="1:4" x14ac:dyDescent="0.3">
      <c r="A90" s="14" t="s">
        <v>731</v>
      </c>
      <c r="B90" s="6">
        <v>7.9239302694136295E-3</v>
      </c>
      <c r="C90" s="6">
        <v>6.3391442155309036E-3</v>
      </c>
      <c r="D90" s="6">
        <v>1.4263074484944533E-2</v>
      </c>
    </row>
    <row r="91" spans="1:4" x14ac:dyDescent="0.3">
      <c r="A91" s="14" t="s">
        <v>732</v>
      </c>
      <c r="B91" s="6">
        <v>7.9239302694136295E-3</v>
      </c>
      <c r="C91" s="6">
        <v>3.1695721077654518E-3</v>
      </c>
      <c r="D91" s="6">
        <v>1.1093502377179081E-2</v>
      </c>
    </row>
    <row r="92" spans="1:4" x14ac:dyDescent="0.3">
      <c r="A92" s="14" t="s">
        <v>729</v>
      </c>
      <c r="B92" s="6">
        <v>1.1093502377179081E-2</v>
      </c>
      <c r="C92" s="6">
        <v>3.1695721077654518E-3</v>
      </c>
      <c r="D92" s="6">
        <v>1.4263074484944533E-2</v>
      </c>
    </row>
    <row r="93" spans="1:4" x14ac:dyDescent="0.3">
      <c r="A93" s="14" t="s">
        <v>730</v>
      </c>
      <c r="B93" s="6">
        <v>4.7543581616481777E-3</v>
      </c>
      <c r="C93" s="6">
        <v>1.5847860538827259E-3</v>
      </c>
      <c r="D93" s="6">
        <v>6.3391442155309036E-3</v>
      </c>
    </row>
    <row r="94" spans="1:4" x14ac:dyDescent="0.3">
      <c r="A94" s="14" t="s">
        <v>728</v>
      </c>
      <c r="B94" s="6">
        <v>1.1093502377179081E-2</v>
      </c>
      <c r="C94" s="6">
        <v>4.7543581616481777E-3</v>
      </c>
      <c r="D94" s="6">
        <v>1.5847860538827259E-2</v>
      </c>
    </row>
    <row r="95" spans="1:4" x14ac:dyDescent="0.3">
      <c r="A95" s="12" t="s">
        <v>660</v>
      </c>
      <c r="B95" s="6">
        <v>5.2297939778129951E-2</v>
      </c>
      <c r="C95" s="6">
        <v>2.8526148969889066E-2</v>
      </c>
      <c r="D95" s="6">
        <v>8.0824088748019024E-2</v>
      </c>
    </row>
    <row r="96" spans="1:4" x14ac:dyDescent="0.3">
      <c r="A96" s="14" t="s">
        <v>733</v>
      </c>
      <c r="B96" s="6">
        <v>3.1695721077654518E-3</v>
      </c>
      <c r="C96" s="6">
        <v>3.1695721077654518E-3</v>
      </c>
      <c r="D96" s="6">
        <v>6.3391442155309036E-3</v>
      </c>
    </row>
    <row r="97" spans="1:4" x14ac:dyDescent="0.3">
      <c r="A97" s="14" t="s">
        <v>727</v>
      </c>
      <c r="B97" s="6">
        <v>4.7543581616481777E-3</v>
      </c>
      <c r="C97" s="6">
        <v>3.1695721077654518E-3</v>
      </c>
      <c r="D97" s="6">
        <v>7.9239302694136295E-3</v>
      </c>
    </row>
    <row r="98" spans="1:4" x14ac:dyDescent="0.3">
      <c r="A98" s="14" t="s">
        <v>731</v>
      </c>
      <c r="B98" s="6">
        <v>6.3391442155309036E-3</v>
      </c>
      <c r="C98" s="6">
        <v>1.5847860538827259E-3</v>
      </c>
      <c r="D98" s="6">
        <v>7.9239302694136295E-3</v>
      </c>
    </row>
    <row r="99" spans="1:4" x14ac:dyDescent="0.3">
      <c r="A99" s="14" t="s">
        <v>732</v>
      </c>
      <c r="B99" s="6">
        <v>1.2678288431061807E-2</v>
      </c>
      <c r="C99" s="6">
        <v>1.5847860538827259E-3</v>
      </c>
      <c r="D99" s="6">
        <v>1.4263074484944533E-2</v>
      </c>
    </row>
    <row r="100" spans="1:4" x14ac:dyDescent="0.3">
      <c r="A100" s="14" t="s">
        <v>729</v>
      </c>
      <c r="B100" s="6">
        <v>7.9239302694136295E-3</v>
      </c>
      <c r="C100" s="6">
        <v>7.9239302694136295E-3</v>
      </c>
      <c r="D100" s="6">
        <v>1.5847860538827259E-2</v>
      </c>
    </row>
    <row r="101" spans="1:4" x14ac:dyDescent="0.3">
      <c r="A101" s="14" t="s">
        <v>730</v>
      </c>
      <c r="B101" s="6">
        <v>1.4263074484944533E-2</v>
      </c>
      <c r="C101" s="6">
        <v>1.5847860538827259E-3</v>
      </c>
      <c r="D101" s="6">
        <v>1.5847860538827259E-2</v>
      </c>
    </row>
    <row r="102" spans="1:4" x14ac:dyDescent="0.3">
      <c r="A102" s="14" t="s">
        <v>728</v>
      </c>
      <c r="B102" s="6">
        <v>3.1695721077654518E-3</v>
      </c>
      <c r="C102" s="6">
        <v>9.5087163232963554E-3</v>
      </c>
      <c r="D102" s="6">
        <v>1.2678288431061807E-2</v>
      </c>
    </row>
    <row r="103" spans="1:4" x14ac:dyDescent="0.3">
      <c r="A103" s="12" t="s">
        <v>1430</v>
      </c>
      <c r="B103" s="6">
        <v>0.72741679873217113</v>
      </c>
      <c r="C103" s="6">
        <v>0.27258320126782887</v>
      </c>
      <c r="D103" s="6">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4"/>
  <sheetViews>
    <sheetView workbookViewId="0">
      <selection activeCell="G11" sqref="G11"/>
    </sheetView>
  </sheetViews>
  <sheetFormatPr defaultRowHeight="14.4" x14ac:dyDescent="0.3"/>
  <cols>
    <col min="1" max="1" width="23.5546875" customWidth="1"/>
    <col min="2" max="2" width="17.6640625" customWidth="1"/>
    <col min="3" max="3" width="21.77734375" bestFit="1" customWidth="1"/>
    <col min="4" max="4" width="10.77734375" bestFit="1" customWidth="1"/>
  </cols>
  <sheetData>
    <row r="1" spans="1:4" x14ac:dyDescent="0.3">
      <c r="A1" t="s">
        <v>1478</v>
      </c>
    </row>
    <row r="2" spans="1:4" x14ac:dyDescent="0.3">
      <c r="A2" t="s">
        <v>1399</v>
      </c>
    </row>
    <row r="4" spans="1:4" x14ac:dyDescent="0.3">
      <c r="A4" s="11" t="s">
        <v>1475</v>
      </c>
      <c r="B4" s="11" t="s">
        <v>1435</v>
      </c>
    </row>
    <row r="5" spans="1:4" x14ac:dyDescent="0.3">
      <c r="A5" s="11" t="s">
        <v>1429</v>
      </c>
      <c r="B5" t="s">
        <v>1476</v>
      </c>
      <c r="C5" t="s">
        <v>1477</v>
      </c>
      <c r="D5" t="s">
        <v>1430</v>
      </c>
    </row>
    <row r="6" spans="1:4" x14ac:dyDescent="0.3">
      <c r="A6" s="12" t="s">
        <v>646</v>
      </c>
      <c r="B6" s="6">
        <v>0.19492868462757529</v>
      </c>
      <c r="C6" s="6">
        <v>3.486529318541997E-2</v>
      </c>
      <c r="D6" s="6">
        <v>0.22979397781299524</v>
      </c>
    </row>
    <row r="7" spans="1:4" x14ac:dyDescent="0.3">
      <c r="A7" s="14" t="s">
        <v>720</v>
      </c>
      <c r="B7" s="6">
        <v>2.0602218700475437E-2</v>
      </c>
      <c r="C7" s="6">
        <v>4.7543581616481777E-3</v>
      </c>
      <c r="D7" s="6">
        <v>2.5356576862123614E-2</v>
      </c>
    </row>
    <row r="8" spans="1:4" x14ac:dyDescent="0.3">
      <c r="A8" s="14" t="s">
        <v>717</v>
      </c>
      <c r="B8" s="6">
        <v>1.2678288431061807E-2</v>
      </c>
      <c r="C8" s="6">
        <v>0</v>
      </c>
      <c r="D8" s="6">
        <v>1.2678288431061807E-2</v>
      </c>
    </row>
    <row r="9" spans="1:4" x14ac:dyDescent="0.3">
      <c r="A9" s="14" t="s">
        <v>712</v>
      </c>
      <c r="B9" s="6">
        <v>9.5087163232963554E-3</v>
      </c>
      <c r="C9" s="6">
        <v>3.1695721077654518E-3</v>
      </c>
      <c r="D9" s="6">
        <v>1.2678288431061807E-2</v>
      </c>
    </row>
    <row r="10" spans="1:4" x14ac:dyDescent="0.3">
      <c r="A10" s="14" t="s">
        <v>726</v>
      </c>
      <c r="B10" s="6">
        <v>1.2678288431061807E-2</v>
      </c>
      <c r="C10" s="6">
        <v>3.1695721077654518E-3</v>
      </c>
      <c r="D10" s="6">
        <v>1.5847860538827259E-2</v>
      </c>
    </row>
    <row r="11" spans="1:4" x14ac:dyDescent="0.3">
      <c r="A11" s="14" t="s">
        <v>718</v>
      </c>
      <c r="B11" s="6">
        <v>6.3391442155309036E-3</v>
      </c>
      <c r="C11" s="6">
        <v>1.5847860538827259E-3</v>
      </c>
      <c r="D11" s="6">
        <v>7.9239302694136295E-3</v>
      </c>
    </row>
    <row r="12" spans="1:4" x14ac:dyDescent="0.3">
      <c r="A12" s="14" t="s">
        <v>721</v>
      </c>
      <c r="B12" s="6">
        <v>2.0602218700475437E-2</v>
      </c>
      <c r="C12" s="6">
        <v>0</v>
      </c>
      <c r="D12" s="6">
        <v>2.0602218700475437E-2</v>
      </c>
    </row>
    <row r="13" spans="1:4" x14ac:dyDescent="0.3">
      <c r="A13" s="14" t="s">
        <v>715</v>
      </c>
      <c r="B13" s="6">
        <v>4.7543581616481777E-3</v>
      </c>
      <c r="C13" s="6">
        <v>0</v>
      </c>
      <c r="D13" s="6">
        <v>4.7543581616481777E-3</v>
      </c>
    </row>
    <row r="14" spans="1:4" x14ac:dyDescent="0.3">
      <c r="A14" s="14" t="s">
        <v>722</v>
      </c>
      <c r="B14" s="6">
        <v>9.5087163232963554E-3</v>
      </c>
      <c r="C14" s="6">
        <v>1.5847860538827259E-3</v>
      </c>
      <c r="D14" s="6">
        <v>1.1093502377179081E-2</v>
      </c>
    </row>
    <row r="15" spans="1:4" x14ac:dyDescent="0.3">
      <c r="A15" s="14" t="s">
        <v>714</v>
      </c>
      <c r="B15" s="6">
        <v>9.5087163232963554E-3</v>
      </c>
      <c r="C15" s="6">
        <v>3.1695721077654518E-3</v>
      </c>
      <c r="D15" s="6">
        <v>1.2678288431061807E-2</v>
      </c>
    </row>
    <row r="16" spans="1:4" x14ac:dyDescent="0.3">
      <c r="A16" s="14" t="s">
        <v>713</v>
      </c>
      <c r="B16" s="6">
        <v>1.4263074484944533E-2</v>
      </c>
      <c r="C16" s="6">
        <v>4.7543581616481777E-3</v>
      </c>
      <c r="D16" s="6">
        <v>1.9017432646592711E-2</v>
      </c>
    </row>
    <row r="17" spans="1:4" x14ac:dyDescent="0.3">
      <c r="A17" s="14" t="s">
        <v>723</v>
      </c>
      <c r="B17" s="6">
        <v>2.2187004754358162E-2</v>
      </c>
      <c r="C17" s="6">
        <v>0</v>
      </c>
      <c r="D17" s="6">
        <v>2.2187004754358162E-2</v>
      </c>
    </row>
    <row r="18" spans="1:4" x14ac:dyDescent="0.3">
      <c r="A18" s="14" t="s">
        <v>716</v>
      </c>
      <c r="B18" s="6">
        <v>1.2678288431061807E-2</v>
      </c>
      <c r="C18" s="6">
        <v>3.1695721077654518E-3</v>
      </c>
      <c r="D18" s="6">
        <v>1.5847860538827259E-2</v>
      </c>
    </row>
    <row r="19" spans="1:4" x14ac:dyDescent="0.3">
      <c r="A19" s="14" t="s">
        <v>724</v>
      </c>
      <c r="B19" s="6">
        <v>1.7432646592709985E-2</v>
      </c>
      <c r="C19" s="6">
        <v>7.9239302694136295E-3</v>
      </c>
      <c r="D19" s="6">
        <v>2.5356576862123614E-2</v>
      </c>
    </row>
    <row r="20" spans="1:4" x14ac:dyDescent="0.3">
      <c r="A20" s="14" t="s">
        <v>725</v>
      </c>
      <c r="B20" s="6">
        <v>6.3391442155309036E-3</v>
      </c>
      <c r="C20" s="6">
        <v>0</v>
      </c>
      <c r="D20" s="6">
        <v>6.3391442155309036E-3</v>
      </c>
    </row>
    <row r="21" spans="1:4" x14ac:dyDescent="0.3">
      <c r="A21" s="14" t="s">
        <v>719</v>
      </c>
      <c r="B21" s="6">
        <v>1.4263074484944533E-2</v>
      </c>
      <c r="C21" s="6">
        <v>0</v>
      </c>
      <c r="D21" s="6">
        <v>1.4263074484944533E-2</v>
      </c>
    </row>
    <row r="22" spans="1:4" x14ac:dyDescent="0.3">
      <c r="A22" s="14" t="s">
        <v>1424</v>
      </c>
      <c r="B22" s="6">
        <v>1.5847860538827259E-3</v>
      </c>
      <c r="C22" s="6">
        <v>1.5847860538827259E-3</v>
      </c>
      <c r="D22" s="6">
        <v>3.1695721077654518E-3</v>
      </c>
    </row>
    <row r="23" spans="1:4" x14ac:dyDescent="0.3">
      <c r="A23" s="12" t="s">
        <v>648</v>
      </c>
      <c r="B23" s="6">
        <v>0.20602218700475436</v>
      </c>
      <c r="C23" s="6">
        <v>4.2789223454833596E-2</v>
      </c>
      <c r="D23" s="6">
        <v>0.24881141045958796</v>
      </c>
    </row>
    <row r="24" spans="1:4" x14ac:dyDescent="0.3">
      <c r="A24" s="14" t="s">
        <v>720</v>
      </c>
      <c r="B24" s="6">
        <v>7.9239302694136295E-3</v>
      </c>
      <c r="C24" s="6">
        <v>7.9239302694136295E-3</v>
      </c>
      <c r="D24" s="6">
        <v>1.5847860538827259E-2</v>
      </c>
    </row>
    <row r="25" spans="1:4" x14ac:dyDescent="0.3">
      <c r="A25" s="14" t="s">
        <v>717</v>
      </c>
      <c r="B25" s="6">
        <v>1.1093502377179081E-2</v>
      </c>
      <c r="C25" s="6">
        <v>1.5847860538827259E-3</v>
      </c>
      <c r="D25" s="6">
        <v>1.2678288431061807E-2</v>
      </c>
    </row>
    <row r="26" spans="1:4" x14ac:dyDescent="0.3">
      <c r="A26" s="14" t="s">
        <v>712</v>
      </c>
      <c r="B26" s="6">
        <v>1.9017432646592711E-2</v>
      </c>
      <c r="C26" s="6">
        <v>3.1695721077654518E-3</v>
      </c>
      <c r="D26" s="6">
        <v>2.2187004754358162E-2</v>
      </c>
    </row>
    <row r="27" spans="1:4" x14ac:dyDescent="0.3">
      <c r="A27" s="14" t="s">
        <v>726</v>
      </c>
      <c r="B27" s="6">
        <v>6.3391442155309036E-3</v>
      </c>
      <c r="C27" s="6">
        <v>6.3391442155309036E-3</v>
      </c>
      <c r="D27" s="6">
        <v>1.2678288431061807E-2</v>
      </c>
    </row>
    <row r="28" spans="1:4" x14ac:dyDescent="0.3">
      <c r="A28" s="14" t="s">
        <v>718</v>
      </c>
      <c r="B28" s="6">
        <v>7.9239302694136295E-3</v>
      </c>
      <c r="C28" s="6">
        <v>0</v>
      </c>
      <c r="D28" s="6">
        <v>7.9239302694136295E-3</v>
      </c>
    </row>
    <row r="29" spans="1:4" x14ac:dyDescent="0.3">
      <c r="A29" s="14" t="s">
        <v>721</v>
      </c>
      <c r="B29" s="6">
        <v>2.2187004754358162E-2</v>
      </c>
      <c r="C29" s="6">
        <v>1.5847860538827259E-3</v>
      </c>
      <c r="D29" s="6">
        <v>2.3771790808240888E-2</v>
      </c>
    </row>
    <row r="30" spans="1:4" x14ac:dyDescent="0.3">
      <c r="A30" s="14" t="s">
        <v>715</v>
      </c>
      <c r="B30" s="6">
        <v>1.1093502377179081E-2</v>
      </c>
      <c r="C30" s="6">
        <v>1.5847860538827259E-3</v>
      </c>
      <c r="D30" s="6">
        <v>1.2678288431061807E-2</v>
      </c>
    </row>
    <row r="31" spans="1:4" x14ac:dyDescent="0.3">
      <c r="A31" s="14" t="s">
        <v>722</v>
      </c>
      <c r="B31" s="6">
        <v>1.4263074484944533E-2</v>
      </c>
      <c r="C31" s="6">
        <v>0</v>
      </c>
      <c r="D31" s="6">
        <v>1.4263074484944533E-2</v>
      </c>
    </row>
    <row r="32" spans="1:4" x14ac:dyDescent="0.3">
      <c r="A32" s="14" t="s">
        <v>714</v>
      </c>
      <c r="B32" s="6">
        <v>1.4263074484944533E-2</v>
      </c>
      <c r="C32" s="6">
        <v>7.9239302694136295E-3</v>
      </c>
      <c r="D32" s="6">
        <v>2.2187004754358162E-2</v>
      </c>
    </row>
    <row r="33" spans="1:4" x14ac:dyDescent="0.3">
      <c r="A33" s="14" t="s">
        <v>713</v>
      </c>
      <c r="B33" s="6">
        <v>1.5847860538827259E-2</v>
      </c>
      <c r="C33" s="6">
        <v>0</v>
      </c>
      <c r="D33" s="6">
        <v>1.5847860538827259E-2</v>
      </c>
    </row>
    <row r="34" spans="1:4" x14ac:dyDescent="0.3">
      <c r="A34" s="14" t="s">
        <v>723</v>
      </c>
      <c r="B34" s="6">
        <v>1.4263074484944533E-2</v>
      </c>
      <c r="C34" s="6">
        <v>1.5847860538827259E-3</v>
      </c>
      <c r="D34" s="6">
        <v>1.5847860538827259E-2</v>
      </c>
    </row>
    <row r="35" spans="1:4" x14ac:dyDescent="0.3">
      <c r="A35" s="14" t="s">
        <v>716</v>
      </c>
      <c r="B35" s="6">
        <v>1.4263074484944533E-2</v>
      </c>
      <c r="C35" s="6">
        <v>4.7543581616481777E-3</v>
      </c>
      <c r="D35" s="6">
        <v>1.9017432646592711E-2</v>
      </c>
    </row>
    <row r="36" spans="1:4" x14ac:dyDescent="0.3">
      <c r="A36" s="14" t="s">
        <v>724</v>
      </c>
      <c r="B36" s="6">
        <v>1.5847860538827259E-2</v>
      </c>
      <c r="C36" s="6">
        <v>3.1695721077654518E-3</v>
      </c>
      <c r="D36" s="6">
        <v>1.9017432646592711E-2</v>
      </c>
    </row>
    <row r="37" spans="1:4" x14ac:dyDescent="0.3">
      <c r="A37" s="14" t="s">
        <v>725</v>
      </c>
      <c r="B37" s="6">
        <v>9.5087163232963554E-3</v>
      </c>
      <c r="C37" s="6">
        <v>1.5847860538827259E-3</v>
      </c>
      <c r="D37" s="6">
        <v>1.1093502377179081E-2</v>
      </c>
    </row>
    <row r="38" spans="1:4" x14ac:dyDescent="0.3">
      <c r="A38" s="14" t="s">
        <v>719</v>
      </c>
      <c r="B38" s="6">
        <v>1.9017432646592711E-2</v>
      </c>
      <c r="C38" s="6">
        <v>0</v>
      </c>
      <c r="D38" s="6">
        <v>1.9017432646592711E-2</v>
      </c>
    </row>
    <row r="39" spans="1:4" x14ac:dyDescent="0.3">
      <c r="A39" s="14" t="s">
        <v>1424</v>
      </c>
      <c r="B39" s="6">
        <v>3.1695721077654518E-3</v>
      </c>
      <c r="C39" s="6">
        <v>1.5847860538827259E-3</v>
      </c>
      <c r="D39" s="6">
        <v>4.7543581616481777E-3</v>
      </c>
    </row>
    <row r="40" spans="1:4" x14ac:dyDescent="0.3">
      <c r="A40" s="12" t="s">
        <v>647</v>
      </c>
      <c r="B40" s="6">
        <v>0.23296354992076071</v>
      </c>
      <c r="C40" s="6">
        <v>3.6450079239302692E-2</v>
      </c>
      <c r="D40" s="6">
        <v>0.26941362916006339</v>
      </c>
    </row>
    <row r="41" spans="1:4" x14ac:dyDescent="0.3">
      <c r="A41" s="14" t="s">
        <v>720</v>
      </c>
      <c r="B41" s="6">
        <v>1.5847860538827259E-2</v>
      </c>
      <c r="C41" s="6">
        <v>0</v>
      </c>
      <c r="D41" s="6">
        <v>1.5847860538827259E-2</v>
      </c>
    </row>
    <row r="42" spans="1:4" x14ac:dyDescent="0.3">
      <c r="A42" s="14" t="s">
        <v>717</v>
      </c>
      <c r="B42" s="6">
        <v>2.3771790808240888E-2</v>
      </c>
      <c r="C42" s="6">
        <v>1.5847860538827259E-3</v>
      </c>
      <c r="D42" s="6">
        <v>2.5356576862123614E-2</v>
      </c>
    </row>
    <row r="43" spans="1:4" x14ac:dyDescent="0.3">
      <c r="A43" s="14" t="s">
        <v>712</v>
      </c>
      <c r="B43" s="6">
        <v>1.1093502377179081E-2</v>
      </c>
      <c r="C43" s="6">
        <v>4.7543581616481777E-3</v>
      </c>
      <c r="D43" s="6">
        <v>1.5847860538827259E-2</v>
      </c>
    </row>
    <row r="44" spans="1:4" x14ac:dyDescent="0.3">
      <c r="A44" s="14" t="s">
        <v>726</v>
      </c>
      <c r="B44" s="6">
        <v>1.2678288431061807E-2</v>
      </c>
      <c r="C44" s="6">
        <v>1.5847860538827259E-3</v>
      </c>
      <c r="D44" s="6">
        <v>1.4263074484944533E-2</v>
      </c>
    </row>
    <row r="45" spans="1:4" x14ac:dyDescent="0.3">
      <c r="A45" s="14" t="s">
        <v>718</v>
      </c>
      <c r="B45" s="6">
        <v>1.2678288431061807E-2</v>
      </c>
      <c r="C45" s="6">
        <v>0</v>
      </c>
      <c r="D45" s="6">
        <v>1.2678288431061807E-2</v>
      </c>
    </row>
    <row r="46" spans="1:4" x14ac:dyDescent="0.3">
      <c r="A46" s="14" t="s">
        <v>721</v>
      </c>
      <c r="B46" s="6">
        <v>1.4263074484944533E-2</v>
      </c>
      <c r="C46" s="6">
        <v>4.7543581616481777E-3</v>
      </c>
      <c r="D46" s="6">
        <v>1.9017432646592711E-2</v>
      </c>
    </row>
    <row r="47" spans="1:4" x14ac:dyDescent="0.3">
      <c r="A47" s="14" t="s">
        <v>715</v>
      </c>
      <c r="B47" s="6">
        <v>1.5847860538827259E-2</v>
      </c>
      <c r="C47" s="6">
        <v>1.5847860538827259E-3</v>
      </c>
      <c r="D47" s="6">
        <v>1.7432646592709985E-2</v>
      </c>
    </row>
    <row r="48" spans="1:4" x14ac:dyDescent="0.3">
      <c r="A48" s="14" t="s">
        <v>722</v>
      </c>
      <c r="B48" s="6">
        <v>2.2187004754358162E-2</v>
      </c>
      <c r="C48" s="6">
        <v>3.1695721077654518E-3</v>
      </c>
      <c r="D48" s="6">
        <v>2.5356576862123614E-2</v>
      </c>
    </row>
    <row r="49" spans="1:4" x14ac:dyDescent="0.3">
      <c r="A49" s="14" t="s">
        <v>714</v>
      </c>
      <c r="B49" s="6">
        <v>1.1093502377179081E-2</v>
      </c>
      <c r="C49" s="6">
        <v>1.5847860538827259E-3</v>
      </c>
      <c r="D49" s="6">
        <v>1.2678288431061807E-2</v>
      </c>
    </row>
    <row r="50" spans="1:4" x14ac:dyDescent="0.3">
      <c r="A50" s="14" t="s">
        <v>713</v>
      </c>
      <c r="B50" s="6">
        <v>2.694136291600634E-2</v>
      </c>
      <c r="C50" s="6">
        <v>3.1695721077654518E-3</v>
      </c>
      <c r="D50" s="6">
        <v>3.0110935023771792E-2</v>
      </c>
    </row>
    <row r="51" spans="1:4" x14ac:dyDescent="0.3">
      <c r="A51" s="14" t="s">
        <v>723</v>
      </c>
      <c r="B51" s="6">
        <v>9.5087163232963554E-3</v>
      </c>
      <c r="C51" s="6">
        <v>1.5847860538827259E-3</v>
      </c>
      <c r="D51" s="6">
        <v>1.1093502377179081E-2</v>
      </c>
    </row>
    <row r="52" spans="1:4" x14ac:dyDescent="0.3">
      <c r="A52" s="14" t="s">
        <v>716</v>
      </c>
      <c r="B52" s="6">
        <v>1.7432646592709985E-2</v>
      </c>
      <c r="C52" s="6">
        <v>4.7543581616481777E-3</v>
      </c>
      <c r="D52" s="6">
        <v>2.2187004754358162E-2</v>
      </c>
    </row>
    <row r="53" spans="1:4" x14ac:dyDescent="0.3">
      <c r="A53" s="14" t="s">
        <v>724</v>
      </c>
      <c r="B53" s="6">
        <v>1.5847860538827259E-2</v>
      </c>
      <c r="C53" s="6">
        <v>0</v>
      </c>
      <c r="D53" s="6">
        <v>1.5847860538827259E-2</v>
      </c>
    </row>
    <row r="54" spans="1:4" x14ac:dyDescent="0.3">
      <c r="A54" s="14" t="s">
        <v>725</v>
      </c>
      <c r="B54" s="6">
        <v>1.4263074484944533E-2</v>
      </c>
      <c r="C54" s="6">
        <v>1.5847860538827259E-3</v>
      </c>
      <c r="D54" s="6">
        <v>1.5847860538827259E-2</v>
      </c>
    </row>
    <row r="55" spans="1:4" x14ac:dyDescent="0.3">
      <c r="A55" s="14" t="s">
        <v>719</v>
      </c>
      <c r="B55" s="6">
        <v>6.3391442155309036E-3</v>
      </c>
      <c r="C55" s="6">
        <v>6.3391442155309036E-3</v>
      </c>
      <c r="D55" s="6">
        <v>1.2678288431061807E-2</v>
      </c>
    </row>
    <row r="56" spans="1:4" x14ac:dyDescent="0.3">
      <c r="A56" s="14" t="s">
        <v>1424</v>
      </c>
      <c r="B56" s="6">
        <v>3.1695721077654518E-3</v>
      </c>
      <c r="C56" s="6">
        <v>0</v>
      </c>
      <c r="D56" s="6">
        <v>3.1695721077654518E-3</v>
      </c>
    </row>
    <row r="57" spans="1:4" x14ac:dyDescent="0.3">
      <c r="A57" s="12" t="s">
        <v>649</v>
      </c>
      <c r="B57" s="6">
        <v>0.22503961965134706</v>
      </c>
      <c r="C57" s="6">
        <v>2.694136291600634E-2</v>
      </c>
      <c r="D57" s="6">
        <v>0.25198098256735341</v>
      </c>
    </row>
    <row r="58" spans="1:4" x14ac:dyDescent="0.3">
      <c r="A58" s="14" t="s">
        <v>720</v>
      </c>
      <c r="B58" s="6">
        <v>1.4263074484944533E-2</v>
      </c>
      <c r="C58" s="6">
        <v>1.5847860538827259E-3</v>
      </c>
      <c r="D58" s="6">
        <v>1.5847860538827259E-2</v>
      </c>
    </row>
    <row r="59" spans="1:4" x14ac:dyDescent="0.3">
      <c r="A59" s="14" t="s">
        <v>717</v>
      </c>
      <c r="B59" s="6">
        <v>2.0602218700475437E-2</v>
      </c>
      <c r="C59" s="6">
        <v>3.1695721077654518E-3</v>
      </c>
      <c r="D59" s="6">
        <v>2.3771790808240888E-2</v>
      </c>
    </row>
    <row r="60" spans="1:4" x14ac:dyDescent="0.3">
      <c r="A60" s="14" t="s">
        <v>712</v>
      </c>
      <c r="B60" s="6">
        <v>6.3391442155309036E-3</v>
      </c>
      <c r="C60" s="6">
        <v>1.5847860538827259E-3</v>
      </c>
      <c r="D60" s="6">
        <v>7.9239302694136295E-3</v>
      </c>
    </row>
    <row r="61" spans="1:4" x14ac:dyDescent="0.3">
      <c r="A61" s="14" t="s">
        <v>726</v>
      </c>
      <c r="B61" s="6">
        <v>1.5847860538827259E-2</v>
      </c>
      <c r="C61" s="6">
        <v>1.5847860538827259E-3</v>
      </c>
      <c r="D61" s="6">
        <v>1.7432646592709985E-2</v>
      </c>
    </row>
    <row r="62" spans="1:4" x14ac:dyDescent="0.3">
      <c r="A62" s="14" t="s">
        <v>718</v>
      </c>
      <c r="B62" s="6">
        <v>2.2187004754358162E-2</v>
      </c>
      <c r="C62" s="6">
        <v>3.1695721077654518E-3</v>
      </c>
      <c r="D62" s="6">
        <v>2.5356576862123614E-2</v>
      </c>
    </row>
    <row r="63" spans="1:4" x14ac:dyDescent="0.3">
      <c r="A63" s="14" t="s">
        <v>721</v>
      </c>
      <c r="B63" s="6">
        <v>1.7432646592709985E-2</v>
      </c>
      <c r="C63" s="6">
        <v>0</v>
      </c>
      <c r="D63" s="6">
        <v>1.7432646592709985E-2</v>
      </c>
    </row>
    <row r="64" spans="1:4" x14ac:dyDescent="0.3">
      <c r="A64" s="14" t="s">
        <v>715</v>
      </c>
      <c r="B64" s="6">
        <v>1.1093502377179081E-2</v>
      </c>
      <c r="C64" s="6">
        <v>1.5847860538827259E-3</v>
      </c>
      <c r="D64" s="6">
        <v>1.2678288431061807E-2</v>
      </c>
    </row>
    <row r="65" spans="1:4" x14ac:dyDescent="0.3">
      <c r="A65" s="14" t="s">
        <v>722</v>
      </c>
      <c r="B65" s="6">
        <v>1.9017432646592711E-2</v>
      </c>
      <c r="C65" s="6">
        <v>1.5847860538827259E-3</v>
      </c>
      <c r="D65" s="6">
        <v>2.0602218700475437E-2</v>
      </c>
    </row>
    <row r="66" spans="1:4" x14ac:dyDescent="0.3">
      <c r="A66" s="14" t="s">
        <v>714</v>
      </c>
      <c r="B66" s="6">
        <v>1.1093502377179081E-2</v>
      </c>
      <c r="C66" s="6">
        <v>1.5847860538827259E-3</v>
      </c>
      <c r="D66" s="6">
        <v>1.2678288431061807E-2</v>
      </c>
    </row>
    <row r="67" spans="1:4" x14ac:dyDescent="0.3">
      <c r="A67" s="14" t="s">
        <v>713</v>
      </c>
      <c r="B67" s="6">
        <v>1.2678288431061807E-2</v>
      </c>
      <c r="C67" s="6">
        <v>1.5847860538827259E-3</v>
      </c>
      <c r="D67" s="6">
        <v>1.4263074484944533E-2</v>
      </c>
    </row>
    <row r="68" spans="1:4" x14ac:dyDescent="0.3">
      <c r="A68" s="14" t="s">
        <v>723</v>
      </c>
      <c r="B68" s="6">
        <v>1.7432646592709985E-2</v>
      </c>
      <c r="C68" s="6">
        <v>3.1695721077654518E-3</v>
      </c>
      <c r="D68" s="6">
        <v>2.0602218700475437E-2</v>
      </c>
    </row>
    <row r="69" spans="1:4" x14ac:dyDescent="0.3">
      <c r="A69" s="14" t="s">
        <v>716</v>
      </c>
      <c r="B69" s="6">
        <v>1.5847860538827259E-2</v>
      </c>
      <c r="C69" s="6">
        <v>0</v>
      </c>
      <c r="D69" s="6">
        <v>1.5847860538827259E-2</v>
      </c>
    </row>
    <row r="70" spans="1:4" x14ac:dyDescent="0.3">
      <c r="A70" s="14" t="s">
        <v>724</v>
      </c>
      <c r="B70" s="6">
        <v>1.4263074484944533E-2</v>
      </c>
      <c r="C70" s="6">
        <v>1.5847860538827259E-3</v>
      </c>
      <c r="D70" s="6">
        <v>1.5847860538827259E-2</v>
      </c>
    </row>
    <row r="71" spans="1:4" x14ac:dyDescent="0.3">
      <c r="A71" s="14" t="s">
        <v>725</v>
      </c>
      <c r="B71" s="6">
        <v>1.2678288431061807E-2</v>
      </c>
      <c r="C71" s="6">
        <v>4.7543581616481777E-3</v>
      </c>
      <c r="D71" s="6">
        <v>1.7432646592709985E-2</v>
      </c>
    </row>
    <row r="72" spans="1:4" x14ac:dyDescent="0.3">
      <c r="A72" s="14" t="s">
        <v>719</v>
      </c>
      <c r="B72" s="6">
        <v>1.2678288431061807E-2</v>
      </c>
      <c r="C72" s="6">
        <v>0</v>
      </c>
      <c r="D72" s="6">
        <v>1.2678288431061807E-2</v>
      </c>
    </row>
    <row r="73" spans="1:4" x14ac:dyDescent="0.3">
      <c r="A73" s="14" t="s">
        <v>1424</v>
      </c>
      <c r="B73" s="6">
        <v>1.5847860538827259E-3</v>
      </c>
      <c r="C73" s="6">
        <v>0</v>
      </c>
      <c r="D73" s="6">
        <v>1.5847860538827259E-3</v>
      </c>
    </row>
    <row r="74" spans="1:4" x14ac:dyDescent="0.3">
      <c r="A74" s="12" t="s">
        <v>1430</v>
      </c>
      <c r="B74" s="6">
        <v>0.85895404120443741</v>
      </c>
      <c r="C74" s="6">
        <v>0.14104595879556259</v>
      </c>
      <c r="D74" s="6">
        <v>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9"/>
  <sheetViews>
    <sheetView topLeftCell="A6" workbookViewId="0">
      <selection activeCell="C16" sqref="C16"/>
    </sheetView>
  </sheetViews>
  <sheetFormatPr defaultRowHeight="14.4" x14ac:dyDescent="0.3"/>
  <cols>
    <col min="1" max="1" width="12" customWidth="1"/>
    <col min="2" max="2" width="18" customWidth="1"/>
    <col min="3" max="3" width="20" customWidth="1"/>
    <col min="4" max="4" width="24.33203125" bestFit="1" customWidth="1"/>
    <col min="5" max="5" width="13.109375" customWidth="1"/>
    <col min="6" max="6" width="16.44140625" bestFit="1" customWidth="1"/>
  </cols>
  <sheetData>
    <row r="1" spans="1:6" x14ac:dyDescent="0.3">
      <c r="A1" s="52" t="s">
        <v>1483</v>
      </c>
      <c r="B1" s="52" t="s">
        <v>1484</v>
      </c>
      <c r="C1" s="52" t="s">
        <v>1482</v>
      </c>
    </row>
    <row r="2" spans="1:6" x14ac:dyDescent="0.3">
      <c r="A2" t="s">
        <v>1479</v>
      </c>
      <c r="B2">
        <v>0.2</v>
      </c>
      <c r="C2">
        <v>0.2</v>
      </c>
    </row>
    <row r="3" spans="1:6" x14ac:dyDescent="0.3">
      <c r="A3" t="s">
        <v>1480</v>
      </c>
      <c r="B3">
        <v>0.1</v>
      </c>
      <c r="C3">
        <v>0.1</v>
      </c>
    </row>
    <row r="4" spans="1:6" x14ac:dyDescent="0.3">
      <c r="A4" t="s">
        <v>1481</v>
      </c>
      <c r="B4">
        <v>0.05</v>
      </c>
      <c r="C4">
        <v>0.05</v>
      </c>
    </row>
    <row r="8" spans="1:6" x14ac:dyDescent="0.3">
      <c r="A8" s="54" t="s">
        <v>1492</v>
      </c>
    </row>
    <row r="9" spans="1:6" x14ac:dyDescent="0.3">
      <c r="A9" s="54" t="s">
        <v>1519</v>
      </c>
    </row>
    <row r="12" spans="1:6" x14ac:dyDescent="0.3">
      <c r="B12" s="11" t="s">
        <v>1429</v>
      </c>
      <c r="C12" t="s">
        <v>1431</v>
      </c>
      <c r="D12" t="s">
        <v>1512</v>
      </c>
      <c r="E12" t="s">
        <v>1507</v>
      </c>
      <c r="F12" t="s">
        <v>1513</v>
      </c>
    </row>
    <row r="13" spans="1:6" x14ac:dyDescent="0.3">
      <c r="B13" s="12" t="s">
        <v>646</v>
      </c>
      <c r="C13" s="15">
        <v>2609130.8878999995</v>
      </c>
      <c r="D13" s="15">
        <v>2854995.1631800001</v>
      </c>
      <c r="E13" s="15">
        <v>849158.89789999987</v>
      </c>
      <c r="F13" s="15">
        <v>758204.99517999985</v>
      </c>
    </row>
    <row r="14" spans="1:6" x14ac:dyDescent="0.3">
      <c r="B14" s="14" t="s">
        <v>650</v>
      </c>
      <c r="C14" s="15">
        <v>947364.86620999977</v>
      </c>
      <c r="D14" s="15">
        <v>1042064.0183200001</v>
      </c>
      <c r="E14" s="15">
        <v>287100.94620999997</v>
      </c>
      <c r="F14" s="15">
        <v>254253.94031999994</v>
      </c>
    </row>
    <row r="15" spans="1:6" x14ac:dyDescent="0.3">
      <c r="B15" s="14" t="s">
        <v>651</v>
      </c>
      <c r="C15" s="15">
        <v>881838.67690999969</v>
      </c>
      <c r="D15" s="15">
        <v>956278.90193000005</v>
      </c>
      <c r="E15" s="15">
        <v>281963.84690999991</v>
      </c>
      <c r="F15" s="15">
        <v>243445.78092999995</v>
      </c>
    </row>
    <row r="16" spans="1:6" x14ac:dyDescent="0.3">
      <c r="B16" s="14" t="s">
        <v>661</v>
      </c>
      <c r="C16" s="15">
        <v>779927.34477999969</v>
      </c>
      <c r="D16" s="15">
        <v>856652.24292999995</v>
      </c>
      <c r="E16" s="15">
        <v>280094.10478000005</v>
      </c>
      <c r="F16" s="15">
        <v>260505.27392999997</v>
      </c>
    </row>
    <row r="17" spans="2:6" x14ac:dyDescent="0.3">
      <c r="B17" s="12" t="s">
        <v>648</v>
      </c>
      <c r="C17" s="15">
        <v>2689188.1989400005</v>
      </c>
      <c r="D17" s="15">
        <v>2928587.8824600005</v>
      </c>
      <c r="E17" s="15">
        <v>862778.94894000015</v>
      </c>
      <c r="F17" s="15">
        <v>755809.71445999981</v>
      </c>
    </row>
    <row r="18" spans="2:6" x14ac:dyDescent="0.3">
      <c r="B18" s="14" t="s">
        <v>655</v>
      </c>
      <c r="C18" s="15">
        <v>1037870.6328200002</v>
      </c>
      <c r="D18" s="15">
        <v>1128129.8633100002</v>
      </c>
      <c r="E18" s="15">
        <v>351270.58282000007</v>
      </c>
      <c r="F18" s="15">
        <v>311287.04530999996</v>
      </c>
    </row>
    <row r="19" spans="2:6" x14ac:dyDescent="0.3">
      <c r="B19" s="14" t="s">
        <v>653</v>
      </c>
      <c r="C19" s="15">
        <v>882622.97854000016</v>
      </c>
      <c r="D19" s="15">
        <v>958602.80926000013</v>
      </c>
      <c r="E19" s="15">
        <v>289819.45854000008</v>
      </c>
      <c r="F19" s="15">
        <v>255204.87225999997</v>
      </c>
    </row>
    <row r="20" spans="2:6" x14ac:dyDescent="0.3">
      <c r="B20" s="14" t="s">
        <v>660</v>
      </c>
      <c r="C20" s="15">
        <v>768694.58758000017</v>
      </c>
      <c r="D20" s="15">
        <v>841855.20989000006</v>
      </c>
      <c r="E20" s="15">
        <v>221688.90757999997</v>
      </c>
      <c r="F20" s="15">
        <v>189317.79688999991</v>
      </c>
    </row>
    <row r="21" spans="2:6" x14ac:dyDescent="0.3">
      <c r="B21" s="12" t="s">
        <v>647</v>
      </c>
      <c r="C21" s="15">
        <v>2819701.6023499998</v>
      </c>
      <c r="D21" s="15">
        <v>3100131.5903099999</v>
      </c>
      <c r="E21" s="15">
        <v>841039.91235000012</v>
      </c>
      <c r="F21" s="15">
        <v>734907.12430999975</v>
      </c>
    </row>
    <row r="22" spans="2:6" x14ac:dyDescent="0.3">
      <c r="B22" s="14" t="s">
        <v>659</v>
      </c>
      <c r="C22" s="15">
        <v>899054.11212000006</v>
      </c>
      <c r="D22" s="15">
        <v>992894.61781999981</v>
      </c>
      <c r="E22" s="15">
        <v>293188.44212000002</v>
      </c>
      <c r="F22" s="15">
        <v>267205.00481999991</v>
      </c>
    </row>
    <row r="23" spans="2:6" x14ac:dyDescent="0.3">
      <c r="B23" s="14" t="s">
        <v>654</v>
      </c>
      <c r="C23" s="15">
        <v>1065574.1297500001</v>
      </c>
      <c r="D23" s="15">
        <v>1170591.1967500001</v>
      </c>
      <c r="E23" s="15">
        <v>292723.79975000006</v>
      </c>
      <c r="F23" s="15">
        <v>248710.11574999991</v>
      </c>
    </row>
    <row r="24" spans="2:6" x14ac:dyDescent="0.3">
      <c r="B24" s="14" t="s">
        <v>652</v>
      </c>
      <c r="C24" s="15">
        <v>855073.3604799998</v>
      </c>
      <c r="D24" s="15">
        <v>936645.77574000007</v>
      </c>
      <c r="E24" s="15">
        <v>255127.67048000003</v>
      </c>
      <c r="F24" s="15">
        <v>218992.00373999996</v>
      </c>
    </row>
    <row r="25" spans="2:6" x14ac:dyDescent="0.3">
      <c r="B25" s="12" t="s">
        <v>649</v>
      </c>
      <c r="C25" s="15">
        <v>2800987.9360100003</v>
      </c>
      <c r="D25" s="15">
        <v>3043207.6383999996</v>
      </c>
      <c r="E25" s="15">
        <v>869835.65601000015</v>
      </c>
      <c r="F25" s="15">
        <v>751016.62739999988</v>
      </c>
    </row>
    <row r="26" spans="2:6" x14ac:dyDescent="0.3">
      <c r="B26" s="14" t="s">
        <v>657</v>
      </c>
      <c r="C26" s="15">
        <v>758280.91688999988</v>
      </c>
      <c r="D26" s="15">
        <v>826554.09959</v>
      </c>
      <c r="E26" s="15">
        <v>172937.70689000009</v>
      </c>
      <c r="F26" s="15">
        <v>129257.73058999995</v>
      </c>
    </row>
    <row r="27" spans="2:6" x14ac:dyDescent="0.3">
      <c r="B27" s="14" t="s">
        <v>656</v>
      </c>
      <c r="C27" s="15">
        <v>929424.8882200002</v>
      </c>
      <c r="D27" s="15">
        <v>1010486.33177</v>
      </c>
      <c r="E27" s="15">
        <v>331115.02821999992</v>
      </c>
      <c r="F27" s="15">
        <v>299456.90276999999</v>
      </c>
    </row>
    <row r="28" spans="2:6" x14ac:dyDescent="0.3">
      <c r="B28" s="14" t="s">
        <v>658</v>
      </c>
      <c r="C28" s="15">
        <v>1113282.1309</v>
      </c>
      <c r="D28" s="15">
        <v>1206167.2070399998</v>
      </c>
      <c r="E28" s="15">
        <v>365782.92090000014</v>
      </c>
      <c r="F28" s="15">
        <v>322301.99403999996</v>
      </c>
    </row>
    <row r="29" spans="2:6" x14ac:dyDescent="0.3">
      <c r="B29" s="12" t="s">
        <v>1430</v>
      </c>
      <c r="C29" s="15">
        <v>10919008.6252</v>
      </c>
      <c r="D29" s="15">
        <v>11926922.274350002</v>
      </c>
      <c r="E29" s="15">
        <v>3422813.4151999997</v>
      </c>
      <c r="F29" s="15">
        <v>2999938.4613499991</v>
      </c>
    </row>
  </sheetData>
  <dataValidations count="3">
    <dataValidation type="decimal" allowBlank="1" showInputMessage="1" showErrorMessage="1" sqref="B2">
      <formula1>0</formula1>
      <formula2>0.25</formula2>
    </dataValidation>
    <dataValidation type="decimal" allowBlank="1" showInputMessage="1" showErrorMessage="1" sqref="B3">
      <formula1>0</formula1>
      <formula2>0.15</formula2>
    </dataValidation>
    <dataValidation type="decimal" allowBlank="1" showInputMessage="1" showErrorMessage="1" sqref="B4">
      <formula1>0</formula1>
      <formula2>0.2</formula2>
    </dataValidation>
  </dataValidations>
  <pageMargins left="0.7" right="0.7" top="0.75" bottom="0.75" header="0.3" footer="0.3"/>
  <pageSetup orientation="portrait"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4"/>
  <sheetViews>
    <sheetView topLeftCell="A73" workbookViewId="0">
      <selection activeCell="J27" sqref="J27"/>
    </sheetView>
  </sheetViews>
  <sheetFormatPr defaultRowHeight="14.4" x14ac:dyDescent="0.3"/>
  <cols>
    <col min="1" max="1" width="23.5546875" customWidth="1"/>
    <col min="2" max="2" width="17.6640625" customWidth="1"/>
    <col min="3" max="3" width="21.77734375" customWidth="1"/>
    <col min="4" max="4" width="10.77734375" customWidth="1"/>
    <col min="5" max="6" width="11.44140625" customWidth="1"/>
    <col min="7" max="7" width="10.44140625" customWidth="1"/>
    <col min="8" max="8" width="13.109375" customWidth="1"/>
  </cols>
  <sheetData>
    <row r="1" spans="1:2" x14ac:dyDescent="0.3">
      <c r="A1" s="11" t="s">
        <v>1508</v>
      </c>
      <c r="B1" t="s">
        <v>1431</v>
      </c>
    </row>
    <row r="2" spans="1:2" x14ac:dyDescent="0.3">
      <c r="A2" s="55" t="s">
        <v>1452</v>
      </c>
      <c r="B2" s="15">
        <v>488911.36176</v>
      </c>
    </row>
    <row r="3" spans="1:2" x14ac:dyDescent="0.3">
      <c r="A3" s="55" t="s">
        <v>1453</v>
      </c>
      <c r="B3" s="15">
        <v>677282.25381000014</v>
      </c>
    </row>
    <row r="4" spans="1:2" x14ac:dyDescent="0.3">
      <c r="A4" s="55" t="s">
        <v>1454</v>
      </c>
      <c r="B4" s="15">
        <v>498738.63784999994</v>
      </c>
    </row>
    <row r="5" spans="1:2" x14ac:dyDescent="0.3">
      <c r="A5" s="55" t="s">
        <v>1498</v>
      </c>
      <c r="B5" s="15">
        <v>570270.51699999999</v>
      </c>
    </row>
    <row r="6" spans="1:2" x14ac:dyDescent="0.3">
      <c r="A6" s="55" t="s">
        <v>1499</v>
      </c>
      <c r="B6" s="15">
        <v>830367.30819999997</v>
      </c>
    </row>
    <row r="7" spans="1:2" x14ac:dyDescent="0.3">
      <c r="A7" s="55" t="s">
        <v>1500</v>
      </c>
      <c r="B7" s="15">
        <v>827973.07824000006</v>
      </c>
    </row>
    <row r="8" spans="1:2" x14ac:dyDescent="0.3">
      <c r="A8" s="55" t="s">
        <v>1501</v>
      </c>
      <c r="B8" s="15">
        <v>767274.62873</v>
      </c>
    </row>
    <row r="9" spans="1:2" x14ac:dyDescent="0.3">
      <c r="A9" s="55" t="s">
        <v>1502</v>
      </c>
      <c r="B9" s="15">
        <v>723335.63210999977</v>
      </c>
    </row>
    <row r="10" spans="1:2" x14ac:dyDescent="0.3">
      <c r="A10" s="55" t="s">
        <v>1503</v>
      </c>
      <c r="B10" s="15">
        <v>571228.88926000008</v>
      </c>
    </row>
    <row r="11" spans="1:2" x14ac:dyDescent="0.3">
      <c r="A11" s="55" t="s">
        <v>1504</v>
      </c>
      <c r="B11" s="15">
        <v>395504.22655999998</v>
      </c>
    </row>
    <row r="12" spans="1:2" x14ac:dyDescent="0.3">
      <c r="A12" s="55" t="s">
        <v>1505</v>
      </c>
      <c r="B12" s="15">
        <v>480783.25222999987</v>
      </c>
    </row>
    <row r="13" spans="1:2" x14ac:dyDescent="0.3">
      <c r="A13" s="55" t="s">
        <v>1506</v>
      </c>
      <c r="B13" s="15">
        <v>543596.09927999997</v>
      </c>
    </row>
    <row r="14" spans="1:2" x14ac:dyDescent="0.3">
      <c r="A14" s="55" t="s">
        <v>1430</v>
      </c>
      <c r="B14" s="15">
        <v>7375265.8850299995</v>
      </c>
    </row>
    <row r="18" spans="1:10" x14ac:dyDescent="0.3">
      <c r="A18" s="11" t="s">
        <v>1507</v>
      </c>
      <c r="B18" s="11" t="s">
        <v>7</v>
      </c>
    </row>
    <row r="19" spans="1:10" x14ac:dyDescent="0.3">
      <c r="A19" s="11" t="s">
        <v>3</v>
      </c>
      <c r="B19" t="s">
        <v>711</v>
      </c>
      <c r="C19" t="s">
        <v>710</v>
      </c>
      <c r="D19" t="s">
        <v>709</v>
      </c>
      <c r="E19" t="s">
        <v>708</v>
      </c>
      <c r="F19" t="s">
        <v>707</v>
      </c>
      <c r="G19" t="s">
        <v>1424</v>
      </c>
      <c r="H19" t="s">
        <v>1430</v>
      </c>
    </row>
    <row r="20" spans="1:10" x14ac:dyDescent="0.3">
      <c r="A20" s="12" t="s">
        <v>646</v>
      </c>
      <c r="B20" s="15">
        <v>114753.82736999998</v>
      </c>
      <c r="C20" s="15">
        <v>69059.79926</v>
      </c>
      <c r="D20" s="15">
        <v>2699.9740400000019</v>
      </c>
      <c r="E20" s="15">
        <v>50056.937190000004</v>
      </c>
      <c r="F20" s="15">
        <v>50680.041749999975</v>
      </c>
      <c r="G20" s="15">
        <v>-149.63339999999971</v>
      </c>
      <c r="H20" s="15">
        <v>287100.94620999997</v>
      </c>
    </row>
    <row r="21" spans="1:10" x14ac:dyDescent="0.3">
      <c r="A21" s="12" t="s">
        <v>648</v>
      </c>
      <c r="B21" s="15">
        <v>213382.23493000004</v>
      </c>
      <c r="C21" s="15">
        <v>133853.27601</v>
      </c>
      <c r="D21" s="15">
        <v>63182.299699999996</v>
      </c>
      <c r="E21" s="15">
        <v>183963.85606999998</v>
      </c>
      <c r="F21" s="15">
        <v>46708.374649999991</v>
      </c>
      <c r="G21" s="15"/>
      <c r="H21" s="15">
        <v>641090.04136000003</v>
      </c>
    </row>
    <row r="22" spans="1:10" x14ac:dyDescent="0.3">
      <c r="A22" s="12" t="s">
        <v>647</v>
      </c>
      <c r="B22" s="15">
        <v>229541.94635999994</v>
      </c>
      <c r="C22" s="15">
        <v>151146.74599</v>
      </c>
      <c r="D22" s="15">
        <v>132709.51273000002</v>
      </c>
      <c r="E22" s="15">
        <v>149042.38968999998</v>
      </c>
      <c r="F22" s="15">
        <v>158051.77209000004</v>
      </c>
      <c r="G22" s="15">
        <v>20547.545489999997</v>
      </c>
      <c r="H22" s="15">
        <v>841039.91235</v>
      </c>
    </row>
    <row r="23" spans="1:10" x14ac:dyDescent="0.3">
      <c r="A23" s="12" t="s">
        <v>649</v>
      </c>
      <c r="B23" s="15">
        <v>228322.70002000002</v>
      </c>
      <c r="C23" s="15">
        <v>58419.243300000002</v>
      </c>
      <c r="D23" s="15">
        <v>35348.873150000029</v>
      </c>
      <c r="E23" s="15">
        <v>102995.33366999998</v>
      </c>
      <c r="F23" s="15">
        <v>77703.078510000007</v>
      </c>
      <c r="G23" s="15">
        <v>1263.5064600000001</v>
      </c>
      <c r="H23" s="15">
        <v>504052.73511000007</v>
      </c>
    </row>
    <row r="24" spans="1:10" x14ac:dyDescent="0.3">
      <c r="A24" s="12" t="s">
        <v>1430</v>
      </c>
      <c r="B24" s="15">
        <v>786000.70867999992</v>
      </c>
      <c r="C24" s="15">
        <v>412479.06455999997</v>
      </c>
      <c r="D24" s="15">
        <v>233940.65962000005</v>
      </c>
      <c r="E24" s="15">
        <v>486058.51661999989</v>
      </c>
      <c r="F24" s="15">
        <v>333143.26699999999</v>
      </c>
      <c r="G24" s="15">
        <v>21661.418549999999</v>
      </c>
      <c r="H24" s="15">
        <v>2273283.63503</v>
      </c>
    </row>
    <row r="27" spans="1:10" x14ac:dyDescent="0.3">
      <c r="J27" t="s">
        <v>1511</v>
      </c>
    </row>
    <row r="44" spans="1:2" x14ac:dyDescent="0.3">
      <c r="A44" s="11" t="s">
        <v>1429</v>
      </c>
      <c r="B44" t="s">
        <v>1431</v>
      </c>
    </row>
    <row r="45" spans="1:2" x14ac:dyDescent="0.3">
      <c r="A45" s="12" t="s">
        <v>860</v>
      </c>
      <c r="B45" s="15">
        <v>65111.38614000001</v>
      </c>
    </row>
    <row r="46" spans="1:2" x14ac:dyDescent="0.3">
      <c r="A46" s="12" t="s">
        <v>851</v>
      </c>
      <c r="B46" s="15">
        <v>65119.329599999997</v>
      </c>
    </row>
    <row r="47" spans="1:2" x14ac:dyDescent="0.3">
      <c r="A47" s="12" t="s">
        <v>1320</v>
      </c>
      <c r="B47" s="15">
        <v>68665.574250000005</v>
      </c>
    </row>
    <row r="48" spans="1:2" x14ac:dyDescent="0.3">
      <c r="A48" s="12" t="s">
        <v>797</v>
      </c>
      <c r="B48" s="15">
        <v>72665.817450000002</v>
      </c>
    </row>
    <row r="49" spans="1:2" x14ac:dyDescent="0.3">
      <c r="A49" s="12" t="s">
        <v>1080</v>
      </c>
      <c r="B49" s="15">
        <v>79082.507010000001</v>
      </c>
    </row>
    <row r="50" spans="1:2" x14ac:dyDescent="0.3">
      <c r="A50" s="12" t="s">
        <v>1345</v>
      </c>
      <c r="B50" s="15">
        <v>82141.339799999987</v>
      </c>
    </row>
    <row r="51" spans="1:2" x14ac:dyDescent="0.3">
      <c r="A51" s="12" t="s">
        <v>1198</v>
      </c>
      <c r="B51" s="15">
        <v>84136.119600000005</v>
      </c>
    </row>
    <row r="52" spans="1:2" x14ac:dyDescent="0.3">
      <c r="A52" s="12" t="s">
        <v>899</v>
      </c>
      <c r="B52" s="15">
        <v>85637.740319999997</v>
      </c>
    </row>
    <row r="53" spans="1:2" x14ac:dyDescent="0.3">
      <c r="A53" s="12" t="s">
        <v>874</v>
      </c>
      <c r="B53" s="15">
        <v>87404.929919999995</v>
      </c>
    </row>
    <row r="54" spans="1:2" x14ac:dyDescent="0.3">
      <c r="A54" s="12" t="s">
        <v>971</v>
      </c>
      <c r="B54" s="15">
        <v>139277.83032000001</v>
      </c>
    </row>
    <row r="55" spans="1:2" x14ac:dyDescent="0.3">
      <c r="A55" s="12" t="s">
        <v>1430</v>
      </c>
      <c r="B55" s="15">
        <v>829242.57440999988</v>
      </c>
    </row>
    <row r="64" spans="1:2" x14ac:dyDescent="0.3">
      <c r="A64" s="11" t="s">
        <v>1475</v>
      </c>
      <c r="B64" s="11" t="s">
        <v>1435</v>
      </c>
    </row>
    <row r="65" spans="1:4" x14ac:dyDescent="0.3">
      <c r="A65" s="11" t="s">
        <v>1429</v>
      </c>
      <c r="B65" t="s">
        <v>1476</v>
      </c>
      <c r="C65" t="s">
        <v>1477</v>
      </c>
      <c r="D65" t="s">
        <v>1430</v>
      </c>
    </row>
    <row r="66" spans="1:4" x14ac:dyDescent="0.3">
      <c r="A66" s="12" t="s">
        <v>653</v>
      </c>
      <c r="B66" s="6">
        <v>8.2379862700228831E-2</v>
      </c>
      <c r="C66" s="6">
        <v>1.8306636155606407E-2</v>
      </c>
      <c r="D66" s="6">
        <v>0.10068649885583524</v>
      </c>
    </row>
    <row r="67" spans="1:4" x14ac:dyDescent="0.3">
      <c r="A67" s="12" t="s">
        <v>656</v>
      </c>
      <c r="B67" s="6">
        <v>0.10297482837528604</v>
      </c>
      <c r="C67" s="6">
        <v>1.3729977116704805E-2</v>
      </c>
      <c r="D67" s="6">
        <v>0.11670480549199085</v>
      </c>
    </row>
    <row r="68" spans="1:4" x14ac:dyDescent="0.3">
      <c r="A68" s="12" t="s">
        <v>659</v>
      </c>
      <c r="B68" s="6">
        <v>0.10068649885583524</v>
      </c>
      <c r="C68" s="6">
        <v>1.6018306636155607E-2</v>
      </c>
      <c r="D68" s="6">
        <v>0.11670480549199085</v>
      </c>
    </row>
    <row r="69" spans="1:4" x14ac:dyDescent="0.3">
      <c r="A69" s="12" t="s">
        <v>657</v>
      </c>
      <c r="B69" s="6">
        <v>0.11212814645308924</v>
      </c>
      <c r="C69" s="6">
        <v>1.1441647597254004E-2</v>
      </c>
      <c r="D69" s="6">
        <v>0.12356979405034325</v>
      </c>
    </row>
    <row r="70" spans="1:4" x14ac:dyDescent="0.3">
      <c r="A70" s="12" t="s">
        <v>650</v>
      </c>
      <c r="B70" s="6">
        <v>0.10526315789473684</v>
      </c>
      <c r="C70" s="6">
        <v>2.2883295194508008E-2</v>
      </c>
      <c r="D70" s="6">
        <v>0.12814645308924486</v>
      </c>
    </row>
    <row r="71" spans="1:4" x14ac:dyDescent="0.3">
      <c r="A71" s="12" t="s">
        <v>652</v>
      </c>
      <c r="B71" s="6">
        <v>0.11670480549199085</v>
      </c>
      <c r="C71" s="6">
        <v>1.8306636155606407E-2</v>
      </c>
      <c r="D71" s="6">
        <v>0.13501144164759726</v>
      </c>
    </row>
    <row r="72" spans="1:4" x14ac:dyDescent="0.3">
      <c r="A72" s="12" t="s">
        <v>654</v>
      </c>
      <c r="B72" s="6">
        <v>0.11899313501144165</v>
      </c>
      <c r="C72" s="6">
        <v>1.8306636155606407E-2</v>
      </c>
      <c r="D72" s="6">
        <v>0.13729977116704806</v>
      </c>
    </row>
    <row r="73" spans="1:4" x14ac:dyDescent="0.3">
      <c r="A73" s="12" t="s">
        <v>655</v>
      </c>
      <c r="B73" s="6">
        <v>0.12356979405034325</v>
      </c>
      <c r="C73" s="6">
        <v>1.8306636155606407E-2</v>
      </c>
      <c r="D73" s="6">
        <v>0.14187643020594964</v>
      </c>
    </row>
    <row r="74" spans="1:4" x14ac:dyDescent="0.3">
      <c r="A74" s="12" t="s">
        <v>1430</v>
      </c>
      <c r="B74" s="6">
        <v>0.86270022883295194</v>
      </c>
      <c r="C74" s="6">
        <v>0.13729977116704806</v>
      </c>
      <c r="D74" s="6">
        <v>1</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632"/>
  <sheetViews>
    <sheetView topLeftCell="A4" workbookViewId="0">
      <selection activeCell="E26" sqref="E26"/>
    </sheetView>
  </sheetViews>
  <sheetFormatPr defaultRowHeight="14.4" x14ac:dyDescent="0.3"/>
  <cols>
    <col min="1" max="1" width="9.44140625" customWidth="1"/>
    <col min="2" max="2" width="10.77734375" customWidth="1"/>
    <col min="3" max="3" width="19.33203125" customWidth="1"/>
    <col min="4" max="4" width="7.88671875" customWidth="1"/>
    <col min="5" max="5" width="10.77734375" customWidth="1"/>
    <col min="6" max="6" width="10.44140625" bestFit="1" customWidth="1"/>
    <col min="7" max="7" width="10.44140625" customWidth="1"/>
    <col min="8" max="8" width="10.44140625" bestFit="1" customWidth="1"/>
    <col min="9" max="11" width="10.44140625" customWidth="1"/>
    <col min="12" max="12" width="11.33203125" customWidth="1"/>
    <col min="13" max="13" width="14.77734375" bestFit="1" customWidth="1"/>
    <col min="14" max="14" width="10.44140625" customWidth="1"/>
    <col min="15" max="15" width="10.77734375" customWidth="1"/>
    <col min="16" max="16" width="11.33203125" customWidth="1"/>
    <col min="17" max="17" width="12.88671875" customWidth="1"/>
    <col min="18" max="18" width="10.21875" customWidth="1"/>
    <col min="19" max="19" width="15.21875" customWidth="1"/>
    <col min="20" max="20" width="14.5546875" customWidth="1"/>
    <col min="22" max="22" width="12" customWidth="1"/>
    <col min="23" max="23" width="13.6640625" customWidth="1"/>
    <col min="24" max="24" width="17.33203125" customWidth="1"/>
    <col min="25" max="25" width="14.44140625" customWidth="1"/>
    <col min="26" max="26" width="15.21875" customWidth="1"/>
    <col min="27" max="27" width="14.77734375" customWidth="1"/>
    <col min="28" max="28" width="14.44140625" customWidth="1"/>
    <col min="29" max="29" width="19.44140625" customWidth="1"/>
    <col min="30" max="30" width="11.77734375" customWidth="1"/>
  </cols>
  <sheetData>
    <row r="1" spans="2:13" x14ac:dyDescent="0.3">
      <c r="B1" s="11" t="s">
        <v>1469</v>
      </c>
      <c r="C1" s="11" t="s">
        <v>1435</v>
      </c>
    </row>
    <row r="2" spans="2:13" x14ac:dyDescent="0.3">
      <c r="B2" s="11" t="s">
        <v>1429</v>
      </c>
      <c r="C2" t="s">
        <v>1470</v>
      </c>
      <c r="D2" t="s">
        <v>1471</v>
      </c>
      <c r="E2" t="s">
        <v>1430</v>
      </c>
    </row>
    <row r="3" spans="2:13" x14ac:dyDescent="0.3">
      <c r="B3" s="12" t="s">
        <v>646</v>
      </c>
      <c r="C3" s="6">
        <v>8.924485125858124E-2</v>
      </c>
      <c r="D3" s="6">
        <v>3.8901601830663615E-2</v>
      </c>
      <c r="E3" s="6">
        <v>0.12814645308924486</v>
      </c>
    </row>
    <row r="4" spans="2:13" x14ac:dyDescent="0.3">
      <c r="B4" s="12" t="s">
        <v>648</v>
      </c>
      <c r="C4" s="6">
        <v>0.18077803203661327</v>
      </c>
      <c r="D4" s="6">
        <v>6.1784897025171627E-2</v>
      </c>
      <c r="E4" s="6">
        <v>0.24256292906178489</v>
      </c>
      <c r="M4" t="s">
        <v>1514</v>
      </c>
    </row>
    <row r="5" spans="2:13" x14ac:dyDescent="0.3">
      <c r="B5" s="12" t="s">
        <v>647</v>
      </c>
      <c r="C5" s="6">
        <v>0.30663615560640733</v>
      </c>
      <c r="D5" s="6">
        <v>8.2379862700228831E-2</v>
      </c>
      <c r="E5" s="6">
        <v>0.38901601830663618</v>
      </c>
    </row>
    <row r="6" spans="2:13" x14ac:dyDescent="0.3">
      <c r="B6" s="12" t="s">
        <v>649</v>
      </c>
      <c r="C6" s="6">
        <v>0.18306636155606407</v>
      </c>
      <c r="D6" s="6">
        <v>5.7208237986270026E-2</v>
      </c>
      <c r="E6" s="6">
        <v>0.2402745995423341</v>
      </c>
    </row>
    <row r="7" spans="2:13" x14ac:dyDescent="0.3">
      <c r="B7" s="12" t="s">
        <v>1430</v>
      </c>
      <c r="C7" s="6">
        <v>0.7597254004576659</v>
      </c>
      <c r="D7" s="6">
        <v>0.2402745995423341</v>
      </c>
      <c r="E7" s="6">
        <v>1</v>
      </c>
    </row>
    <row r="15" spans="2:13" x14ac:dyDescent="0.3">
      <c r="B15" s="11" t="s">
        <v>1510</v>
      </c>
      <c r="C15" t="s">
        <v>1509</v>
      </c>
    </row>
    <row r="16" spans="2:13" x14ac:dyDescent="0.3">
      <c r="B16" s="12" t="s">
        <v>1437</v>
      </c>
      <c r="C16" s="15">
        <v>1756098.4900000016</v>
      </c>
    </row>
    <row r="17" spans="2:3" x14ac:dyDescent="0.3">
      <c r="B17" s="12" t="s">
        <v>1438</v>
      </c>
      <c r="C17" s="15">
        <v>2106216.52</v>
      </c>
    </row>
    <row r="18" spans="2:3" x14ac:dyDescent="0.3">
      <c r="B18" s="12" t="s">
        <v>1439</v>
      </c>
      <c r="C18" s="15">
        <v>1239667.2399999998</v>
      </c>
    </row>
    <row r="19" spans="2:3" x14ac:dyDescent="0.3">
      <c r="B19" s="12" t="s">
        <v>1430</v>
      </c>
      <c r="C19" s="15">
        <v>5101982.2500000019</v>
      </c>
    </row>
    <row r="30" spans="2:3" x14ac:dyDescent="0.3">
      <c r="B30" s="11" t="s">
        <v>1429</v>
      </c>
      <c r="C30" t="s">
        <v>1515</v>
      </c>
    </row>
    <row r="31" spans="2:3" x14ac:dyDescent="0.3">
      <c r="B31" s="12" t="s">
        <v>648</v>
      </c>
      <c r="C31" s="15">
        <v>11633.179936305734</v>
      </c>
    </row>
    <row r="32" spans="2:3" x14ac:dyDescent="0.3">
      <c r="B32" s="14" t="s">
        <v>660</v>
      </c>
      <c r="C32" s="15">
        <v>10725.601568627451</v>
      </c>
    </row>
    <row r="33" spans="2:6" x14ac:dyDescent="0.3">
      <c r="B33" s="14" t="s">
        <v>655</v>
      </c>
      <c r="C33" s="15">
        <v>11074.194354838708</v>
      </c>
    </row>
    <row r="34" spans="2:6" x14ac:dyDescent="0.3">
      <c r="B34" s="14" t="s">
        <v>653</v>
      </c>
      <c r="C34" s="15">
        <v>13472.80727272727</v>
      </c>
      <c r="F34" t="s">
        <v>1516</v>
      </c>
    </row>
    <row r="35" spans="2:6" x14ac:dyDescent="0.3">
      <c r="B35" s="12" t="s">
        <v>647</v>
      </c>
      <c r="C35" s="15">
        <v>11639.186411764702</v>
      </c>
    </row>
    <row r="36" spans="2:6" x14ac:dyDescent="0.3">
      <c r="B36" s="14" t="s">
        <v>652</v>
      </c>
      <c r="C36" s="15">
        <v>10168.571016949156</v>
      </c>
    </row>
    <row r="37" spans="2:6" x14ac:dyDescent="0.3">
      <c r="B37" s="14" t="s">
        <v>659</v>
      </c>
      <c r="C37" s="15">
        <v>11879.719019607841</v>
      </c>
    </row>
    <row r="38" spans="2:6" x14ac:dyDescent="0.3">
      <c r="B38" s="14" t="s">
        <v>654</v>
      </c>
      <c r="C38" s="15">
        <v>12880.838833333339</v>
      </c>
    </row>
    <row r="39" spans="2:6" x14ac:dyDescent="0.3">
      <c r="B39" s="12" t="s">
        <v>646</v>
      </c>
      <c r="C39" s="15">
        <v>12137.737862068963</v>
      </c>
    </row>
    <row r="40" spans="2:6" x14ac:dyDescent="0.3">
      <c r="B40" s="14" t="s">
        <v>661</v>
      </c>
      <c r="C40" s="15">
        <v>11107.40533333333</v>
      </c>
    </row>
    <row r="41" spans="2:6" x14ac:dyDescent="0.3">
      <c r="B41" s="14" t="s">
        <v>650</v>
      </c>
      <c r="C41" s="15">
        <v>11790.427142857143</v>
      </c>
    </row>
    <row r="42" spans="2:6" x14ac:dyDescent="0.3">
      <c r="B42" s="14" t="s">
        <v>651</v>
      </c>
      <c r="C42" s="15">
        <v>13633.51886363636</v>
      </c>
    </row>
    <row r="43" spans="2:6" x14ac:dyDescent="0.3">
      <c r="B43" s="12" t="s">
        <v>649</v>
      </c>
      <c r="C43" s="15">
        <v>12145.61182389938</v>
      </c>
    </row>
    <row r="44" spans="2:6" x14ac:dyDescent="0.3">
      <c r="B44" s="14" t="s">
        <v>657</v>
      </c>
      <c r="C44" s="15">
        <v>10839.689074074076</v>
      </c>
    </row>
    <row r="45" spans="2:6" x14ac:dyDescent="0.3">
      <c r="B45" s="14" t="s">
        <v>656</v>
      </c>
      <c r="C45" s="15">
        <v>11731.565882352936</v>
      </c>
    </row>
    <row r="46" spans="2:6" x14ac:dyDescent="0.3">
      <c r="B46" s="14" t="s">
        <v>658</v>
      </c>
      <c r="C46" s="15">
        <v>13842.577962962969</v>
      </c>
    </row>
    <row r="47" spans="2:6" x14ac:dyDescent="0.3">
      <c r="B47" s="12" t="s">
        <v>1430</v>
      </c>
      <c r="C47" s="15">
        <v>11879.865625990486</v>
      </c>
    </row>
    <row r="48" spans="2:6" x14ac:dyDescent="0.3">
      <c r="D48" s="4"/>
    </row>
    <row r="49" spans="2:4" x14ac:dyDescent="0.3">
      <c r="D49" s="4"/>
    </row>
    <row r="50" spans="2:4" x14ac:dyDescent="0.3">
      <c r="D50" s="4"/>
    </row>
    <row r="51" spans="2:4" x14ac:dyDescent="0.3">
      <c r="D51" s="4"/>
    </row>
    <row r="52" spans="2:4" x14ac:dyDescent="0.3">
      <c r="D52" s="4"/>
    </row>
    <row r="53" spans="2:4" x14ac:dyDescent="0.3">
      <c r="D53" s="4"/>
    </row>
    <row r="54" spans="2:4" x14ac:dyDescent="0.3">
      <c r="D54" s="4"/>
    </row>
    <row r="55" spans="2:4" x14ac:dyDescent="0.3">
      <c r="D55" s="4"/>
    </row>
    <row r="56" spans="2:4" x14ac:dyDescent="0.3">
      <c r="B56" s="4"/>
      <c r="D56" s="4"/>
    </row>
    <row r="57" spans="2:4" x14ac:dyDescent="0.3">
      <c r="B57" s="4"/>
      <c r="D57" s="4"/>
    </row>
    <row r="58" spans="2:4" x14ac:dyDescent="0.3">
      <c r="B58" s="4"/>
      <c r="D58" s="4"/>
    </row>
    <row r="59" spans="2:4" x14ac:dyDescent="0.3">
      <c r="B59" s="4"/>
      <c r="D59" s="4"/>
    </row>
    <row r="60" spans="2:4" x14ac:dyDescent="0.3">
      <c r="B60" s="4"/>
      <c r="D60" s="4"/>
    </row>
    <row r="61" spans="2:4" x14ac:dyDescent="0.3">
      <c r="B61" s="4"/>
      <c r="D61" s="4"/>
    </row>
    <row r="62" spans="2:4" x14ac:dyDescent="0.3">
      <c r="B62" s="4"/>
      <c r="D62" s="4"/>
    </row>
    <row r="63" spans="2:4" x14ac:dyDescent="0.3">
      <c r="B63" s="4"/>
      <c r="D63" s="4"/>
    </row>
    <row r="64" spans="2:4" x14ac:dyDescent="0.3">
      <c r="B64" s="4"/>
      <c r="D64" s="4"/>
    </row>
    <row r="65" spans="2:4" x14ac:dyDescent="0.3">
      <c r="B65" s="4"/>
      <c r="D65" s="4"/>
    </row>
    <row r="66" spans="2:4" x14ac:dyDescent="0.3">
      <c r="B66" s="4"/>
      <c r="D66" s="4"/>
    </row>
    <row r="67" spans="2:4" x14ac:dyDescent="0.3">
      <c r="B67" s="4"/>
      <c r="D67" s="4"/>
    </row>
    <row r="68" spans="2:4" x14ac:dyDescent="0.3">
      <c r="B68" s="4"/>
      <c r="D68" s="4"/>
    </row>
    <row r="69" spans="2:4" x14ac:dyDescent="0.3">
      <c r="B69" s="4"/>
      <c r="D69" s="4"/>
    </row>
    <row r="70" spans="2:4" x14ac:dyDescent="0.3">
      <c r="B70" s="4"/>
      <c r="D70" s="4"/>
    </row>
    <row r="71" spans="2:4" x14ac:dyDescent="0.3">
      <c r="B71" s="4"/>
      <c r="D71" s="4"/>
    </row>
    <row r="72" spans="2:4" x14ac:dyDescent="0.3">
      <c r="B72" s="4"/>
      <c r="D72" s="4"/>
    </row>
    <row r="73" spans="2:4" x14ac:dyDescent="0.3">
      <c r="B73" s="4"/>
      <c r="D73" s="4"/>
    </row>
    <row r="74" spans="2:4" x14ac:dyDescent="0.3">
      <c r="B74" s="4"/>
      <c r="D74" s="4"/>
    </row>
    <row r="75" spans="2:4" x14ac:dyDescent="0.3">
      <c r="B75" s="4"/>
      <c r="D75" s="4"/>
    </row>
    <row r="76" spans="2:4" x14ac:dyDescent="0.3">
      <c r="B76" s="4"/>
      <c r="D76" s="4"/>
    </row>
    <row r="77" spans="2:4" x14ac:dyDescent="0.3">
      <c r="B77" s="4"/>
      <c r="D77" s="4"/>
    </row>
    <row r="78" spans="2:4" x14ac:dyDescent="0.3">
      <c r="B78" s="4"/>
      <c r="D78" s="4"/>
    </row>
    <row r="79" spans="2:4" x14ac:dyDescent="0.3">
      <c r="B79" s="4"/>
      <c r="D79" s="4"/>
    </row>
    <row r="80" spans="2:4" x14ac:dyDescent="0.3">
      <c r="B80" s="4"/>
      <c r="D80" s="4"/>
    </row>
    <row r="81" spans="2:4" x14ac:dyDescent="0.3">
      <c r="B81" s="4"/>
      <c r="D81" s="4"/>
    </row>
    <row r="82" spans="2:4" x14ac:dyDescent="0.3">
      <c r="B82" s="4"/>
      <c r="D82" s="4"/>
    </row>
    <row r="83" spans="2:4" x14ac:dyDescent="0.3">
      <c r="B83" s="4"/>
      <c r="D83" s="4"/>
    </row>
    <row r="84" spans="2:4" x14ac:dyDescent="0.3">
      <c r="B84" s="4"/>
      <c r="D84" s="4"/>
    </row>
    <row r="85" spans="2:4" x14ac:dyDescent="0.3">
      <c r="B85" s="4"/>
      <c r="D85" s="4"/>
    </row>
    <row r="86" spans="2:4" x14ac:dyDescent="0.3">
      <c r="B86" s="4"/>
      <c r="D86" s="4"/>
    </row>
    <row r="87" spans="2:4" x14ac:dyDescent="0.3">
      <c r="B87" s="4"/>
      <c r="D87" s="4"/>
    </row>
    <row r="88" spans="2:4" x14ac:dyDescent="0.3">
      <c r="B88" s="4"/>
      <c r="D88" s="4"/>
    </row>
    <row r="89" spans="2:4" x14ac:dyDescent="0.3">
      <c r="B89" s="4"/>
      <c r="D89" s="4"/>
    </row>
    <row r="90" spans="2:4" x14ac:dyDescent="0.3">
      <c r="B90" s="4"/>
      <c r="D90" s="4"/>
    </row>
    <row r="91" spans="2:4" x14ac:dyDescent="0.3">
      <c r="B91" s="4"/>
      <c r="D91" s="4"/>
    </row>
    <row r="92" spans="2:4" x14ac:dyDescent="0.3">
      <c r="B92" s="4"/>
      <c r="D92" s="4"/>
    </row>
    <row r="93" spans="2:4" x14ac:dyDescent="0.3">
      <c r="B93" s="4"/>
      <c r="D93" s="4"/>
    </row>
    <row r="94" spans="2:4" x14ac:dyDescent="0.3">
      <c r="B94" s="4"/>
      <c r="D94" s="4"/>
    </row>
    <row r="95" spans="2:4" x14ac:dyDescent="0.3">
      <c r="B95" s="4"/>
      <c r="D95" s="4"/>
    </row>
    <row r="96" spans="2:4" x14ac:dyDescent="0.3">
      <c r="B96" s="4"/>
      <c r="D96" s="4"/>
    </row>
    <row r="97" spans="2:4" x14ac:dyDescent="0.3">
      <c r="B97" s="4"/>
      <c r="D97" s="4"/>
    </row>
    <row r="98" spans="2:4" x14ac:dyDescent="0.3">
      <c r="B98" s="4"/>
      <c r="D98" s="4"/>
    </row>
    <row r="99" spans="2:4" x14ac:dyDescent="0.3">
      <c r="B99" s="4"/>
      <c r="D99" s="4"/>
    </row>
    <row r="100" spans="2:4" x14ac:dyDescent="0.3">
      <c r="B100" s="4"/>
      <c r="D100" s="4"/>
    </row>
    <row r="101" spans="2:4" x14ac:dyDescent="0.3">
      <c r="B101" s="4"/>
      <c r="D101" s="4"/>
    </row>
    <row r="102" spans="2:4" x14ac:dyDescent="0.3">
      <c r="B102" s="4"/>
      <c r="D102" s="4"/>
    </row>
    <row r="103" spans="2:4" x14ac:dyDescent="0.3">
      <c r="B103" s="4"/>
      <c r="D103" s="4"/>
    </row>
    <row r="104" spans="2:4" x14ac:dyDescent="0.3">
      <c r="B104" s="4"/>
      <c r="D104" s="4"/>
    </row>
    <row r="105" spans="2:4" x14ac:dyDescent="0.3">
      <c r="B105" s="4"/>
      <c r="D105" s="4"/>
    </row>
    <row r="106" spans="2:4" x14ac:dyDescent="0.3">
      <c r="B106" s="4"/>
      <c r="D106" s="4"/>
    </row>
    <row r="107" spans="2:4" x14ac:dyDescent="0.3">
      <c r="B107" s="4"/>
      <c r="D107" s="4"/>
    </row>
    <row r="108" spans="2:4" x14ac:dyDescent="0.3">
      <c r="B108" s="4"/>
      <c r="D108" s="4"/>
    </row>
    <row r="109" spans="2:4" x14ac:dyDescent="0.3">
      <c r="B109" s="4"/>
      <c r="D109" s="4"/>
    </row>
    <row r="110" spans="2:4" x14ac:dyDescent="0.3">
      <c r="B110" s="4"/>
      <c r="D110" s="4"/>
    </row>
    <row r="111" spans="2:4" x14ac:dyDescent="0.3">
      <c r="B111" s="4"/>
      <c r="D111" s="4"/>
    </row>
    <row r="112" spans="2:4" x14ac:dyDescent="0.3">
      <c r="B112" s="4"/>
      <c r="D112" s="4"/>
    </row>
    <row r="113" spans="2:4" x14ac:dyDescent="0.3">
      <c r="B113" s="4"/>
      <c r="D113" s="4"/>
    </row>
    <row r="114" spans="2:4" x14ac:dyDescent="0.3">
      <c r="B114" s="4"/>
      <c r="D114" s="4"/>
    </row>
    <row r="115" spans="2:4" x14ac:dyDescent="0.3">
      <c r="B115" s="4"/>
      <c r="D115" s="4"/>
    </row>
    <row r="116" spans="2:4" x14ac:dyDescent="0.3">
      <c r="B116" s="4"/>
      <c r="D116" s="4"/>
    </row>
    <row r="117" spans="2:4" x14ac:dyDescent="0.3">
      <c r="B117" s="4"/>
      <c r="D117" s="4"/>
    </row>
    <row r="118" spans="2:4" x14ac:dyDescent="0.3">
      <c r="B118" s="4"/>
      <c r="D118" s="4"/>
    </row>
    <row r="119" spans="2:4" x14ac:dyDescent="0.3">
      <c r="B119" s="4"/>
      <c r="D119" s="4"/>
    </row>
    <row r="120" spans="2:4" x14ac:dyDescent="0.3">
      <c r="B120" s="4"/>
      <c r="D120" s="4"/>
    </row>
    <row r="121" spans="2:4" x14ac:dyDescent="0.3">
      <c r="B121" s="4"/>
      <c r="D121" s="4"/>
    </row>
    <row r="122" spans="2:4" x14ac:dyDescent="0.3">
      <c r="B122" s="4"/>
      <c r="D122" s="4"/>
    </row>
    <row r="123" spans="2:4" x14ac:dyDescent="0.3">
      <c r="B123" s="4"/>
      <c r="D123" s="4"/>
    </row>
    <row r="124" spans="2:4" x14ac:dyDescent="0.3">
      <c r="B124" s="4"/>
      <c r="D124" s="4"/>
    </row>
    <row r="125" spans="2:4" x14ac:dyDescent="0.3">
      <c r="B125" s="4"/>
      <c r="D125" s="4"/>
    </row>
    <row r="126" spans="2:4" x14ac:dyDescent="0.3">
      <c r="B126" s="4"/>
      <c r="D126" s="4"/>
    </row>
    <row r="127" spans="2:4" x14ac:dyDescent="0.3">
      <c r="B127" s="4"/>
      <c r="D127" s="4"/>
    </row>
    <row r="128" spans="2:4" x14ac:dyDescent="0.3">
      <c r="B128" s="4"/>
      <c r="D128" s="4"/>
    </row>
    <row r="129" spans="2:4" x14ac:dyDescent="0.3">
      <c r="B129" s="4"/>
      <c r="D129" s="4"/>
    </row>
    <row r="130" spans="2:4" x14ac:dyDescent="0.3">
      <c r="B130" s="4"/>
      <c r="D130" s="4"/>
    </row>
    <row r="131" spans="2:4" x14ac:dyDescent="0.3">
      <c r="B131" s="4"/>
      <c r="D131" s="4"/>
    </row>
    <row r="132" spans="2:4" x14ac:dyDescent="0.3">
      <c r="B132" s="4"/>
      <c r="D132" s="4"/>
    </row>
    <row r="133" spans="2:4" x14ac:dyDescent="0.3">
      <c r="B133" s="4"/>
      <c r="D133" s="4"/>
    </row>
    <row r="134" spans="2:4" x14ac:dyDescent="0.3">
      <c r="B134" s="4"/>
      <c r="D134" s="4"/>
    </row>
    <row r="135" spans="2:4" x14ac:dyDescent="0.3">
      <c r="B135" s="4"/>
      <c r="D135" s="4"/>
    </row>
    <row r="136" spans="2:4" x14ac:dyDescent="0.3">
      <c r="B136" s="4"/>
      <c r="D136" s="4"/>
    </row>
    <row r="137" spans="2:4" x14ac:dyDescent="0.3">
      <c r="B137" s="4"/>
      <c r="D137" s="4"/>
    </row>
    <row r="138" spans="2:4" x14ac:dyDescent="0.3">
      <c r="B138" s="4"/>
      <c r="D138" s="4"/>
    </row>
    <row r="139" spans="2:4" x14ac:dyDescent="0.3">
      <c r="B139" s="4"/>
      <c r="D139" s="4"/>
    </row>
    <row r="140" spans="2:4" x14ac:dyDescent="0.3">
      <c r="B140" s="4"/>
      <c r="D140" s="4"/>
    </row>
    <row r="141" spans="2:4" x14ac:dyDescent="0.3">
      <c r="B141" s="4"/>
      <c r="D141" s="4"/>
    </row>
    <row r="142" spans="2:4" x14ac:dyDescent="0.3">
      <c r="B142" s="4"/>
      <c r="D142" s="4"/>
    </row>
    <row r="143" spans="2:4" x14ac:dyDescent="0.3">
      <c r="B143" s="4"/>
      <c r="D143" s="4"/>
    </row>
    <row r="144" spans="2:4" x14ac:dyDescent="0.3">
      <c r="B144" s="4"/>
      <c r="D144" s="4"/>
    </row>
    <row r="145" spans="2:4" x14ac:dyDescent="0.3">
      <c r="B145" s="4"/>
      <c r="D145" s="4"/>
    </row>
    <row r="146" spans="2:4" x14ac:dyDescent="0.3">
      <c r="B146" s="4"/>
      <c r="D146" s="4"/>
    </row>
    <row r="147" spans="2:4" x14ac:dyDescent="0.3">
      <c r="B147" s="4"/>
      <c r="D147" s="4"/>
    </row>
    <row r="148" spans="2:4" x14ac:dyDescent="0.3">
      <c r="B148" s="4"/>
      <c r="D148" s="4"/>
    </row>
    <row r="149" spans="2:4" x14ac:dyDescent="0.3">
      <c r="B149" s="4"/>
      <c r="D149" s="4"/>
    </row>
    <row r="150" spans="2:4" x14ac:dyDescent="0.3">
      <c r="B150" s="4"/>
      <c r="D150" s="4"/>
    </row>
    <row r="151" spans="2:4" x14ac:dyDescent="0.3">
      <c r="B151" s="4"/>
      <c r="D151" s="4"/>
    </row>
    <row r="152" spans="2:4" x14ac:dyDescent="0.3">
      <c r="B152" s="4"/>
      <c r="D152" s="4"/>
    </row>
    <row r="153" spans="2:4" x14ac:dyDescent="0.3">
      <c r="B153" s="4"/>
      <c r="D153" s="4"/>
    </row>
    <row r="154" spans="2:4" x14ac:dyDescent="0.3">
      <c r="B154" s="4"/>
      <c r="D154" s="4"/>
    </row>
    <row r="155" spans="2:4" x14ac:dyDescent="0.3">
      <c r="B155" s="4"/>
      <c r="D155" s="4"/>
    </row>
    <row r="156" spans="2:4" x14ac:dyDescent="0.3">
      <c r="B156" s="4"/>
      <c r="D156" s="4"/>
    </row>
    <row r="157" spans="2:4" x14ac:dyDescent="0.3">
      <c r="B157" s="4"/>
      <c r="D157" s="4"/>
    </row>
    <row r="158" spans="2:4" x14ac:dyDescent="0.3">
      <c r="B158" s="4"/>
      <c r="D158" s="4"/>
    </row>
    <row r="159" spans="2:4" x14ac:dyDescent="0.3">
      <c r="B159" s="4"/>
      <c r="D159" s="4"/>
    </row>
    <row r="160" spans="2:4" x14ac:dyDescent="0.3">
      <c r="B160" s="4"/>
      <c r="D160" s="4"/>
    </row>
    <row r="161" spans="2:4" x14ac:dyDescent="0.3">
      <c r="B161" s="4"/>
      <c r="D161" s="4"/>
    </row>
    <row r="162" spans="2:4" x14ac:dyDescent="0.3">
      <c r="B162" s="4"/>
      <c r="D162" s="4"/>
    </row>
    <row r="163" spans="2:4" x14ac:dyDescent="0.3">
      <c r="B163" s="4"/>
      <c r="D163" s="4"/>
    </row>
    <row r="164" spans="2:4" x14ac:dyDescent="0.3">
      <c r="B164" s="4"/>
      <c r="D164" s="4"/>
    </row>
    <row r="165" spans="2:4" x14ac:dyDescent="0.3">
      <c r="B165" s="4"/>
      <c r="D165" s="4"/>
    </row>
    <row r="166" spans="2:4" x14ac:dyDescent="0.3">
      <c r="B166" s="4"/>
      <c r="D166" s="4"/>
    </row>
    <row r="167" spans="2:4" x14ac:dyDescent="0.3">
      <c r="B167" s="4"/>
      <c r="D167" s="4"/>
    </row>
    <row r="168" spans="2:4" x14ac:dyDescent="0.3">
      <c r="B168" s="4"/>
      <c r="D168" s="4"/>
    </row>
    <row r="169" spans="2:4" x14ac:dyDescent="0.3">
      <c r="B169" s="4"/>
      <c r="D169" s="4"/>
    </row>
    <row r="170" spans="2:4" x14ac:dyDescent="0.3">
      <c r="B170" s="4"/>
      <c r="D170" s="4"/>
    </row>
    <row r="171" spans="2:4" x14ac:dyDescent="0.3">
      <c r="B171" s="4"/>
      <c r="D171" s="4"/>
    </row>
    <row r="172" spans="2:4" x14ac:dyDescent="0.3">
      <c r="B172" s="4"/>
      <c r="D172" s="4"/>
    </row>
    <row r="173" spans="2:4" x14ac:dyDescent="0.3">
      <c r="B173" s="4"/>
      <c r="D173" s="4"/>
    </row>
    <row r="174" spans="2:4" x14ac:dyDescent="0.3">
      <c r="B174" s="4"/>
      <c r="D174" s="4"/>
    </row>
    <row r="175" spans="2:4" x14ac:dyDescent="0.3">
      <c r="B175" s="4"/>
      <c r="D175" s="4"/>
    </row>
    <row r="176" spans="2:4" x14ac:dyDescent="0.3">
      <c r="B176" s="4"/>
      <c r="D176" s="4"/>
    </row>
    <row r="177" spans="2:4" x14ac:dyDescent="0.3">
      <c r="B177" s="4"/>
      <c r="D177" s="4"/>
    </row>
    <row r="178" spans="2:4" x14ac:dyDescent="0.3">
      <c r="B178" s="4"/>
      <c r="D178" s="4"/>
    </row>
    <row r="179" spans="2:4" x14ac:dyDescent="0.3">
      <c r="B179" s="4"/>
      <c r="D179" s="4"/>
    </row>
    <row r="180" spans="2:4" x14ac:dyDescent="0.3">
      <c r="B180" s="4"/>
      <c r="D180" s="4"/>
    </row>
    <row r="181" spans="2:4" x14ac:dyDescent="0.3">
      <c r="B181" s="4"/>
      <c r="D181" s="4"/>
    </row>
    <row r="182" spans="2:4" x14ac:dyDescent="0.3">
      <c r="B182" s="4"/>
      <c r="D182" s="4"/>
    </row>
    <row r="183" spans="2:4" x14ac:dyDescent="0.3">
      <c r="B183" s="4"/>
      <c r="D183" s="4"/>
    </row>
    <row r="184" spans="2:4" x14ac:dyDescent="0.3">
      <c r="B184" s="4"/>
      <c r="D184" s="4"/>
    </row>
    <row r="185" spans="2:4" x14ac:dyDescent="0.3">
      <c r="B185" s="4"/>
      <c r="D185" s="4"/>
    </row>
    <row r="186" spans="2:4" x14ac:dyDescent="0.3">
      <c r="B186" s="4"/>
      <c r="D186" s="4"/>
    </row>
    <row r="187" spans="2:4" x14ac:dyDescent="0.3">
      <c r="B187" s="4"/>
      <c r="D187" s="4"/>
    </row>
    <row r="188" spans="2:4" x14ac:dyDescent="0.3">
      <c r="B188" s="4"/>
      <c r="D188" s="4"/>
    </row>
    <row r="189" spans="2:4" x14ac:dyDescent="0.3">
      <c r="B189" s="4"/>
      <c r="D189" s="4"/>
    </row>
    <row r="190" spans="2:4" x14ac:dyDescent="0.3">
      <c r="B190" s="4"/>
      <c r="D190" s="4"/>
    </row>
    <row r="191" spans="2:4" x14ac:dyDescent="0.3">
      <c r="B191" s="4"/>
      <c r="D191" s="4"/>
    </row>
    <row r="192" spans="2:4" x14ac:dyDescent="0.3">
      <c r="B192" s="4"/>
      <c r="D192" s="4"/>
    </row>
    <row r="193" spans="2:4" x14ac:dyDescent="0.3">
      <c r="B193" s="4"/>
      <c r="D193" s="4"/>
    </row>
    <row r="194" spans="2:4" x14ac:dyDescent="0.3">
      <c r="B194" s="4"/>
      <c r="D194" s="4"/>
    </row>
    <row r="195" spans="2:4" x14ac:dyDescent="0.3">
      <c r="B195" s="4"/>
      <c r="D195" s="4"/>
    </row>
    <row r="196" spans="2:4" x14ac:dyDescent="0.3">
      <c r="B196" s="4"/>
      <c r="D196" s="4"/>
    </row>
    <row r="197" spans="2:4" x14ac:dyDescent="0.3">
      <c r="B197" s="4"/>
      <c r="D197" s="4"/>
    </row>
    <row r="198" spans="2:4" x14ac:dyDescent="0.3">
      <c r="B198" s="4"/>
      <c r="D198" s="4"/>
    </row>
    <row r="199" spans="2:4" x14ac:dyDescent="0.3">
      <c r="B199" s="4"/>
      <c r="D199" s="4"/>
    </row>
    <row r="200" spans="2:4" x14ac:dyDescent="0.3">
      <c r="B200" s="4"/>
      <c r="D200" s="4"/>
    </row>
    <row r="201" spans="2:4" x14ac:dyDescent="0.3">
      <c r="B201" s="4"/>
      <c r="D201" s="4"/>
    </row>
    <row r="202" spans="2:4" x14ac:dyDescent="0.3">
      <c r="B202" s="4"/>
      <c r="D202" s="4"/>
    </row>
    <row r="203" spans="2:4" x14ac:dyDescent="0.3">
      <c r="B203" s="4"/>
      <c r="D203" s="4"/>
    </row>
    <row r="204" spans="2:4" x14ac:dyDescent="0.3">
      <c r="B204" s="4"/>
      <c r="D204" s="4"/>
    </row>
    <row r="205" spans="2:4" x14ac:dyDescent="0.3">
      <c r="B205" s="4"/>
      <c r="D205" s="4"/>
    </row>
    <row r="206" spans="2:4" x14ac:dyDescent="0.3">
      <c r="B206" s="4"/>
      <c r="D206" s="4"/>
    </row>
    <row r="207" spans="2:4" x14ac:dyDescent="0.3">
      <c r="B207" s="4"/>
      <c r="D207" s="4"/>
    </row>
    <row r="208" spans="2:4" x14ac:dyDescent="0.3">
      <c r="B208" s="4"/>
      <c r="D208" s="4"/>
    </row>
    <row r="209" spans="2:4" x14ac:dyDescent="0.3">
      <c r="B209" s="4"/>
      <c r="D209" s="4"/>
    </row>
    <row r="210" spans="2:4" x14ac:dyDescent="0.3">
      <c r="B210" s="4"/>
      <c r="D210" s="4"/>
    </row>
    <row r="211" spans="2:4" x14ac:dyDescent="0.3">
      <c r="B211" s="4"/>
      <c r="D211" s="4"/>
    </row>
    <row r="212" spans="2:4" x14ac:dyDescent="0.3">
      <c r="B212" s="4"/>
      <c r="D212" s="4"/>
    </row>
    <row r="213" spans="2:4" x14ac:dyDescent="0.3">
      <c r="B213" s="4"/>
      <c r="D213" s="4"/>
    </row>
    <row r="214" spans="2:4" x14ac:dyDescent="0.3">
      <c r="B214" s="4"/>
      <c r="D214" s="4"/>
    </row>
    <row r="215" spans="2:4" x14ac:dyDescent="0.3">
      <c r="B215" s="4"/>
      <c r="D215" s="4"/>
    </row>
    <row r="216" spans="2:4" x14ac:dyDescent="0.3">
      <c r="B216" s="4"/>
      <c r="D216" s="4"/>
    </row>
    <row r="217" spans="2:4" x14ac:dyDescent="0.3">
      <c r="B217" s="4"/>
      <c r="D217" s="4"/>
    </row>
    <row r="218" spans="2:4" x14ac:dyDescent="0.3">
      <c r="B218" s="4"/>
      <c r="D218" s="4"/>
    </row>
    <row r="219" spans="2:4" x14ac:dyDescent="0.3">
      <c r="B219" s="4"/>
      <c r="D219" s="4"/>
    </row>
    <row r="220" spans="2:4" x14ac:dyDescent="0.3">
      <c r="B220" s="4"/>
      <c r="D220" s="4"/>
    </row>
    <row r="221" spans="2:4" x14ac:dyDescent="0.3">
      <c r="B221" s="4"/>
      <c r="D221" s="4"/>
    </row>
    <row r="222" spans="2:4" x14ac:dyDescent="0.3">
      <c r="B222" s="4"/>
      <c r="D222" s="4"/>
    </row>
    <row r="223" spans="2:4" x14ac:dyDescent="0.3">
      <c r="B223" s="4"/>
      <c r="D223" s="4"/>
    </row>
    <row r="224" spans="2:4" x14ac:dyDescent="0.3">
      <c r="B224" s="4"/>
      <c r="D224" s="4"/>
    </row>
    <row r="225" spans="2:4" x14ac:dyDescent="0.3">
      <c r="B225" s="4"/>
      <c r="D225" s="4"/>
    </row>
    <row r="226" spans="2:4" x14ac:dyDescent="0.3">
      <c r="B226" s="4"/>
      <c r="D226" s="4"/>
    </row>
    <row r="227" spans="2:4" x14ac:dyDescent="0.3">
      <c r="B227" s="4"/>
      <c r="D227" s="4"/>
    </row>
    <row r="228" spans="2:4" x14ac:dyDescent="0.3">
      <c r="B228" s="4"/>
      <c r="D228" s="4"/>
    </row>
    <row r="229" spans="2:4" x14ac:dyDescent="0.3">
      <c r="B229" s="4"/>
      <c r="D229" s="4"/>
    </row>
    <row r="230" spans="2:4" x14ac:dyDescent="0.3">
      <c r="B230" s="4"/>
      <c r="D230" s="4"/>
    </row>
    <row r="231" spans="2:4" x14ac:dyDescent="0.3">
      <c r="B231" s="4"/>
      <c r="D231" s="4"/>
    </row>
    <row r="232" spans="2:4" x14ac:dyDescent="0.3">
      <c r="B232" s="4"/>
      <c r="D232" s="4"/>
    </row>
    <row r="233" spans="2:4" x14ac:dyDescent="0.3">
      <c r="B233" s="4"/>
      <c r="D233" s="4"/>
    </row>
    <row r="234" spans="2:4" x14ac:dyDescent="0.3">
      <c r="B234" s="4"/>
      <c r="D234" s="4"/>
    </row>
    <row r="235" spans="2:4" x14ac:dyDescent="0.3">
      <c r="B235" s="4"/>
      <c r="D235" s="4"/>
    </row>
    <row r="236" spans="2:4" x14ac:dyDescent="0.3">
      <c r="B236" s="4"/>
      <c r="D236" s="4"/>
    </row>
    <row r="237" spans="2:4" x14ac:dyDescent="0.3">
      <c r="B237" s="4"/>
      <c r="D237" s="4"/>
    </row>
    <row r="238" spans="2:4" x14ac:dyDescent="0.3">
      <c r="B238" s="4"/>
      <c r="D238" s="4"/>
    </row>
    <row r="239" spans="2:4" x14ac:dyDescent="0.3">
      <c r="B239" s="4"/>
      <c r="D239" s="4"/>
    </row>
    <row r="240" spans="2:4" x14ac:dyDescent="0.3">
      <c r="B240" s="4"/>
      <c r="D240" s="4"/>
    </row>
    <row r="241" spans="2:4" x14ac:dyDescent="0.3">
      <c r="B241" s="4"/>
      <c r="D241" s="4"/>
    </row>
    <row r="242" spans="2:4" x14ac:dyDescent="0.3">
      <c r="B242" s="4"/>
      <c r="D242" s="4"/>
    </row>
    <row r="243" spans="2:4" x14ac:dyDescent="0.3">
      <c r="B243" s="4"/>
      <c r="D243" s="4"/>
    </row>
    <row r="244" spans="2:4" x14ac:dyDescent="0.3">
      <c r="B244" s="4"/>
      <c r="D244" s="4"/>
    </row>
    <row r="245" spans="2:4" x14ac:dyDescent="0.3">
      <c r="B245" s="4"/>
      <c r="D245" s="4"/>
    </row>
    <row r="246" spans="2:4" x14ac:dyDescent="0.3">
      <c r="B246" s="4"/>
      <c r="D246" s="4"/>
    </row>
    <row r="247" spans="2:4" x14ac:dyDescent="0.3">
      <c r="B247" s="4"/>
      <c r="D247" s="4"/>
    </row>
    <row r="248" spans="2:4" x14ac:dyDescent="0.3">
      <c r="B248" s="4"/>
      <c r="D248" s="4"/>
    </row>
    <row r="249" spans="2:4" x14ac:dyDescent="0.3">
      <c r="B249" s="4"/>
      <c r="D249" s="4"/>
    </row>
    <row r="250" spans="2:4" x14ac:dyDescent="0.3">
      <c r="B250" s="4"/>
      <c r="D250" s="4"/>
    </row>
    <row r="251" spans="2:4" x14ac:dyDescent="0.3">
      <c r="B251" s="4"/>
      <c r="D251" s="4"/>
    </row>
    <row r="252" spans="2:4" x14ac:dyDescent="0.3">
      <c r="B252" s="4"/>
      <c r="D252" s="4"/>
    </row>
    <row r="253" spans="2:4" x14ac:dyDescent="0.3">
      <c r="B253" s="4"/>
      <c r="D253" s="4"/>
    </row>
    <row r="254" spans="2:4" x14ac:dyDescent="0.3">
      <c r="B254" s="4"/>
      <c r="D254" s="4"/>
    </row>
    <row r="255" spans="2:4" x14ac:dyDescent="0.3">
      <c r="B255" s="4"/>
      <c r="D255" s="4"/>
    </row>
    <row r="256" spans="2:4" x14ac:dyDescent="0.3">
      <c r="B256" s="4"/>
      <c r="D256" s="4"/>
    </row>
    <row r="257" spans="2:4" x14ac:dyDescent="0.3">
      <c r="B257" s="4"/>
      <c r="D257" s="4"/>
    </row>
    <row r="258" spans="2:4" x14ac:dyDescent="0.3">
      <c r="B258" s="4"/>
      <c r="D258" s="4"/>
    </row>
    <row r="259" spans="2:4" x14ac:dyDescent="0.3">
      <c r="B259" s="4"/>
      <c r="D259" s="4"/>
    </row>
    <row r="260" spans="2:4" x14ac:dyDescent="0.3">
      <c r="B260" s="4"/>
      <c r="D260" s="4"/>
    </row>
    <row r="261" spans="2:4" x14ac:dyDescent="0.3">
      <c r="B261" s="4"/>
      <c r="D261" s="4"/>
    </row>
    <row r="262" spans="2:4" x14ac:dyDescent="0.3">
      <c r="B262" s="4"/>
      <c r="D262" s="4"/>
    </row>
    <row r="263" spans="2:4" x14ac:dyDescent="0.3">
      <c r="B263" s="4"/>
      <c r="D263" s="4"/>
    </row>
    <row r="264" spans="2:4" x14ac:dyDescent="0.3">
      <c r="B264" s="4"/>
      <c r="D264" s="4"/>
    </row>
    <row r="265" spans="2:4" x14ac:dyDescent="0.3">
      <c r="B265" s="4"/>
      <c r="D265" s="4"/>
    </row>
    <row r="266" spans="2:4" x14ac:dyDescent="0.3">
      <c r="B266" s="4"/>
      <c r="D266" s="4"/>
    </row>
    <row r="267" spans="2:4" x14ac:dyDescent="0.3">
      <c r="B267" s="4"/>
      <c r="D267" s="4"/>
    </row>
    <row r="268" spans="2:4" x14ac:dyDescent="0.3">
      <c r="B268" s="4"/>
      <c r="D268" s="4"/>
    </row>
    <row r="269" spans="2:4" x14ac:dyDescent="0.3">
      <c r="B269" s="4"/>
      <c r="D269" s="4"/>
    </row>
    <row r="270" spans="2:4" x14ac:dyDescent="0.3">
      <c r="B270" s="4"/>
      <c r="D270" s="4"/>
    </row>
    <row r="271" spans="2:4" x14ac:dyDescent="0.3">
      <c r="B271" s="4"/>
      <c r="D271" s="4"/>
    </row>
    <row r="272" spans="2:4" x14ac:dyDescent="0.3">
      <c r="B272" s="4"/>
      <c r="D272" s="4"/>
    </row>
    <row r="273" spans="2:4" x14ac:dyDescent="0.3">
      <c r="B273" s="4"/>
      <c r="D273" s="4"/>
    </row>
    <row r="274" spans="2:4" x14ac:dyDescent="0.3">
      <c r="B274" s="4"/>
      <c r="D274" s="4"/>
    </row>
    <row r="275" spans="2:4" x14ac:dyDescent="0.3">
      <c r="B275" s="4"/>
      <c r="D275" s="4"/>
    </row>
    <row r="276" spans="2:4" x14ac:dyDescent="0.3">
      <c r="B276" s="4"/>
      <c r="D276" s="4"/>
    </row>
    <row r="277" spans="2:4" x14ac:dyDescent="0.3">
      <c r="B277" s="4"/>
      <c r="D277" s="4"/>
    </row>
    <row r="278" spans="2:4" x14ac:dyDescent="0.3">
      <c r="B278" s="4"/>
      <c r="D278" s="4"/>
    </row>
    <row r="279" spans="2:4" x14ac:dyDescent="0.3">
      <c r="B279" s="4"/>
      <c r="D279" s="4"/>
    </row>
    <row r="280" spans="2:4" x14ac:dyDescent="0.3">
      <c r="B280" s="4"/>
      <c r="D280" s="4"/>
    </row>
    <row r="281" spans="2:4" x14ac:dyDescent="0.3">
      <c r="B281" s="4"/>
      <c r="D281" s="4"/>
    </row>
    <row r="282" spans="2:4" x14ac:dyDescent="0.3">
      <c r="B282" s="4"/>
      <c r="D282" s="4"/>
    </row>
    <row r="283" spans="2:4" x14ac:dyDescent="0.3">
      <c r="B283" s="4"/>
      <c r="D283" s="4"/>
    </row>
    <row r="284" spans="2:4" x14ac:dyDescent="0.3">
      <c r="B284" s="4"/>
      <c r="D284" s="4"/>
    </row>
    <row r="285" spans="2:4" x14ac:dyDescent="0.3">
      <c r="B285" s="4"/>
      <c r="D285" s="4"/>
    </row>
    <row r="286" spans="2:4" x14ac:dyDescent="0.3">
      <c r="B286" s="4"/>
      <c r="D286" s="4"/>
    </row>
    <row r="287" spans="2:4" x14ac:dyDescent="0.3">
      <c r="B287" s="4"/>
      <c r="D287" s="4"/>
    </row>
    <row r="288" spans="2:4" x14ac:dyDescent="0.3">
      <c r="B288" s="4"/>
      <c r="D288" s="4"/>
    </row>
    <row r="289" spans="2:4" x14ac:dyDescent="0.3">
      <c r="B289" s="4"/>
      <c r="D289" s="4"/>
    </row>
    <row r="290" spans="2:4" x14ac:dyDescent="0.3">
      <c r="B290" s="4"/>
      <c r="D290" s="4"/>
    </row>
    <row r="291" spans="2:4" x14ac:dyDescent="0.3">
      <c r="B291" s="4"/>
      <c r="D291" s="4"/>
    </row>
    <row r="292" spans="2:4" x14ac:dyDescent="0.3">
      <c r="B292" s="4"/>
      <c r="D292" s="4"/>
    </row>
    <row r="293" spans="2:4" x14ac:dyDescent="0.3">
      <c r="B293" s="4"/>
      <c r="D293" s="4"/>
    </row>
    <row r="294" spans="2:4" x14ac:dyDescent="0.3">
      <c r="B294" s="4"/>
      <c r="D294" s="4"/>
    </row>
    <row r="295" spans="2:4" x14ac:dyDescent="0.3">
      <c r="B295" s="4"/>
      <c r="D295" s="4"/>
    </row>
    <row r="296" spans="2:4" x14ac:dyDescent="0.3">
      <c r="B296" s="4"/>
      <c r="D296" s="4"/>
    </row>
    <row r="297" spans="2:4" x14ac:dyDescent="0.3">
      <c r="B297" s="4"/>
      <c r="D297" s="4"/>
    </row>
    <row r="298" spans="2:4" x14ac:dyDescent="0.3">
      <c r="B298" s="4"/>
      <c r="D298" s="4"/>
    </row>
    <row r="299" spans="2:4" x14ac:dyDescent="0.3">
      <c r="B299" s="4"/>
      <c r="D299" s="4"/>
    </row>
    <row r="300" spans="2:4" x14ac:dyDescent="0.3">
      <c r="B300" s="4"/>
      <c r="D300" s="4"/>
    </row>
    <row r="301" spans="2:4" x14ac:dyDescent="0.3">
      <c r="B301" s="4"/>
      <c r="D301" s="4"/>
    </row>
    <row r="302" spans="2:4" x14ac:dyDescent="0.3">
      <c r="B302" s="4"/>
      <c r="D302" s="4"/>
    </row>
    <row r="303" spans="2:4" x14ac:dyDescent="0.3">
      <c r="B303" s="4"/>
      <c r="D303" s="4"/>
    </row>
    <row r="304" spans="2:4" x14ac:dyDescent="0.3">
      <c r="B304" s="4"/>
      <c r="D304" s="4"/>
    </row>
    <row r="305" spans="2:4" x14ac:dyDescent="0.3">
      <c r="B305" s="4"/>
      <c r="D305" s="4"/>
    </row>
    <row r="306" spans="2:4" x14ac:dyDescent="0.3">
      <c r="B306" s="4"/>
      <c r="D306" s="4"/>
    </row>
    <row r="307" spans="2:4" x14ac:dyDescent="0.3">
      <c r="B307" s="4"/>
      <c r="D307" s="4"/>
    </row>
    <row r="308" spans="2:4" x14ac:dyDescent="0.3">
      <c r="B308" s="4"/>
      <c r="D308" s="4"/>
    </row>
    <row r="309" spans="2:4" x14ac:dyDescent="0.3">
      <c r="B309" s="4"/>
      <c r="D309" s="4"/>
    </row>
    <row r="310" spans="2:4" x14ac:dyDescent="0.3">
      <c r="B310" s="4"/>
      <c r="D310" s="4"/>
    </row>
    <row r="311" spans="2:4" x14ac:dyDescent="0.3">
      <c r="B311" s="4"/>
      <c r="D311" s="4"/>
    </row>
    <row r="312" spans="2:4" x14ac:dyDescent="0.3">
      <c r="B312" s="4"/>
      <c r="D312" s="4"/>
    </row>
    <row r="313" spans="2:4" x14ac:dyDescent="0.3">
      <c r="B313" s="4"/>
      <c r="D313" s="4"/>
    </row>
    <row r="314" spans="2:4" x14ac:dyDescent="0.3">
      <c r="B314" s="4"/>
      <c r="D314" s="4"/>
    </row>
    <row r="315" spans="2:4" x14ac:dyDescent="0.3">
      <c r="B315" s="4"/>
      <c r="D315" s="4"/>
    </row>
    <row r="316" spans="2:4" x14ac:dyDescent="0.3">
      <c r="B316" s="4"/>
      <c r="D316" s="4"/>
    </row>
    <row r="317" spans="2:4" x14ac:dyDescent="0.3">
      <c r="B317" s="4"/>
      <c r="D317" s="4"/>
    </row>
    <row r="318" spans="2:4" x14ac:dyDescent="0.3">
      <c r="B318" s="4"/>
      <c r="D318" s="4"/>
    </row>
    <row r="319" spans="2:4" x14ac:dyDescent="0.3">
      <c r="B319" s="4"/>
      <c r="D319" s="4"/>
    </row>
    <row r="320" spans="2:4" x14ac:dyDescent="0.3">
      <c r="B320" s="4"/>
      <c r="D320" s="4"/>
    </row>
    <row r="321" spans="2:4" x14ac:dyDescent="0.3">
      <c r="B321" s="4"/>
      <c r="D321" s="4"/>
    </row>
    <row r="322" spans="2:4" x14ac:dyDescent="0.3">
      <c r="B322" s="4"/>
      <c r="D322" s="4"/>
    </row>
    <row r="323" spans="2:4" x14ac:dyDescent="0.3">
      <c r="B323" s="4"/>
      <c r="D323" s="4"/>
    </row>
    <row r="324" spans="2:4" x14ac:dyDescent="0.3">
      <c r="B324" s="4"/>
      <c r="D324" s="4"/>
    </row>
    <row r="325" spans="2:4" x14ac:dyDescent="0.3">
      <c r="B325" s="4"/>
      <c r="D325" s="4"/>
    </row>
    <row r="326" spans="2:4" x14ac:dyDescent="0.3">
      <c r="B326" s="4"/>
      <c r="D326" s="4"/>
    </row>
    <row r="327" spans="2:4" x14ac:dyDescent="0.3">
      <c r="B327" s="4"/>
      <c r="D327" s="4"/>
    </row>
    <row r="328" spans="2:4" x14ac:dyDescent="0.3">
      <c r="B328" s="4"/>
      <c r="D328" s="4"/>
    </row>
    <row r="329" spans="2:4" x14ac:dyDescent="0.3">
      <c r="B329" s="4"/>
      <c r="D329" s="4"/>
    </row>
    <row r="330" spans="2:4" x14ac:dyDescent="0.3">
      <c r="B330" s="4"/>
      <c r="D330" s="4"/>
    </row>
    <row r="331" spans="2:4" x14ac:dyDescent="0.3">
      <c r="B331" s="4"/>
      <c r="D331" s="4"/>
    </row>
    <row r="332" spans="2:4" x14ac:dyDescent="0.3">
      <c r="B332" s="4"/>
      <c r="D332" s="4"/>
    </row>
    <row r="333" spans="2:4" x14ac:dyDescent="0.3">
      <c r="B333" s="4"/>
      <c r="D333" s="4"/>
    </row>
    <row r="334" spans="2:4" x14ac:dyDescent="0.3">
      <c r="B334" s="4"/>
      <c r="D334" s="4"/>
    </row>
    <row r="335" spans="2:4" x14ac:dyDescent="0.3">
      <c r="B335" s="4"/>
      <c r="D335" s="4"/>
    </row>
    <row r="336" spans="2:4" x14ac:dyDescent="0.3">
      <c r="B336" s="4"/>
      <c r="D336" s="4"/>
    </row>
    <row r="337" spans="2:4" x14ac:dyDescent="0.3">
      <c r="B337" s="4"/>
      <c r="D337" s="4"/>
    </row>
    <row r="338" spans="2:4" x14ac:dyDescent="0.3">
      <c r="B338" s="4"/>
      <c r="D338" s="4"/>
    </row>
    <row r="339" spans="2:4" x14ac:dyDescent="0.3">
      <c r="B339" s="4"/>
      <c r="D339" s="4"/>
    </row>
    <row r="340" spans="2:4" x14ac:dyDescent="0.3">
      <c r="B340" s="4"/>
      <c r="D340" s="4"/>
    </row>
    <row r="341" spans="2:4" x14ac:dyDescent="0.3">
      <c r="B341" s="4"/>
      <c r="D341" s="4"/>
    </row>
    <row r="342" spans="2:4" x14ac:dyDescent="0.3">
      <c r="B342" s="4"/>
      <c r="D342" s="4"/>
    </row>
    <row r="343" spans="2:4" x14ac:dyDescent="0.3">
      <c r="B343" s="4"/>
      <c r="D343" s="4"/>
    </row>
    <row r="344" spans="2:4" x14ac:dyDescent="0.3">
      <c r="B344" s="4"/>
      <c r="D344" s="4"/>
    </row>
    <row r="345" spans="2:4" x14ac:dyDescent="0.3">
      <c r="B345" s="4"/>
      <c r="D345" s="4"/>
    </row>
    <row r="346" spans="2:4" x14ac:dyDescent="0.3">
      <c r="B346" s="4"/>
      <c r="D346" s="4"/>
    </row>
    <row r="347" spans="2:4" x14ac:dyDescent="0.3">
      <c r="B347" s="4"/>
      <c r="D347" s="4"/>
    </row>
    <row r="348" spans="2:4" x14ac:dyDescent="0.3">
      <c r="B348" s="4"/>
      <c r="D348" s="4"/>
    </row>
    <row r="349" spans="2:4" x14ac:dyDescent="0.3">
      <c r="B349" s="4"/>
      <c r="D349" s="4"/>
    </row>
    <row r="350" spans="2:4" x14ac:dyDescent="0.3">
      <c r="B350" s="4"/>
      <c r="D350" s="4"/>
    </row>
    <row r="351" spans="2:4" x14ac:dyDescent="0.3">
      <c r="B351" s="4"/>
      <c r="D351" s="4"/>
    </row>
    <row r="352" spans="2:4" x14ac:dyDescent="0.3">
      <c r="B352" s="4"/>
      <c r="D352" s="4"/>
    </row>
    <row r="353" spans="2:4" x14ac:dyDescent="0.3">
      <c r="B353" s="4"/>
      <c r="D353" s="4"/>
    </row>
    <row r="354" spans="2:4" x14ac:dyDescent="0.3">
      <c r="B354" s="4"/>
      <c r="D354" s="4"/>
    </row>
    <row r="355" spans="2:4" x14ac:dyDescent="0.3">
      <c r="B355" s="4"/>
      <c r="D355" s="4"/>
    </row>
    <row r="356" spans="2:4" x14ac:dyDescent="0.3">
      <c r="B356" s="4"/>
      <c r="D356" s="4"/>
    </row>
    <row r="357" spans="2:4" x14ac:dyDescent="0.3">
      <c r="B357" s="4"/>
      <c r="D357" s="4"/>
    </row>
    <row r="358" spans="2:4" x14ac:dyDescent="0.3">
      <c r="B358" s="4"/>
      <c r="D358" s="4"/>
    </row>
    <row r="359" spans="2:4" x14ac:dyDescent="0.3">
      <c r="B359" s="4"/>
      <c r="D359" s="4"/>
    </row>
    <row r="360" spans="2:4" x14ac:dyDescent="0.3">
      <c r="B360" s="4"/>
      <c r="D360" s="4"/>
    </row>
    <row r="361" spans="2:4" x14ac:dyDescent="0.3">
      <c r="B361" s="4"/>
      <c r="D361" s="4"/>
    </row>
    <row r="362" spans="2:4" x14ac:dyDescent="0.3">
      <c r="B362" s="4"/>
      <c r="D362" s="4"/>
    </row>
    <row r="363" spans="2:4" x14ac:dyDescent="0.3">
      <c r="B363" s="4"/>
      <c r="D363" s="4"/>
    </row>
    <row r="364" spans="2:4" x14ac:dyDescent="0.3">
      <c r="B364" s="4"/>
      <c r="D364" s="4"/>
    </row>
    <row r="365" spans="2:4" x14ac:dyDescent="0.3">
      <c r="B365" s="4"/>
      <c r="D365" s="4"/>
    </row>
    <row r="366" spans="2:4" x14ac:dyDescent="0.3">
      <c r="B366" s="4"/>
      <c r="D366" s="4"/>
    </row>
    <row r="367" spans="2:4" x14ac:dyDescent="0.3">
      <c r="B367" s="4"/>
      <c r="D367" s="4"/>
    </row>
    <row r="368" spans="2:4" x14ac:dyDescent="0.3">
      <c r="B368" s="4"/>
      <c r="D368" s="4"/>
    </row>
    <row r="369" spans="2:4" x14ac:dyDescent="0.3">
      <c r="B369" s="4"/>
      <c r="D369" s="4"/>
    </row>
    <row r="370" spans="2:4" x14ac:dyDescent="0.3">
      <c r="B370" s="4"/>
      <c r="D370" s="4"/>
    </row>
    <row r="371" spans="2:4" x14ac:dyDescent="0.3">
      <c r="B371" s="4"/>
      <c r="D371" s="4"/>
    </row>
    <row r="372" spans="2:4" x14ac:dyDescent="0.3">
      <c r="B372" s="4"/>
      <c r="D372" s="4"/>
    </row>
    <row r="373" spans="2:4" x14ac:dyDescent="0.3">
      <c r="B373" s="4"/>
      <c r="D373" s="4"/>
    </row>
    <row r="374" spans="2:4" x14ac:dyDescent="0.3">
      <c r="B374" s="4"/>
      <c r="D374" s="4"/>
    </row>
    <row r="375" spans="2:4" x14ac:dyDescent="0.3">
      <c r="B375" s="4"/>
      <c r="D375" s="4"/>
    </row>
    <row r="376" spans="2:4" x14ac:dyDescent="0.3">
      <c r="B376" s="4"/>
      <c r="D376" s="4"/>
    </row>
    <row r="377" spans="2:4" x14ac:dyDescent="0.3">
      <c r="B377" s="4"/>
      <c r="D377" s="4"/>
    </row>
    <row r="378" spans="2:4" x14ac:dyDescent="0.3">
      <c r="B378" s="4"/>
      <c r="D378" s="4"/>
    </row>
    <row r="379" spans="2:4" x14ac:dyDescent="0.3">
      <c r="B379" s="4"/>
      <c r="D379" s="4"/>
    </row>
    <row r="380" spans="2:4" x14ac:dyDescent="0.3">
      <c r="B380" s="4"/>
      <c r="D380" s="4"/>
    </row>
    <row r="381" spans="2:4" x14ac:dyDescent="0.3">
      <c r="B381" s="4"/>
      <c r="D381" s="4"/>
    </row>
    <row r="382" spans="2:4" x14ac:dyDescent="0.3">
      <c r="B382" s="4"/>
      <c r="D382" s="4"/>
    </row>
    <row r="383" spans="2:4" x14ac:dyDescent="0.3">
      <c r="B383" s="4"/>
      <c r="D383" s="4"/>
    </row>
    <row r="384" spans="2:4" x14ac:dyDescent="0.3">
      <c r="B384" s="4"/>
      <c r="D384" s="4"/>
    </row>
    <row r="385" spans="2:4" x14ac:dyDescent="0.3">
      <c r="B385" s="4"/>
      <c r="D385" s="4"/>
    </row>
    <row r="386" spans="2:4" x14ac:dyDescent="0.3">
      <c r="B386" s="4"/>
      <c r="D386" s="4"/>
    </row>
    <row r="387" spans="2:4" x14ac:dyDescent="0.3">
      <c r="B387" s="4"/>
      <c r="D387" s="4"/>
    </row>
    <row r="388" spans="2:4" x14ac:dyDescent="0.3">
      <c r="B388" s="4"/>
      <c r="D388" s="4"/>
    </row>
    <row r="389" spans="2:4" x14ac:dyDescent="0.3">
      <c r="B389" s="4"/>
      <c r="D389" s="4"/>
    </row>
    <row r="390" spans="2:4" x14ac:dyDescent="0.3">
      <c r="B390" s="4"/>
      <c r="D390" s="4"/>
    </row>
    <row r="391" spans="2:4" x14ac:dyDescent="0.3">
      <c r="B391" s="4"/>
      <c r="D391" s="4"/>
    </row>
    <row r="392" spans="2:4" x14ac:dyDescent="0.3">
      <c r="B392" s="4"/>
      <c r="D392" s="4"/>
    </row>
    <row r="393" spans="2:4" x14ac:dyDescent="0.3">
      <c r="B393" s="4"/>
      <c r="D393" s="4"/>
    </row>
    <row r="394" spans="2:4" x14ac:dyDescent="0.3">
      <c r="B394" s="4"/>
      <c r="D394" s="4"/>
    </row>
    <row r="395" spans="2:4" x14ac:dyDescent="0.3">
      <c r="B395" s="4"/>
      <c r="D395" s="4"/>
    </row>
    <row r="396" spans="2:4" x14ac:dyDescent="0.3">
      <c r="B396" s="4"/>
      <c r="D396" s="4"/>
    </row>
    <row r="397" spans="2:4" x14ac:dyDescent="0.3">
      <c r="B397" s="4"/>
      <c r="D397" s="4"/>
    </row>
    <row r="398" spans="2:4" x14ac:dyDescent="0.3">
      <c r="B398" s="4"/>
      <c r="D398" s="4"/>
    </row>
    <row r="399" spans="2:4" x14ac:dyDescent="0.3">
      <c r="B399" s="4"/>
      <c r="D399" s="4"/>
    </row>
    <row r="400" spans="2:4" x14ac:dyDescent="0.3">
      <c r="B400" s="4"/>
      <c r="D400" s="4"/>
    </row>
    <row r="401" spans="2:4" x14ac:dyDescent="0.3">
      <c r="B401" s="4"/>
      <c r="D401" s="4"/>
    </row>
    <row r="402" spans="2:4" x14ac:dyDescent="0.3">
      <c r="B402" s="4"/>
      <c r="D402" s="4"/>
    </row>
    <row r="403" spans="2:4" x14ac:dyDescent="0.3">
      <c r="B403" s="4"/>
      <c r="D403" s="4"/>
    </row>
    <row r="404" spans="2:4" x14ac:dyDescent="0.3">
      <c r="B404" s="4"/>
      <c r="D404" s="4"/>
    </row>
    <row r="405" spans="2:4" x14ac:dyDescent="0.3">
      <c r="B405" s="4"/>
      <c r="D405" s="4"/>
    </row>
    <row r="406" spans="2:4" x14ac:dyDescent="0.3">
      <c r="B406" s="4"/>
      <c r="D406" s="4"/>
    </row>
    <row r="407" spans="2:4" x14ac:dyDescent="0.3">
      <c r="B407" s="4"/>
      <c r="D407" s="4"/>
    </row>
    <row r="408" spans="2:4" x14ac:dyDescent="0.3">
      <c r="B408" s="4"/>
      <c r="D408" s="4"/>
    </row>
    <row r="409" spans="2:4" x14ac:dyDescent="0.3">
      <c r="B409" s="4"/>
      <c r="D409" s="4"/>
    </row>
    <row r="410" spans="2:4" x14ac:dyDescent="0.3">
      <c r="B410" s="4"/>
      <c r="D410" s="4"/>
    </row>
    <row r="411" spans="2:4" x14ac:dyDescent="0.3">
      <c r="B411" s="4"/>
      <c r="D411" s="4"/>
    </row>
    <row r="412" spans="2:4" x14ac:dyDescent="0.3">
      <c r="B412" s="4"/>
      <c r="D412" s="4"/>
    </row>
    <row r="413" spans="2:4" x14ac:dyDescent="0.3">
      <c r="B413" s="4"/>
      <c r="D413" s="4"/>
    </row>
    <row r="414" spans="2:4" x14ac:dyDescent="0.3">
      <c r="B414" s="4"/>
      <c r="D414" s="4"/>
    </row>
    <row r="415" spans="2:4" x14ac:dyDescent="0.3">
      <c r="B415" s="4"/>
      <c r="D415" s="4"/>
    </row>
    <row r="416" spans="2:4" x14ac:dyDescent="0.3">
      <c r="B416" s="4"/>
      <c r="D416" s="4"/>
    </row>
    <row r="417" spans="2:4" x14ac:dyDescent="0.3">
      <c r="B417" s="4"/>
      <c r="D417" s="4"/>
    </row>
    <row r="418" spans="2:4" x14ac:dyDescent="0.3">
      <c r="B418" s="4"/>
      <c r="D418" s="4"/>
    </row>
    <row r="419" spans="2:4" x14ac:dyDescent="0.3">
      <c r="B419" s="4"/>
      <c r="D419" s="4"/>
    </row>
    <row r="420" spans="2:4" x14ac:dyDescent="0.3">
      <c r="B420" s="4"/>
      <c r="D420" s="4"/>
    </row>
    <row r="421" spans="2:4" x14ac:dyDescent="0.3">
      <c r="B421" s="4"/>
      <c r="D421" s="4"/>
    </row>
    <row r="422" spans="2:4" x14ac:dyDescent="0.3">
      <c r="B422" s="4"/>
      <c r="D422" s="4"/>
    </row>
    <row r="423" spans="2:4" x14ac:dyDescent="0.3">
      <c r="B423" s="4"/>
      <c r="D423" s="4"/>
    </row>
    <row r="424" spans="2:4" x14ac:dyDescent="0.3">
      <c r="B424" s="4"/>
      <c r="D424" s="4"/>
    </row>
    <row r="425" spans="2:4" x14ac:dyDescent="0.3">
      <c r="B425" s="4"/>
      <c r="D425" s="4"/>
    </row>
    <row r="426" spans="2:4" x14ac:dyDescent="0.3">
      <c r="B426" s="4"/>
      <c r="D426" s="4"/>
    </row>
    <row r="427" spans="2:4" x14ac:dyDescent="0.3">
      <c r="B427" s="4"/>
      <c r="D427" s="4"/>
    </row>
    <row r="428" spans="2:4" x14ac:dyDescent="0.3">
      <c r="B428" s="4"/>
      <c r="D428" s="4"/>
    </row>
    <row r="429" spans="2:4" x14ac:dyDescent="0.3">
      <c r="B429" s="4"/>
      <c r="D429" s="4"/>
    </row>
    <row r="430" spans="2:4" x14ac:dyDescent="0.3">
      <c r="B430" s="4"/>
      <c r="D430" s="4"/>
    </row>
    <row r="431" spans="2:4" x14ac:dyDescent="0.3">
      <c r="B431" s="4"/>
      <c r="D431" s="4"/>
    </row>
    <row r="432" spans="2:4" x14ac:dyDescent="0.3">
      <c r="B432" s="4"/>
      <c r="D432" s="4"/>
    </row>
    <row r="433" spans="2:4" x14ac:dyDescent="0.3">
      <c r="B433" s="4"/>
      <c r="D433" s="4"/>
    </row>
    <row r="434" spans="2:4" x14ac:dyDescent="0.3">
      <c r="B434" s="4"/>
      <c r="D434" s="4"/>
    </row>
    <row r="435" spans="2:4" x14ac:dyDescent="0.3">
      <c r="B435" s="4"/>
      <c r="D435" s="4"/>
    </row>
    <row r="436" spans="2:4" x14ac:dyDescent="0.3">
      <c r="B436" s="4"/>
      <c r="D436" s="4"/>
    </row>
    <row r="437" spans="2:4" x14ac:dyDescent="0.3">
      <c r="B437" s="4"/>
      <c r="D437" s="4"/>
    </row>
    <row r="438" spans="2:4" x14ac:dyDescent="0.3">
      <c r="B438" s="4"/>
      <c r="D438" s="4"/>
    </row>
    <row r="439" spans="2:4" x14ac:dyDescent="0.3">
      <c r="B439" s="4"/>
      <c r="D439" s="4"/>
    </row>
    <row r="440" spans="2:4" x14ac:dyDescent="0.3">
      <c r="B440" s="4"/>
      <c r="D440" s="4"/>
    </row>
    <row r="441" spans="2:4" x14ac:dyDescent="0.3">
      <c r="B441" s="4"/>
      <c r="D441" s="4"/>
    </row>
    <row r="442" spans="2:4" x14ac:dyDescent="0.3">
      <c r="B442" s="4"/>
      <c r="D442" s="4"/>
    </row>
    <row r="443" spans="2:4" x14ac:dyDescent="0.3">
      <c r="B443" s="4"/>
      <c r="D443" s="4"/>
    </row>
    <row r="444" spans="2:4" x14ac:dyDescent="0.3">
      <c r="B444" s="4"/>
      <c r="D444" s="4"/>
    </row>
    <row r="445" spans="2:4" x14ac:dyDescent="0.3">
      <c r="B445" s="4"/>
      <c r="D445" s="4"/>
    </row>
    <row r="446" spans="2:4" x14ac:dyDescent="0.3">
      <c r="B446" s="4"/>
      <c r="D446" s="4"/>
    </row>
    <row r="447" spans="2:4" x14ac:dyDescent="0.3">
      <c r="B447" s="4"/>
      <c r="D447" s="4"/>
    </row>
    <row r="448" spans="2:4" x14ac:dyDescent="0.3">
      <c r="B448" s="4"/>
      <c r="D448" s="4"/>
    </row>
    <row r="449" spans="2:4" x14ac:dyDescent="0.3">
      <c r="B449" s="4"/>
      <c r="D449" s="4"/>
    </row>
    <row r="450" spans="2:4" x14ac:dyDescent="0.3">
      <c r="B450" s="4"/>
      <c r="D450" s="4"/>
    </row>
    <row r="451" spans="2:4" x14ac:dyDescent="0.3">
      <c r="B451" s="4"/>
      <c r="D451" s="4"/>
    </row>
    <row r="452" spans="2:4" x14ac:dyDescent="0.3">
      <c r="B452" s="4"/>
      <c r="D452" s="4"/>
    </row>
    <row r="453" spans="2:4" x14ac:dyDescent="0.3">
      <c r="B453" s="4"/>
      <c r="D453" s="4"/>
    </row>
    <row r="454" spans="2:4" x14ac:dyDescent="0.3">
      <c r="B454" s="4"/>
      <c r="D454" s="4"/>
    </row>
    <row r="455" spans="2:4" x14ac:dyDescent="0.3">
      <c r="B455" s="4"/>
      <c r="D455" s="4"/>
    </row>
    <row r="456" spans="2:4" x14ac:dyDescent="0.3">
      <c r="B456" s="4"/>
      <c r="D456" s="4"/>
    </row>
    <row r="457" spans="2:4" x14ac:dyDescent="0.3">
      <c r="B457" s="4"/>
      <c r="D457" s="4"/>
    </row>
    <row r="458" spans="2:4" x14ac:dyDescent="0.3">
      <c r="B458" s="4"/>
      <c r="D458" s="4"/>
    </row>
    <row r="459" spans="2:4" x14ac:dyDescent="0.3">
      <c r="B459" s="4"/>
      <c r="D459" s="4"/>
    </row>
    <row r="460" spans="2:4" x14ac:dyDescent="0.3">
      <c r="B460" s="4"/>
      <c r="D460" s="4"/>
    </row>
    <row r="461" spans="2:4" x14ac:dyDescent="0.3">
      <c r="B461" s="4"/>
      <c r="D461" s="4"/>
    </row>
    <row r="462" spans="2:4" x14ac:dyDescent="0.3">
      <c r="B462" s="4"/>
      <c r="D462" s="4"/>
    </row>
    <row r="463" spans="2:4" x14ac:dyDescent="0.3">
      <c r="B463" s="4"/>
      <c r="D463" s="4"/>
    </row>
    <row r="464" spans="2:4" x14ac:dyDescent="0.3">
      <c r="B464" s="4"/>
      <c r="D464" s="4"/>
    </row>
    <row r="465" spans="2:4" x14ac:dyDescent="0.3">
      <c r="B465" s="4"/>
      <c r="D465" s="4"/>
    </row>
    <row r="466" spans="2:4" x14ac:dyDescent="0.3">
      <c r="B466" s="4"/>
      <c r="D466" s="4"/>
    </row>
    <row r="467" spans="2:4" x14ac:dyDescent="0.3">
      <c r="B467" s="4"/>
      <c r="D467" s="4"/>
    </row>
    <row r="468" spans="2:4" x14ac:dyDescent="0.3">
      <c r="B468" s="4"/>
      <c r="D468" s="4"/>
    </row>
    <row r="469" spans="2:4" x14ac:dyDescent="0.3">
      <c r="B469" s="4"/>
      <c r="D469" s="4"/>
    </row>
    <row r="470" spans="2:4" x14ac:dyDescent="0.3">
      <c r="B470" s="4"/>
      <c r="D470" s="4"/>
    </row>
    <row r="471" spans="2:4" x14ac:dyDescent="0.3">
      <c r="B471" s="4"/>
      <c r="D471" s="4"/>
    </row>
    <row r="472" spans="2:4" x14ac:dyDescent="0.3">
      <c r="B472" s="4"/>
      <c r="D472" s="4"/>
    </row>
    <row r="473" spans="2:4" x14ac:dyDescent="0.3">
      <c r="B473" s="4"/>
      <c r="D473" s="4"/>
    </row>
    <row r="474" spans="2:4" x14ac:dyDescent="0.3">
      <c r="B474" s="4"/>
      <c r="D474" s="4"/>
    </row>
    <row r="475" spans="2:4" x14ac:dyDescent="0.3">
      <c r="B475" s="4"/>
      <c r="D475" s="4"/>
    </row>
    <row r="476" spans="2:4" x14ac:dyDescent="0.3">
      <c r="B476" s="4"/>
      <c r="D476" s="4"/>
    </row>
    <row r="477" spans="2:4" x14ac:dyDescent="0.3">
      <c r="B477" s="4"/>
      <c r="D477" s="4"/>
    </row>
    <row r="478" spans="2:4" x14ac:dyDescent="0.3">
      <c r="B478" s="4"/>
      <c r="D478" s="4"/>
    </row>
    <row r="479" spans="2:4" x14ac:dyDescent="0.3">
      <c r="B479" s="4"/>
      <c r="D479" s="4"/>
    </row>
    <row r="480" spans="2:4" x14ac:dyDescent="0.3">
      <c r="B480" s="4"/>
      <c r="D480" s="4"/>
    </row>
    <row r="481" spans="2:4" x14ac:dyDescent="0.3">
      <c r="B481" s="4"/>
      <c r="D481" s="4"/>
    </row>
    <row r="482" spans="2:4" x14ac:dyDescent="0.3">
      <c r="B482" s="4"/>
      <c r="D482" s="4"/>
    </row>
    <row r="483" spans="2:4" x14ac:dyDescent="0.3">
      <c r="B483" s="4"/>
      <c r="D483" s="4"/>
    </row>
    <row r="484" spans="2:4" x14ac:dyDescent="0.3">
      <c r="B484" s="4"/>
      <c r="D484" s="4"/>
    </row>
    <row r="485" spans="2:4" x14ac:dyDescent="0.3">
      <c r="B485" s="4"/>
      <c r="D485" s="4"/>
    </row>
    <row r="486" spans="2:4" x14ac:dyDescent="0.3">
      <c r="B486" s="4"/>
      <c r="D486" s="4"/>
    </row>
    <row r="487" spans="2:4" x14ac:dyDescent="0.3">
      <c r="B487" s="4"/>
      <c r="D487" s="4"/>
    </row>
    <row r="488" spans="2:4" x14ac:dyDescent="0.3">
      <c r="B488" s="4"/>
      <c r="D488" s="4"/>
    </row>
    <row r="489" spans="2:4" x14ac:dyDescent="0.3">
      <c r="B489" s="4"/>
      <c r="D489" s="4"/>
    </row>
    <row r="490" spans="2:4" x14ac:dyDescent="0.3">
      <c r="B490" s="4"/>
      <c r="D490" s="4"/>
    </row>
    <row r="491" spans="2:4" x14ac:dyDescent="0.3">
      <c r="B491" s="4"/>
      <c r="D491" s="4"/>
    </row>
    <row r="492" spans="2:4" x14ac:dyDescent="0.3">
      <c r="B492" s="4"/>
      <c r="D492" s="4"/>
    </row>
    <row r="493" spans="2:4" x14ac:dyDescent="0.3">
      <c r="B493" s="4"/>
      <c r="D493" s="4"/>
    </row>
    <row r="494" spans="2:4" x14ac:dyDescent="0.3">
      <c r="B494" s="4"/>
      <c r="D494" s="4"/>
    </row>
    <row r="495" spans="2:4" x14ac:dyDescent="0.3">
      <c r="B495" s="4"/>
      <c r="D495" s="4"/>
    </row>
    <row r="496" spans="2:4" x14ac:dyDescent="0.3">
      <c r="B496" s="4"/>
      <c r="D496" s="4"/>
    </row>
    <row r="497" spans="2:4" x14ac:dyDescent="0.3">
      <c r="B497" s="4"/>
      <c r="D497" s="4"/>
    </row>
    <row r="498" spans="2:4" x14ac:dyDescent="0.3">
      <c r="B498" s="4"/>
      <c r="D498" s="4"/>
    </row>
    <row r="499" spans="2:4" x14ac:dyDescent="0.3">
      <c r="B499" s="4"/>
      <c r="D499" s="4"/>
    </row>
    <row r="500" spans="2:4" x14ac:dyDescent="0.3">
      <c r="B500" s="4"/>
      <c r="D500" s="4"/>
    </row>
    <row r="501" spans="2:4" x14ac:dyDescent="0.3">
      <c r="B501" s="4"/>
      <c r="D501" s="4"/>
    </row>
    <row r="502" spans="2:4" x14ac:dyDescent="0.3">
      <c r="B502" s="4"/>
      <c r="D502" s="4"/>
    </row>
    <row r="503" spans="2:4" x14ac:dyDescent="0.3">
      <c r="B503" s="4"/>
      <c r="D503" s="4"/>
    </row>
    <row r="504" spans="2:4" x14ac:dyDescent="0.3">
      <c r="B504" s="4"/>
      <c r="D504" s="4"/>
    </row>
    <row r="505" spans="2:4" x14ac:dyDescent="0.3">
      <c r="B505" s="4"/>
      <c r="D505" s="4"/>
    </row>
    <row r="506" spans="2:4" x14ac:dyDescent="0.3">
      <c r="B506" s="4"/>
      <c r="D506" s="4"/>
    </row>
    <row r="507" spans="2:4" x14ac:dyDescent="0.3">
      <c r="B507" s="4"/>
      <c r="D507" s="4"/>
    </row>
    <row r="508" spans="2:4" x14ac:dyDescent="0.3">
      <c r="B508" s="4"/>
      <c r="D508" s="4"/>
    </row>
    <row r="509" spans="2:4" x14ac:dyDescent="0.3">
      <c r="B509" s="4"/>
      <c r="D509" s="4"/>
    </row>
    <row r="510" spans="2:4" x14ac:dyDescent="0.3">
      <c r="B510" s="4"/>
      <c r="D510" s="4"/>
    </row>
    <row r="511" spans="2:4" x14ac:dyDescent="0.3">
      <c r="B511" s="4"/>
      <c r="D511" s="4"/>
    </row>
    <row r="512" spans="2:4" x14ac:dyDescent="0.3">
      <c r="B512" s="4"/>
      <c r="D512" s="4"/>
    </row>
    <row r="513" spans="2:4" x14ac:dyDescent="0.3">
      <c r="B513" s="4"/>
      <c r="D513" s="4"/>
    </row>
    <row r="514" spans="2:4" x14ac:dyDescent="0.3">
      <c r="B514" s="4"/>
      <c r="D514" s="4"/>
    </row>
    <row r="515" spans="2:4" x14ac:dyDescent="0.3">
      <c r="B515" s="4"/>
      <c r="D515" s="4"/>
    </row>
    <row r="516" spans="2:4" x14ac:dyDescent="0.3">
      <c r="B516" s="4"/>
      <c r="D516" s="4"/>
    </row>
    <row r="517" spans="2:4" x14ac:dyDescent="0.3">
      <c r="B517" s="4"/>
      <c r="D517" s="4"/>
    </row>
    <row r="518" spans="2:4" x14ac:dyDescent="0.3">
      <c r="B518" s="4"/>
      <c r="D518" s="4"/>
    </row>
    <row r="519" spans="2:4" x14ac:dyDescent="0.3">
      <c r="B519" s="4"/>
      <c r="D519" s="4"/>
    </row>
    <row r="520" spans="2:4" x14ac:dyDescent="0.3">
      <c r="B520" s="4"/>
      <c r="D520" s="4"/>
    </row>
    <row r="521" spans="2:4" x14ac:dyDescent="0.3">
      <c r="B521" s="4"/>
      <c r="D521" s="4"/>
    </row>
    <row r="522" spans="2:4" x14ac:dyDescent="0.3">
      <c r="B522" s="4"/>
      <c r="D522" s="4"/>
    </row>
    <row r="523" spans="2:4" x14ac:dyDescent="0.3">
      <c r="B523" s="4"/>
      <c r="D523" s="4"/>
    </row>
    <row r="524" spans="2:4" x14ac:dyDescent="0.3">
      <c r="B524" s="4"/>
      <c r="D524" s="4"/>
    </row>
    <row r="525" spans="2:4" x14ac:dyDescent="0.3">
      <c r="B525" s="4"/>
      <c r="D525" s="4"/>
    </row>
    <row r="526" spans="2:4" x14ac:dyDescent="0.3">
      <c r="B526" s="4"/>
      <c r="D526" s="4"/>
    </row>
    <row r="527" spans="2:4" x14ac:dyDescent="0.3">
      <c r="B527" s="4"/>
      <c r="D527" s="4"/>
    </row>
    <row r="528" spans="2:4" x14ac:dyDescent="0.3">
      <c r="B528" s="4"/>
      <c r="D528" s="4"/>
    </row>
    <row r="529" spans="2:4" x14ac:dyDescent="0.3">
      <c r="B529" s="4"/>
      <c r="D529" s="4"/>
    </row>
    <row r="530" spans="2:4" x14ac:dyDescent="0.3">
      <c r="B530" s="4"/>
      <c r="D530" s="4"/>
    </row>
    <row r="531" spans="2:4" x14ac:dyDescent="0.3">
      <c r="B531" s="4"/>
      <c r="D531" s="4"/>
    </row>
    <row r="532" spans="2:4" x14ac:dyDescent="0.3">
      <c r="B532" s="4"/>
      <c r="D532" s="4"/>
    </row>
    <row r="533" spans="2:4" x14ac:dyDescent="0.3">
      <c r="B533" s="4"/>
      <c r="D533" s="4"/>
    </row>
    <row r="534" spans="2:4" x14ac:dyDescent="0.3">
      <c r="B534" s="4"/>
      <c r="D534" s="4"/>
    </row>
    <row r="535" spans="2:4" x14ac:dyDescent="0.3">
      <c r="B535" s="4"/>
      <c r="D535" s="4"/>
    </row>
    <row r="536" spans="2:4" x14ac:dyDescent="0.3">
      <c r="B536" s="4"/>
      <c r="D536" s="4"/>
    </row>
    <row r="537" spans="2:4" x14ac:dyDescent="0.3">
      <c r="B537" s="4"/>
      <c r="D537" s="4"/>
    </row>
    <row r="538" spans="2:4" x14ac:dyDescent="0.3">
      <c r="B538" s="4"/>
      <c r="D538" s="4"/>
    </row>
    <row r="539" spans="2:4" x14ac:dyDescent="0.3">
      <c r="B539" s="4"/>
      <c r="D539" s="4"/>
    </row>
    <row r="540" spans="2:4" x14ac:dyDescent="0.3">
      <c r="B540" s="4"/>
      <c r="D540" s="4"/>
    </row>
    <row r="541" spans="2:4" x14ac:dyDescent="0.3">
      <c r="B541" s="4"/>
      <c r="D541" s="4"/>
    </row>
    <row r="542" spans="2:4" x14ac:dyDescent="0.3">
      <c r="B542" s="4"/>
      <c r="D542" s="4"/>
    </row>
    <row r="543" spans="2:4" x14ac:dyDescent="0.3">
      <c r="B543" s="4"/>
      <c r="D543" s="4"/>
    </row>
    <row r="544" spans="2:4" x14ac:dyDescent="0.3">
      <c r="B544" s="4"/>
      <c r="D544" s="4"/>
    </row>
    <row r="545" spans="2:4" x14ac:dyDescent="0.3">
      <c r="B545" s="4"/>
      <c r="D545" s="4"/>
    </row>
    <row r="546" spans="2:4" x14ac:dyDescent="0.3">
      <c r="B546" s="4"/>
      <c r="D546" s="4"/>
    </row>
    <row r="547" spans="2:4" x14ac:dyDescent="0.3">
      <c r="B547" s="4"/>
      <c r="D547" s="4"/>
    </row>
    <row r="548" spans="2:4" x14ac:dyDescent="0.3">
      <c r="B548" s="4"/>
      <c r="D548" s="4"/>
    </row>
    <row r="549" spans="2:4" x14ac:dyDescent="0.3">
      <c r="B549" s="4"/>
      <c r="D549" s="4"/>
    </row>
    <row r="550" spans="2:4" x14ac:dyDescent="0.3">
      <c r="B550" s="4"/>
      <c r="D550" s="4"/>
    </row>
    <row r="551" spans="2:4" x14ac:dyDescent="0.3">
      <c r="B551" s="4"/>
      <c r="D551" s="4"/>
    </row>
    <row r="552" spans="2:4" x14ac:dyDescent="0.3">
      <c r="B552" s="4"/>
      <c r="D552" s="4"/>
    </row>
    <row r="553" spans="2:4" x14ac:dyDescent="0.3">
      <c r="B553" s="4"/>
      <c r="D553" s="4"/>
    </row>
    <row r="554" spans="2:4" x14ac:dyDescent="0.3">
      <c r="B554" s="4"/>
      <c r="D554" s="4"/>
    </row>
    <row r="555" spans="2:4" x14ac:dyDescent="0.3">
      <c r="B555" s="4"/>
      <c r="D555" s="4"/>
    </row>
    <row r="556" spans="2:4" x14ac:dyDescent="0.3">
      <c r="B556" s="4"/>
      <c r="D556" s="4"/>
    </row>
    <row r="557" spans="2:4" x14ac:dyDescent="0.3">
      <c r="B557" s="4"/>
      <c r="D557" s="4"/>
    </row>
    <row r="558" spans="2:4" x14ac:dyDescent="0.3">
      <c r="B558" s="4"/>
      <c r="D558" s="4"/>
    </row>
    <row r="559" spans="2:4" x14ac:dyDescent="0.3">
      <c r="B559" s="4"/>
      <c r="D559" s="4"/>
    </row>
    <row r="560" spans="2:4" x14ac:dyDescent="0.3">
      <c r="B560" s="4"/>
      <c r="D560" s="4"/>
    </row>
    <row r="561" spans="2:4" x14ac:dyDescent="0.3">
      <c r="B561" s="4"/>
      <c r="D561" s="4"/>
    </row>
    <row r="562" spans="2:4" x14ac:dyDescent="0.3">
      <c r="B562" s="4"/>
      <c r="D562" s="4"/>
    </row>
    <row r="563" spans="2:4" x14ac:dyDescent="0.3">
      <c r="B563" s="4"/>
      <c r="D563" s="4"/>
    </row>
    <row r="564" spans="2:4" x14ac:dyDescent="0.3">
      <c r="B564" s="4"/>
      <c r="D564" s="4"/>
    </row>
    <row r="565" spans="2:4" x14ac:dyDescent="0.3">
      <c r="B565" s="4"/>
      <c r="D565" s="4"/>
    </row>
    <row r="566" spans="2:4" x14ac:dyDescent="0.3">
      <c r="B566" s="4"/>
      <c r="D566" s="4"/>
    </row>
    <row r="567" spans="2:4" x14ac:dyDescent="0.3">
      <c r="B567" s="4"/>
      <c r="D567" s="4"/>
    </row>
    <row r="568" spans="2:4" x14ac:dyDescent="0.3">
      <c r="B568" s="4"/>
      <c r="D568" s="4"/>
    </row>
    <row r="569" spans="2:4" x14ac:dyDescent="0.3">
      <c r="B569" s="4"/>
      <c r="D569" s="4"/>
    </row>
    <row r="570" spans="2:4" x14ac:dyDescent="0.3">
      <c r="B570" s="4"/>
      <c r="D570" s="4"/>
    </row>
    <row r="571" spans="2:4" x14ac:dyDescent="0.3">
      <c r="B571" s="4"/>
      <c r="D571" s="4"/>
    </row>
    <row r="572" spans="2:4" x14ac:dyDescent="0.3">
      <c r="B572" s="4"/>
      <c r="D572" s="4"/>
    </row>
    <row r="573" spans="2:4" x14ac:dyDescent="0.3">
      <c r="B573" s="4"/>
      <c r="D573" s="4"/>
    </row>
    <row r="574" spans="2:4" x14ac:dyDescent="0.3">
      <c r="B574" s="4"/>
      <c r="D574" s="4"/>
    </row>
    <row r="575" spans="2:4" x14ac:dyDescent="0.3">
      <c r="B575" s="4"/>
      <c r="D575" s="4"/>
    </row>
    <row r="576" spans="2:4" x14ac:dyDescent="0.3">
      <c r="B576" s="4"/>
      <c r="D576" s="4"/>
    </row>
    <row r="577" spans="2:4" x14ac:dyDescent="0.3">
      <c r="B577" s="4"/>
      <c r="D577" s="4"/>
    </row>
    <row r="578" spans="2:4" x14ac:dyDescent="0.3">
      <c r="B578" s="4"/>
      <c r="D578" s="4"/>
    </row>
    <row r="579" spans="2:4" x14ac:dyDescent="0.3">
      <c r="B579" s="4"/>
      <c r="D579" s="4"/>
    </row>
    <row r="580" spans="2:4" x14ac:dyDescent="0.3">
      <c r="B580" s="4"/>
      <c r="D580" s="4"/>
    </row>
    <row r="581" spans="2:4" x14ac:dyDescent="0.3">
      <c r="B581" s="4"/>
      <c r="D581" s="4"/>
    </row>
    <row r="582" spans="2:4" x14ac:dyDescent="0.3">
      <c r="B582" s="4"/>
      <c r="D582" s="4"/>
    </row>
    <row r="583" spans="2:4" x14ac:dyDescent="0.3">
      <c r="B583" s="4"/>
      <c r="D583" s="4"/>
    </row>
    <row r="584" spans="2:4" x14ac:dyDescent="0.3">
      <c r="B584" s="4"/>
      <c r="D584" s="4"/>
    </row>
    <row r="585" spans="2:4" x14ac:dyDescent="0.3">
      <c r="B585" s="4"/>
      <c r="D585" s="4"/>
    </row>
    <row r="586" spans="2:4" x14ac:dyDescent="0.3">
      <c r="B586" s="4"/>
      <c r="D586" s="4"/>
    </row>
    <row r="587" spans="2:4" x14ac:dyDescent="0.3">
      <c r="B587" s="4"/>
      <c r="D587" s="4"/>
    </row>
    <row r="588" spans="2:4" x14ac:dyDescent="0.3">
      <c r="B588" s="4"/>
      <c r="D588" s="4"/>
    </row>
    <row r="589" spans="2:4" x14ac:dyDescent="0.3">
      <c r="B589" s="4"/>
      <c r="D589" s="4"/>
    </row>
    <row r="590" spans="2:4" x14ac:dyDescent="0.3">
      <c r="B590" s="4"/>
      <c r="D590" s="4"/>
    </row>
    <row r="591" spans="2:4" x14ac:dyDescent="0.3">
      <c r="B591" s="4"/>
      <c r="D591" s="4"/>
    </row>
    <row r="592" spans="2:4" x14ac:dyDescent="0.3">
      <c r="B592" s="4"/>
      <c r="D592" s="4"/>
    </row>
    <row r="593" spans="2:4" x14ac:dyDescent="0.3">
      <c r="B593" s="4"/>
      <c r="D593" s="4"/>
    </row>
    <row r="594" spans="2:4" x14ac:dyDescent="0.3">
      <c r="B594" s="4"/>
      <c r="D594" s="4"/>
    </row>
    <row r="595" spans="2:4" x14ac:dyDescent="0.3">
      <c r="B595" s="4"/>
      <c r="D595" s="4"/>
    </row>
    <row r="596" spans="2:4" x14ac:dyDescent="0.3">
      <c r="B596" s="4"/>
      <c r="D596" s="4"/>
    </row>
    <row r="597" spans="2:4" x14ac:dyDescent="0.3">
      <c r="B597" s="4"/>
      <c r="D597" s="4"/>
    </row>
    <row r="598" spans="2:4" x14ac:dyDescent="0.3">
      <c r="B598" s="4"/>
      <c r="D598" s="4"/>
    </row>
    <row r="599" spans="2:4" x14ac:dyDescent="0.3">
      <c r="B599" s="4"/>
      <c r="D599" s="4"/>
    </row>
    <row r="600" spans="2:4" x14ac:dyDescent="0.3">
      <c r="B600" s="4"/>
      <c r="D600" s="4"/>
    </row>
    <row r="601" spans="2:4" x14ac:dyDescent="0.3">
      <c r="B601" s="4"/>
      <c r="D601" s="4"/>
    </row>
    <row r="602" spans="2:4" x14ac:dyDescent="0.3">
      <c r="B602" s="4"/>
      <c r="D602" s="4"/>
    </row>
    <row r="603" spans="2:4" x14ac:dyDescent="0.3">
      <c r="B603" s="4"/>
      <c r="D603" s="4"/>
    </row>
    <row r="604" spans="2:4" x14ac:dyDescent="0.3">
      <c r="B604" s="4"/>
      <c r="D604" s="4"/>
    </row>
    <row r="605" spans="2:4" x14ac:dyDescent="0.3">
      <c r="B605" s="4"/>
      <c r="D605" s="4"/>
    </row>
    <row r="606" spans="2:4" x14ac:dyDescent="0.3">
      <c r="B606" s="4"/>
      <c r="D606" s="4"/>
    </row>
    <row r="607" spans="2:4" x14ac:dyDescent="0.3">
      <c r="B607" s="4"/>
      <c r="D607" s="4"/>
    </row>
    <row r="608" spans="2:4" x14ac:dyDescent="0.3">
      <c r="B608" s="4"/>
      <c r="D608" s="4"/>
    </row>
    <row r="609" spans="2:4" x14ac:dyDescent="0.3">
      <c r="B609" s="4"/>
      <c r="D609" s="4"/>
    </row>
    <row r="610" spans="2:4" x14ac:dyDescent="0.3">
      <c r="B610" s="4"/>
      <c r="D610" s="4"/>
    </row>
    <row r="611" spans="2:4" x14ac:dyDescent="0.3">
      <c r="B611" s="4"/>
      <c r="D611" s="4"/>
    </row>
    <row r="612" spans="2:4" x14ac:dyDescent="0.3">
      <c r="B612" s="4"/>
      <c r="D612" s="4"/>
    </row>
    <row r="613" spans="2:4" x14ac:dyDescent="0.3">
      <c r="B613" s="4"/>
      <c r="D613" s="4"/>
    </row>
    <row r="614" spans="2:4" x14ac:dyDescent="0.3">
      <c r="B614" s="4"/>
      <c r="D614" s="4"/>
    </row>
    <row r="615" spans="2:4" x14ac:dyDescent="0.3">
      <c r="B615" s="4"/>
      <c r="D615" s="4"/>
    </row>
    <row r="616" spans="2:4" x14ac:dyDescent="0.3">
      <c r="B616" s="4"/>
      <c r="D616" s="4"/>
    </row>
    <row r="617" spans="2:4" x14ac:dyDescent="0.3">
      <c r="B617" s="4"/>
      <c r="D617" s="4"/>
    </row>
    <row r="618" spans="2:4" x14ac:dyDescent="0.3">
      <c r="B618" s="4"/>
      <c r="D618" s="4"/>
    </row>
    <row r="619" spans="2:4" x14ac:dyDescent="0.3">
      <c r="B619" s="4"/>
      <c r="D619" s="4"/>
    </row>
    <row r="620" spans="2:4" x14ac:dyDescent="0.3">
      <c r="B620" s="4"/>
      <c r="D620" s="4"/>
    </row>
    <row r="621" spans="2:4" x14ac:dyDescent="0.3">
      <c r="B621" s="4"/>
      <c r="D621" s="4"/>
    </row>
    <row r="622" spans="2:4" x14ac:dyDescent="0.3">
      <c r="B622" s="4"/>
      <c r="D622" s="4"/>
    </row>
    <row r="623" spans="2:4" x14ac:dyDescent="0.3">
      <c r="B623" s="4"/>
      <c r="D623" s="4"/>
    </row>
    <row r="624" spans="2:4" x14ac:dyDescent="0.3">
      <c r="B624" s="4"/>
      <c r="D624" s="4"/>
    </row>
    <row r="625" spans="2:4" x14ac:dyDescent="0.3">
      <c r="B625" s="4"/>
      <c r="D625" s="4"/>
    </row>
    <row r="626" spans="2:4" x14ac:dyDescent="0.3">
      <c r="B626" s="4"/>
      <c r="D626" s="4"/>
    </row>
    <row r="627" spans="2:4" x14ac:dyDescent="0.3">
      <c r="B627" s="4"/>
      <c r="D627" s="4"/>
    </row>
    <row r="628" spans="2:4" x14ac:dyDescent="0.3">
      <c r="B628" s="4"/>
      <c r="D628" s="4"/>
    </row>
    <row r="629" spans="2:4" x14ac:dyDescent="0.3">
      <c r="B629" s="4"/>
      <c r="D629" s="4"/>
    </row>
    <row r="630" spans="2:4" x14ac:dyDescent="0.3">
      <c r="B630" s="4"/>
      <c r="D630" s="4"/>
    </row>
    <row r="631" spans="2:4" x14ac:dyDescent="0.3">
      <c r="B631" s="4"/>
      <c r="D631" s="4"/>
    </row>
    <row r="632" spans="2:4" x14ac:dyDescent="0.3">
      <c r="B632" s="4"/>
      <c r="D632" s="4"/>
    </row>
  </sheetData>
  <pageMargins left="0.7" right="0.7" top="0.75" bottom="0.75" header="0.3" footer="0.3"/>
  <drawing r:id="rId4"/>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5" zoomScale="50" zoomScaleNormal="50" workbookViewId="0">
      <selection activeCell="AF24" sqref="AF24"/>
    </sheetView>
  </sheetViews>
  <sheetFormatPr defaultRowHeight="14.4" x14ac:dyDescent="0.3"/>
  <cols>
    <col min="1" max="16384" width="8.88671875" style="5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76"/>
  <sheetViews>
    <sheetView topLeftCell="A48" workbookViewId="0">
      <selection activeCell="A83" sqref="A83"/>
    </sheetView>
  </sheetViews>
  <sheetFormatPr defaultRowHeight="14.4" x14ac:dyDescent="0.3"/>
  <cols>
    <col min="1" max="1" width="151.5546875" customWidth="1"/>
  </cols>
  <sheetData>
    <row r="3" spans="1:1" x14ac:dyDescent="0.3">
      <c r="A3" s="18" t="s">
        <v>1369</v>
      </c>
    </row>
    <row r="4" spans="1:1" x14ac:dyDescent="0.3">
      <c r="A4" t="s">
        <v>1422</v>
      </c>
    </row>
    <row r="5" spans="1:1" x14ac:dyDescent="0.3">
      <c r="A5" t="s">
        <v>1440</v>
      </c>
    </row>
    <row r="6" spans="1:1" x14ac:dyDescent="0.3">
      <c r="A6" t="s">
        <v>1423</v>
      </c>
    </row>
    <row r="7" spans="1:1" ht="86.4" x14ac:dyDescent="0.3">
      <c r="A7" s="8" t="s">
        <v>1441</v>
      </c>
    </row>
    <row r="8" spans="1:1" ht="57.6" x14ac:dyDescent="0.3">
      <c r="A8" s="8" t="s">
        <v>1442</v>
      </c>
    </row>
    <row r="9" spans="1:1" ht="43.2" x14ac:dyDescent="0.3">
      <c r="A9" s="8" t="s">
        <v>1444</v>
      </c>
    </row>
    <row r="10" spans="1:1" ht="43.2" x14ac:dyDescent="0.3">
      <c r="A10" s="8" t="s">
        <v>1425</v>
      </c>
    </row>
    <row r="12" spans="1:1" x14ac:dyDescent="0.3">
      <c r="A12" t="s">
        <v>1377</v>
      </c>
    </row>
    <row r="13" spans="1:1" x14ac:dyDescent="0.3">
      <c r="A13" t="s">
        <v>1378</v>
      </c>
    </row>
    <row r="14" spans="1:1" x14ac:dyDescent="0.3">
      <c r="A14" t="s">
        <v>1379</v>
      </c>
    </row>
    <row r="15" spans="1:1" x14ac:dyDescent="0.3">
      <c r="A15" t="s">
        <v>1380</v>
      </c>
    </row>
    <row r="16" spans="1:1" x14ac:dyDescent="0.3">
      <c r="A16" t="s">
        <v>1381</v>
      </c>
    </row>
    <row r="17" spans="1:1" ht="28.8" x14ac:dyDescent="0.3">
      <c r="A17" s="45" t="s">
        <v>1446</v>
      </c>
    </row>
    <row r="19" spans="1:1" x14ac:dyDescent="0.3">
      <c r="A19" t="s">
        <v>1382</v>
      </c>
    </row>
    <row r="20" spans="1:1" x14ac:dyDescent="0.3">
      <c r="A20" t="s">
        <v>1447</v>
      </c>
    </row>
    <row r="21" spans="1:1" x14ac:dyDescent="0.3">
      <c r="A21" t="s">
        <v>1449</v>
      </c>
    </row>
    <row r="22" spans="1:1" x14ac:dyDescent="0.3">
      <c r="A22" t="s">
        <v>1385</v>
      </c>
    </row>
    <row r="23" spans="1:1" x14ac:dyDescent="0.3">
      <c r="A23" t="s">
        <v>1386</v>
      </c>
    </row>
    <row r="25" spans="1:1" x14ac:dyDescent="0.3">
      <c r="A25" s="18" t="s">
        <v>1387</v>
      </c>
    </row>
    <row r="26" spans="1:1" x14ac:dyDescent="0.3">
      <c r="A26" t="s">
        <v>1388</v>
      </c>
    </row>
    <row r="27" spans="1:1" x14ac:dyDescent="0.3">
      <c r="A27" t="s">
        <v>1460</v>
      </c>
    </row>
    <row r="28" spans="1:1" x14ac:dyDescent="0.3">
      <c r="A28" t="s">
        <v>1390</v>
      </c>
    </row>
    <row r="29" spans="1:1" ht="28.8" x14ac:dyDescent="0.3">
      <c r="A29" s="8" t="s">
        <v>1459</v>
      </c>
    </row>
    <row r="30" spans="1:1" x14ac:dyDescent="0.3">
      <c r="A30" t="s">
        <v>1392</v>
      </c>
    </row>
    <row r="31" spans="1:1" x14ac:dyDescent="0.3">
      <c r="A31" t="s">
        <v>1393</v>
      </c>
    </row>
    <row r="32" spans="1:1" x14ac:dyDescent="0.3">
      <c r="A32" t="s">
        <v>1394</v>
      </c>
    </row>
    <row r="33" spans="1:1" x14ac:dyDescent="0.3">
      <c r="A33" t="s">
        <v>1395</v>
      </c>
    </row>
    <row r="34" spans="1:1" x14ac:dyDescent="0.3">
      <c r="A34" t="s">
        <v>1396</v>
      </c>
    </row>
    <row r="35" spans="1:1" x14ac:dyDescent="0.3">
      <c r="A35" t="s">
        <v>1497</v>
      </c>
    </row>
    <row r="36" spans="1:1" x14ac:dyDescent="0.3">
      <c r="A36" t="s">
        <v>1398</v>
      </c>
    </row>
    <row r="37" spans="1:1" x14ac:dyDescent="0.3">
      <c r="A37" t="s">
        <v>1399</v>
      </c>
    </row>
    <row r="42" spans="1:1" x14ac:dyDescent="0.3">
      <c r="A42" s="18" t="s">
        <v>1400</v>
      </c>
    </row>
    <row r="43" spans="1:1" x14ac:dyDescent="0.3">
      <c r="A43" t="s">
        <v>1401</v>
      </c>
    </row>
    <row r="44" spans="1:1" x14ac:dyDescent="0.3">
      <c r="A44" t="s">
        <v>1436</v>
      </c>
    </row>
    <row r="45" spans="1:1" x14ac:dyDescent="0.3">
      <c r="A45" t="s">
        <v>1493</v>
      </c>
    </row>
    <row r="46" spans="1:1" x14ac:dyDescent="0.3">
      <c r="A46" t="s">
        <v>1494</v>
      </c>
    </row>
    <row r="47" spans="1:1" x14ac:dyDescent="0.3">
      <c r="A47" t="s">
        <v>1495</v>
      </c>
    </row>
    <row r="50" spans="1:1" x14ac:dyDescent="0.3">
      <c r="A50" s="18" t="s">
        <v>1406</v>
      </c>
    </row>
    <row r="51" spans="1:1" x14ac:dyDescent="0.3">
      <c r="A51" t="s">
        <v>1496</v>
      </c>
    </row>
    <row r="52" spans="1:1" x14ac:dyDescent="0.3">
      <c r="A52" t="s">
        <v>1408</v>
      </c>
    </row>
    <row r="53" spans="1:1" x14ac:dyDescent="0.3">
      <c r="A53" t="s">
        <v>1409</v>
      </c>
    </row>
    <row r="54" spans="1:1" x14ac:dyDescent="0.3">
      <c r="A54" t="s">
        <v>1410</v>
      </c>
    </row>
    <row r="55" spans="1:1" x14ac:dyDescent="0.3">
      <c r="A55" t="s">
        <v>1411</v>
      </c>
    </row>
    <row r="56" spans="1:1" x14ac:dyDescent="0.3">
      <c r="A56" t="s">
        <v>1412</v>
      </c>
    </row>
    <row r="57" spans="1:1" x14ac:dyDescent="0.3">
      <c r="A57" t="s">
        <v>1413</v>
      </c>
    </row>
    <row r="58" spans="1:1" x14ac:dyDescent="0.3">
      <c r="A58" t="s">
        <v>1414</v>
      </c>
    </row>
    <row r="59" spans="1:1" x14ac:dyDescent="0.3">
      <c r="A59" t="s">
        <v>1415</v>
      </c>
    </row>
    <row r="62" spans="1:1" x14ac:dyDescent="0.3">
      <c r="A62" s="12" t="s">
        <v>1517</v>
      </c>
    </row>
    <row r="63" spans="1:1" x14ac:dyDescent="0.3">
      <c r="A63" t="s">
        <v>1417</v>
      </c>
    </row>
    <row r="64" spans="1:1" x14ac:dyDescent="0.3">
      <c r="A64" t="s">
        <v>1522</v>
      </c>
    </row>
    <row r="65" spans="1:1" x14ac:dyDescent="0.3">
      <c r="A65" t="s">
        <v>1523</v>
      </c>
    </row>
    <row r="66" spans="1:1" x14ac:dyDescent="0.3">
      <c r="A66" t="s">
        <v>1524</v>
      </c>
    </row>
    <row r="67" spans="1:1" x14ac:dyDescent="0.3">
      <c r="A67" t="s">
        <v>1525</v>
      </c>
    </row>
    <row r="68" spans="1:1" x14ac:dyDescent="0.3">
      <c r="A68" t="s">
        <v>1526</v>
      </c>
    </row>
    <row r="69" spans="1:1" x14ac:dyDescent="0.3">
      <c r="A69" t="s">
        <v>1527</v>
      </c>
    </row>
    <row r="73" spans="1:1" x14ac:dyDescent="0.3">
      <c r="A73" s="18" t="s">
        <v>1518</v>
      </c>
    </row>
    <row r="74" spans="1:1" x14ac:dyDescent="0.3">
      <c r="A74" t="s">
        <v>1419</v>
      </c>
    </row>
    <row r="75" spans="1:1" x14ac:dyDescent="0.3">
      <c r="A75" t="s">
        <v>1420</v>
      </c>
    </row>
    <row r="76" spans="1:1" x14ac:dyDescent="0.3">
      <c r="A76" t="s">
        <v>1421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Brief</vt:lpstr>
      <vt:lpstr>Raw_Data</vt:lpstr>
      <vt:lpstr>Staging_Table_1</vt:lpstr>
      <vt:lpstr>Cohort Analysis</vt:lpstr>
      <vt:lpstr>ABC Analysis</vt:lpstr>
      <vt:lpstr>Salesperson_Productivity</vt:lpstr>
      <vt:lpstr>Channel Mix</vt:lpstr>
      <vt:lpstr>Service Level</vt:lpstr>
      <vt:lpstr>Price Compliance</vt:lpstr>
      <vt:lpstr>Scenario Modelling</vt:lpstr>
      <vt:lpstr>Visuals</vt:lpstr>
      <vt:lpstr>Visuals 2</vt:lpstr>
      <vt:lpstr>Dashboard</vt:lpstr>
      <vt:lpstr>Explanations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Brigid Chepkemoi</dc:creator>
  <cp:lastModifiedBy>USER</cp:lastModifiedBy>
  <dcterms:created xsi:type="dcterms:W3CDTF">2025-09-28T10:49:35Z</dcterms:created>
  <dcterms:modified xsi:type="dcterms:W3CDTF">2026-02-01T17:42:50Z</dcterms:modified>
</cp:coreProperties>
</file>